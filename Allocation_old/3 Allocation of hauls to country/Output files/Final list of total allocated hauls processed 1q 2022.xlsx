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firstSheet="2" activeTab="6"/>
  </bookViews>
  <sheets>
    <sheet name="Cover sheet" sheetId="7" r:id="rId1"/>
    <sheet name="PlannedStations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</sheets>
  <definedNames>
    <definedName name="_xlnm._FilterDatabase" localSheetId="2" hidden="1">'Final list of total hauls pros'!$A$1:$M$296</definedName>
    <definedName name="_xlnm._FilterDatabase" localSheetId="4" hidden="1">'Haul list for plotting'!$B$1:$N$302</definedName>
    <definedName name="_xlnm._FilterDatabase" localSheetId="3" hidden="1">Processing!$A$4:$AT$305</definedName>
    <definedName name="_xlnm.Print_Area" localSheetId="3">Processing!$H$4:$AE$310</definedName>
  </definedNames>
  <calcPr calcId="162913"/>
</workbook>
</file>

<file path=xl/calcChain.xml><?xml version="1.0" encoding="utf-8"?>
<calcChain xmlns="http://schemas.openxmlformats.org/spreadsheetml/2006/main">
  <c r="D5" i="6" l="1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D14" i="6"/>
  <c r="E14" i="6"/>
  <c r="F14" i="6"/>
  <c r="G14" i="6"/>
  <c r="H14" i="6"/>
  <c r="I14" i="6"/>
  <c r="J14" i="6"/>
  <c r="K14" i="6"/>
  <c r="L14" i="6"/>
  <c r="M14" i="6"/>
  <c r="D15" i="6"/>
  <c r="E15" i="6"/>
  <c r="F15" i="6"/>
  <c r="G15" i="6"/>
  <c r="H15" i="6"/>
  <c r="I15" i="6"/>
  <c r="J15" i="6"/>
  <c r="K15" i="6"/>
  <c r="L15" i="6"/>
  <c r="M15" i="6"/>
  <c r="D16" i="6"/>
  <c r="E16" i="6"/>
  <c r="F16" i="6"/>
  <c r="G16" i="6"/>
  <c r="H16" i="6"/>
  <c r="I16" i="6"/>
  <c r="J16" i="6"/>
  <c r="K16" i="6"/>
  <c r="L16" i="6"/>
  <c r="M16" i="6"/>
  <c r="D17" i="6"/>
  <c r="E17" i="6"/>
  <c r="F17" i="6"/>
  <c r="G17" i="6"/>
  <c r="H17" i="6"/>
  <c r="I17" i="6"/>
  <c r="J17" i="6"/>
  <c r="K17" i="6"/>
  <c r="L17" i="6"/>
  <c r="M17" i="6"/>
  <c r="D18" i="6"/>
  <c r="E18" i="6"/>
  <c r="F18" i="6"/>
  <c r="G18" i="6"/>
  <c r="H18" i="6"/>
  <c r="I18" i="6"/>
  <c r="J18" i="6"/>
  <c r="K18" i="6"/>
  <c r="L18" i="6"/>
  <c r="M18" i="6"/>
  <c r="D19" i="6"/>
  <c r="E19" i="6"/>
  <c r="F19" i="6"/>
  <c r="G19" i="6"/>
  <c r="H19" i="6"/>
  <c r="I19" i="6"/>
  <c r="J19" i="6"/>
  <c r="K19" i="6"/>
  <c r="L19" i="6"/>
  <c r="M19" i="6"/>
  <c r="D20" i="6"/>
  <c r="E20" i="6"/>
  <c r="F20" i="6"/>
  <c r="G20" i="6"/>
  <c r="H20" i="6"/>
  <c r="I20" i="6"/>
  <c r="J20" i="6"/>
  <c r="K20" i="6"/>
  <c r="L20" i="6"/>
  <c r="M20" i="6"/>
  <c r="D21" i="6"/>
  <c r="E21" i="6"/>
  <c r="F21" i="6"/>
  <c r="G21" i="6"/>
  <c r="H21" i="6"/>
  <c r="I21" i="6"/>
  <c r="J21" i="6"/>
  <c r="K21" i="6"/>
  <c r="L21" i="6"/>
  <c r="M21" i="6"/>
  <c r="D22" i="6"/>
  <c r="E22" i="6"/>
  <c r="F22" i="6"/>
  <c r="G22" i="6"/>
  <c r="H22" i="6"/>
  <c r="I22" i="6"/>
  <c r="J22" i="6"/>
  <c r="K22" i="6"/>
  <c r="L22" i="6"/>
  <c r="M22" i="6"/>
  <c r="D23" i="6"/>
  <c r="E23" i="6"/>
  <c r="F23" i="6"/>
  <c r="G23" i="6"/>
  <c r="H23" i="6"/>
  <c r="I23" i="6"/>
  <c r="J23" i="6"/>
  <c r="K23" i="6"/>
  <c r="L23" i="6"/>
  <c r="M23" i="6"/>
  <c r="D24" i="6"/>
  <c r="E24" i="6"/>
  <c r="F24" i="6"/>
  <c r="G24" i="6"/>
  <c r="H24" i="6"/>
  <c r="I24" i="6"/>
  <c r="J24" i="6"/>
  <c r="K24" i="6"/>
  <c r="L24" i="6"/>
  <c r="M24" i="6"/>
  <c r="D25" i="6"/>
  <c r="E25" i="6"/>
  <c r="F25" i="6"/>
  <c r="G25" i="6"/>
  <c r="H25" i="6"/>
  <c r="I25" i="6"/>
  <c r="J25" i="6"/>
  <c r="K25" i="6"/>
  <c r="L25" i="6"/>
  <c r="M25" i="6"/>
  <c r="D26" i="6"/>
  <c r="E26" i="6"/>
  <c r="F26" i="6"/>
  <c r="G26" i="6"/>
  <c r="H26" i="6"/>
  <c r="I26" i="6"/>
  <c r="J26" i="6"/>
  <c r="K26" i="6"/>
  <c r="L26" i="6"/>
  <c r="M26" i="6"/>
  <c r="D27" i="6"/>
  <c r="E27" i="6"/>
  <c r="F27" i="6"/>
  <c r="G27" i="6"/>
  <c r="H27" i="6"/>
  <c r="I27" i="6"/>
  <c r="J27" i="6"/>
  <c r="K27" i="6"/>
  <c r="L27" i="6"/>
  <c r="M27" i="6"/>
  <c r="D28" i="6"/>
  <c r="E28" i="6"/>
  <c r="F28" i="6"/>
  <c r="G28" i="6"/>
  <c r="H28" i="6"/>
  <c r="I28" i="6"/>
  <c r="J28" i="6"/>
  <c r="K28" i="6"/>
  <c r="L28" i="6"/>
  <c r="M28" i="6"/>
  <c r="D29" i="6"/>
  <c r="E29" i="6"/>
  <c r="F29" i="6"/>
  <c r="G29" i="6"/>
  <c r="H29" i="6"/>
  <c r="I29" i="6"/>
  <c r="J29" i="6"/>
  <c r="K29" i="6"/>
  <c r="L29" i="6"/>
  <c r="M29" i="6"/>
  <c r="D30" i="6"/>
  <c r="E30" i="6"/>
  <c r="F30" i="6"/>
  <c r="G30" i="6"/>
  <c r="H30" i="6"/>
  <c r="I30" i="6"/>
  <c r="J30" i="6"/>
  <c r="K30" i="6"/>
  <c r="L30" i="6"/>
  <c r="M30" i="6"/>
  <c r="D31" i="6"/>
  <c r="E31" i="6"/>
  <c r="F31" i="6"/>
  <c r="G31" i="6"/>
  <c r="H31" i="6"/>
  <c r="I31" i="6"/>
  <c r="J31" i="6"/>
  <c r="K31" i="6"/>
  <c r="L31" i="6"/>
  <c r="M31" i="6"/>
  <c r="D32" i="6"/>
  <c r="E32" i="6"/>
  <c r="F32" i="6"/>
  <c r="G32" i="6"/>
  <c r="H32" i="6"/>
  <c r="I32" i="6"/>
  <c r="J32" i="6"/>
  <c r="K32" i="6"/>
  <c r="L32" i="6"/>
  <c r="M32" i="6"/>
  <c r="D33" i="6"/>
  <c r="E33" i="6"/>
  <c r="F33" i="6"/>
  <c r="G33" i="6"/>
  <c r="H33" i="6"/>
  <c r="I33" i="6"/>
  <c r="J33" i="6"/>
  <c r="K33" i="6"/>
  <c r="L33" i="6"/>
  <c r="M33" i="6"/>
  <c r="D34" i="6"/>
  <c r="E34" i="6"/>
  <c r="F34" i="6"/>
  <c r="G34" i="6"/>
  <c r="H34" i="6"/>
  <c r="I34" i="6"/>
  <c r="J34" i="6"/>
  <c r="K34" i="6"/>
  <c r="L34" i="6"/>
  <c r="M34" i="6"/>
  <c r="D35" i="6"/>
  <c r="E35" i="6"/>
  <c r="F35" i="6"/>
  <c r="G35" i="6"/>
  <c r="H35" i="6"/>
  <c r="I35" i="6"/>
  <c r="J35" i="6"/>
  <c r="K35" i="6"/>
  <c r="L35" i="6"/>
  <c r="M35" i="6"/>
  <c r="D36" i="6"/>
  <c r="E36" i="6"/>
  <c r="F36" i="6"/>
  <c r="G36" i="6"/>
  <c r="H36" i="6"/>
  <c r="I36" i="6"/>
  <c r="J36" i="6"/>
  <c r="K36" i="6"/>
  <c r="L36" i="6"/>
  <c r="M36" i="6"/>
  <c r="D37" i="6"/>
  <c r="E37" i="6"/>
  <c r="F37" i="6"/>
  <c r="G37" i="6"/>
  <c r="H37" i="6"/>
  <c r="I37" i="6"/>
  <c r="J37" i="6"/>
  <c r="K37" i="6"/>
  <c r="L37" i="6"/>
  <c r="M37" i="6"/>
  <c r="D38" i="6"/>
  <c r="E38" i="6"/>
  <c r="F38" i="6"/>
  <c r="G38" i="6"/>
  <c r="H38" i="6"/>
  <c r="I38" i="6"/>
  <c r="J38" i="6"/>
  <c r="K38" i="6"/>
  <c r="L38" i="6"/>
  <c r="M38" i="6"/>
  <c r="D39" i="6"/>
  <c r="E39" i="6"/>
  <c r="F39" i="6"/>
  <c r="G39" i="6"/>
  <c r="H39" i="6"/>
  <c r="I39" i="6"/>
  <c r="J39" i="6"/>
  <c r="K39" i="6"/>
  <c r="L39" i="6"/>
  <c r="M39" i="6"/>
  <c r="D40" i="6"/>
  <c r="E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D42" i="6"/>
  <c r="E42" i="6"/>
  <c r="F42" i="6"/>
  <c r="G42" i="6"/>
  <c r="H42" i="6"/>
  <c r="I42" i="6"/>
  <c r="J42" i="6"/>
  <c r="K42" i="6"/>
  <c r="L42" i="6"/>
  <c r="M42" i="6"/>
  <c r="D43" i="6"/>
  <c r="E43" i="6"/>
  <c r="F43" i="6"/>
  <c r="G43" i="6"/>
  <c r="H43" i="6"/>
  <c r="I43" i="6"/>
  <c r="J43" i="6"/>
  <c r="K43" i="6"/>
  <c r="L43" i="6"/>
  <c r="M43" i="6"/>
  <c r="D44" i="6"/>
  <c r="E44" i="6"/>
  <c r="F44" i="6"/>
  <c r="G44" i="6"/>
  <c r="H44" i="6"/>
  <c r="I44" i="6"/>
  <c r="J44" i="6"/>
  <c r="K44" i="6"/>
  <c r="L44" i="6"/>
  <c r="M44" i="6"/>
  <c r="D45" i="6"/>
  <c r="E45" i="6"/>
  <c r="F45" i="6"/>
  <c r="G45" i="6"/>
  <c r="H45" i="6"/>
  <c r="I45" i="6"/>
  <c r="J45" i="6"/>
  <c r="K45" i="6"/>
  <c r="L45" i="6"/>
  <c r="M45" i="6"/>
  <c r="D46" i="6"/>
  <c r="E46" i="6"/>
  <c r="F46" i="6"/>
  <c r="G46" i="6"/>
  <c r="H46" i="6"/>
  <c r="I46" i="6"/>
  <c r="J46" i="6"/>
  <c r="K46" i="6"/>
  <c r="L46" i="6"/>
  <c r="M46" i="6"/>
  <c r="D47" i="6"/>
  <c r="E47" i="6"/>
  <c r="F47" i="6"/>
  <c r="G47" i="6"/>
  <c r="H47" i="6"/>
  <c r="I47" i="6"/>
  <c r="J47" i="6"/>
  <c r="K47" i="6"/>
  <c r="L47" i="6"/>
  <c r="M47" i="6"/>
  <c r="D48" i="6"/>
  <c r="E48" i="6"/>
  <c r="F48" i="6"/>
  <c r="G48" i="6"/>
  <c r="H48" i="6"/>
  <c r="I48" i="6"/>
  <c r="J48" i="6"/>
  <c r="K48" i="6"/>
  <c r="L48" i="6"/>
  <c r="M48" i="6"/>
  <c r="D49" i="6"/>
  <c r="E49" i="6"/>
  <c r="F49" i="6"/>
  <c r="G49" i="6"/>
  <c r="H49" i="6"/>
  <c r="I49" i="6"/>
  <c r="J49" i="6"/>
  <c r="K49" i="6"/>
  <c r="L49" i="6"/>
  <c r="M49" i="6"/>
  <c r="D50" i="6"/>
  <c r="E50" i="6"/>
  <c r="F50" i="6"/>
  <c r="G50" i="6"/>
  <c r="H50" i="6"/>
  <c r="I50" i="6"/>
  <c r="J50" i="6"/>
  <c r="K50" i="6"/>
  <c r="L50" i="6"/>
  <c r="M50" i="6"/>
  <c r="D51" i="6"/>
  <c r="E51" i="6"/>
  <c r="F51" i="6"/>
  <c r="G51" i="6"/>
  <c r="H51" i="6"/>
  <c r="I51" i="6"/>
  <c r="J51" i="6"/>
  <c r="K51" i="6"/>
  <c r="L51" i="6"/>
  <c r="M51" i="6"/>
  <c r="D52" i="6"/>
  <c r="E52" i="6"/>
  <c r="F52" i="6"/>
  <c r="G52" i="6"/>
  <c r="H52" i="6"/>
  <c r="I52" i="6"/>
  <c r="J52" i="6"/>
  <c r="K52" i="6"/>
  <c r="L52" i="6"/>
  <c r="M52" i="6"/>
  <c r="D53" i="6"/>
  <c r="E53" i="6"/>
  <c r="F53" i="6"/>
  <c r="G53" i="6"/>
  <c r="H53" i="6"/>
  <c r="I53" i="6"/>
  <c r="J53" i="6"/>
  <c r="K53" i="6"/>
  <c r="L53" i="6"/>
  <c r="M53" i="6"/>
  <c r="D54" i="6"/>
  <c r="E54" i="6"/>
  <c r="F54" i="6"/>
  <c r="G54" i="6"/>
  <c r="H54" i="6"/>
  <c r="I54" i="6"/>
  <c r="J54" i="6"/>
  <c r="K54" i="6"/>
  <c r="L54" i="6"/>
  <c r="M54" i="6"/>
  <c r="D55" i="6"/>
  <c r="E55" i="6"/>
  <c r="F55" i="6"/>
  <c r="G55" i="6"/>
  <c r="H55" i="6"/>
  <c r="I55" i="6"/>
  <c r="J55" i="6"/>
  <c r="K55" i="6"/>
  <c r="L55" i="6"/>
  <c r="M55" i="6"/>
  <c r="D56" i="6"/>
  <c r="E56" i="6"/>
  <c r="F56" i="6"/>
  <c r="G56" i="6"/>
  <c r="H56" i="6"/>
  <c r="I56" i="6"/>
  <c r="J56" i="6"/>
  <c r="K56" i="6"/>
  <c r="L56" i="6"/>
  <c r="M56" i="6"/>
  <c r="D57" i="6"/>
  <c r="E57" i="6"/>
  <c r="F57" i="6"/>
  <c r="G57" i="6"/>
  <c r="H57" i="6"/>
  <c r="I57" i="6"/>
  <c r="J57" i="6"/>
  <c r="K57" i="6"/>
  <c r="L57" i="6"/>
  <c r="M57" i="6"/>
  <c r="D58" i="6"/>
  <c r="E58" i="6"/>
  <c r="F58" i="6"/>
  <c r="G58" i="6"/>
  <c r="H58" i="6"/>
  <c r="I58" i="6"/>
  <c r="J58" i="6"/>
  <c r="K58" i="6"/>
  <c r="L58" i="6"/>
  <c r="M58" i="6"/>
  <c r="D59" i="6"/>
  <c r="E59" i="6"/>
  <c r="F59" i="6"/>
  <c r="G59" i="6"/>
  <c r="H59" i="6"/>
  <c r="I59" i="6"/>
  <c r="J59" i="6"/>
  <c r="K59" i="6"/>
  <c r="L59" i="6"/>
  <c r="M59" i="6"/>
  <c r="D60" i="6"/>
  <c r="E60" i="6"/>
  <c r="F60" i="6"/>
  <c r="G60" i="6"/>
  <c r="H60" i="6"/>
  <c r="I60" i="6"/>
  <c r="J60" i="6"/>
  <c r="K60" i="6"/>
  <c r="L60" i="6"/>
  <c r="M60" i="6"/>
  <c r="D61" i="6"/>
  <c r="E61" i="6"/>
  <c r="F61" i="6"/>
  <c r="G61" i="6"/>
  <c r="H61" i="6"/>
  <c r="I61" i="6"/>
  <c r="J61" i="6"/>
  <c r="K61" i="6"/>
  <c r="L61" i="6"/>
  <c r="M61" i="6"/>
  <c r="D62" i="6"/>
  <c r="E62" i="6"/>
  <c r="F62" i="6"/>
  <c r="G62" i="6"/>
  <c r="H62" i="6"/>
  <c r="I62" i="6"/>
  <c r="J62" i="6"/>
  <c r="K62" i="6"/>
  <c r="L62" i="6"/>
  <c r="M62" i="6"/>
  <c r="D63" i="6"/>
  <c r="E63" i="6"/>
  <c r="F63" i="6"/>
  <c r="G63" i="6"/>
  <c r="H63" i="6"/>
  <c r="I63" i="6"/>
  <c r="J63" i="6"/>
  <c r="K63" i="6"/>
  <c r="L63" i="6"/>
  <c r="M63" i="6"/>
  <c r="D64" i="6"/>
  <c r="E64" i="6"/>
  <c r="F64" i="6"/>
  <c r="G64" i="6"/>
  <c r="H64" i="6"/>
  <c r="I64" i="6"/>
  <c r="J64" i="6"/>
  <c r="K64" i="6"/>
  <c r="L64" i="6"/>
  <c r="M64" i="6"/>
  <c r="D65" i="6"/>
  <c r="E65" i="6"/>
  <c r="F65" i="6"/>
  <c r="G65" i="6"/>
  <c r="H65" i="6"/>
  <c r="I65" i="6"/>
  <c r="J65" i="6"/>
  <c r="K65" i="6"/>
  <c r="L65" i="6"/>
  <c r="M65" i="6"/>
  <c r="D66" i="6"/>
  <c r="E66" i="6"/>
  <c r="F66" i="6"/>
  <c r="G66" i="6"/>
  <c r="H66" i="6"/>
  <c r="I66" i="6"/>
  <c r="J66" i="6"/>
  <c r="K66" i="6"/>
  <c r="L66" i="6"/>
  <c r="M66" i="6"/>
  <c r="D67" i="6"/>
  <c r="E67" i="6"/>
  <c r="F67" i="6"/>
  <c r="G67" i="6"/>
  <c r="H67" i="6"/>
  <c r="I67" i="6"/>
  <c r="J67" i="6"/>
  <c r="K67" i="6"/>
  <c r="L67" i="6"/>
  <c r="M67" i="6"/>
  <c r="D68" i="6"/>
  <c r="E68" i="6"/>
  <c r="F68" i="6"/>
  <c r="G68" i="6"/>
  <c r="H68" i="6"/>
  <c r="I68" i="6"/>
  <c r="J68" i="6"/>
  <c r="K68" i="6"/>
  <c r="L68" i="6"/>
  <c r="M68" i="6"/>
  <c r="D69" i="6"/>
  <c r="E69" i="6"/>
  <c r="F69" i="6"/>
  <c r="G69" i="6"/>
  <c r="H69" i="6"/>
  <c r="I69" i="6"/>
  <c r="J69" i="6"/>
  <c r="K69" i="6"/>
  <c r="L69" i="6"/>
  <c r="M69" i="6"/>
  <c r="D70" i="6"/>
  <c r="E70" i="6"/>
  <c r="F70" i="6"/>
  <c r="G70" i="6"/>
  <c r="H70" i="6"/>
  <c r="I70" i="6"/>
  <c r="J70" i="6"/>
  <c r="K70" i="6"/>
  <c r="L70" i="6"/>
  <c r="M70" i="6"/>
  <c r="D71" i="6"/>
  <c r="E71" i="6"/>
  <c r="F71" i="6"/>
  <c r="G71" i="6"/>
  <c r="H71" i="6"/>
  <c r="I71" i="6"/>
  <c r="J71" i="6"/>
  <c r="K71" i="6"/>
  <c r="L71" i="6"/>
  <c r="M71" i="6"/>
  <c r="D72" i="6"/>
  <c r="E72" i="6"/>
  <c r="F72" i="6"/>
  <c r="G72" i="6"/>
  <c r="H72" i="6"/>
  <c r="I72" i="6"/>
  <c r="J72" i="6"/>
  <c r="K72" i="6"/>
  <c r="L72" i="6"/>
  <c r="M72" i="6"/>
  <c r="D73" i="6"/>
  <c r="E73" i="6"/>
  <c r="F73" i="6"/>
  <c r="G73" i="6"/>
  <c r="H73" i="6"/>
  <c r="I73" i="6"/>
  <c r="J73" i="6"/>
  <c r="K73" i="6"/>
  <c r="L73" i="6"/>
  <c r="M73" i="6"/>
  <c r="D74" i="6"/>
  <c r="E74" i="6"/>
  <c r="F74" i="6"/>
  <c r="G74" i="6"/>
  <c r="H74" i="6"/>
  <c r="I74" i="6"/>
  <c r="J74" i="6"/>
  <c r="K74" i="6"/>
  <c r="L74" i="6"/>
  <c r="M74" i="6"/>
  <c r="D75" i="6"/>
  <c r="E75" i="6"/>
  <c r="F75" i="6"/>
  <c r="G75" i="6"/>
  <c r="H75" i="6"/>
  <c r="I75" i="6"/>
  <c r="J75" i="6"/>
  <c r="K75" i="6"/>
  <c r="L75" i="6"/>
  <c r="M75" i="6"/>
  <c r="D76" i="6"/>
  <c r="E76" i="6"/>
  <c r="F76" i="6"/>
  <c r="G76" i="6"/>
  <c r="H76" i="6"/>
  <c r="I76" i="6"/>
  <c r="J76" i="6"/>
  <c r="K76" i="6"/>
  <c r="L76" i="6"/>
  <c r="M76" i="6"/>
  <c r="D77" i="6"/>
  <c r="E77" i="6"/>
  <c r="F77" i="6"/>
  <c r="G77" i="6"/>
  <c r="H77" i="6"/>
  <c r="I77" i="6"/>
  <c r="J77" i="6"/>
  <c r="K77" i="6"/>
  <c r="L77" i="6"/>
  <c r="M77" i="6"/>
  <c r="D78" i="6"/>
  <c r="E78" i="6"/>
  <c r="F78" i="6"/>
  <c r="G78" i="6"/>
  <c r="H78" i="6"/>
  <c r="I78" i="6"/>
  <c r="J78" i="6"/>
  <c r="K78" i="6"/>
  <c r="L78" i="6"/>
  <c r="M78" i="6"/>
  <c r="D79" i="6"/>
  <c r="E79" i="6"/>
  <c r="F79" i="6"/>
  <c r="G79" i="6"/>
  <c r="H79" i="6"/>
  <c r="I79" i="6"/>
  <c r="J79" i="6"/>
  <c r="K79" i="6"/>
  <c r="L79" i="6"/>
  <c r="M79" i="6"/>
  <c r="D80" i="6"/>
  <c r="E80" i="6"/>
  <c r="F80" i="6"/>
  <c r="G80" i="6"/>
  <c r="H80" i="6"/>
  <c r="I80" i="6"/>
  <c r="J80" i="6"/>
  <c r="K80" i="6"/>
  <c r="L80" i="6"/>
  <c r="M80" i="6"/>
  <c r="D81" i="6"/>
  <c r="E81" i="6"/>
  <c r="F81" i="6"/>
  <c r="G81" i="6"/>
  <c r="H81" i="6"/>
  <c r="I81" i="6"/>
  <c r="J81" i="6"/>
  <c r="K81" i="6"/>
  <c r="L81" i="6"/>
  <c r="M81" i="6"/>
  <c r="D82" i="6"/>
  <c r="E82" i="6"/>
  <c r="F82" i="6"/>
  <c r="G82" i="6"/>
  <c r="H82" i="6"/>
  <c r="I82" i="6"/>
  <c r="J82" i="6"/>
  <c r="K82" i="6"/>
  <c r="L82" i="6"/>
  <c r="M82" i="6"/>
  <c r="D83" i="6"/>
  <c r="E83" i="6"/>
  <c r="F83" i="6"/>
  <c r="G83" i="6"/>
  <c r="H83" i="6"/>
  <c r="I83" i="6"/>
  <c r="J83" i="6"/>
  <c r="K83" i="6"/>
  <c r="L83" i="6"/>
  <c r="M83" i="6"/>
  <c r="D84" i="6"/>
  <c r="E84" i="6"/>
  <c r="F84" i="6"/>
  <c r="G84" i="6"/>
  <c r="H84" i="6"/>
  <c r="I84" i="6"/>
  <c r="J84" i="6"/>
  <c r="K84" i="6"/>
  <c r="L84" i="6"/>
  <c r="M84" i="6"/>
  <c r="D85" i="6"/>
  <c r="E85" i="6"/>
  <c r="F85" i="6"/>
  <c r="G85" i="6"/>
  <c r="H85" i="6"/>
  <c r="I85" i="6"/>
  <c r="J85" i="6"/>
  <c r="K85" i="6"/>
  <c r="L85" i="6"/>
  <c r="M85" i="6"/>
  <c r="D86" i="6"/>
  <c r="E86" i="6"/>
  <c r="F86" i="6"/>
  <c r="G86" i="6"/>
  <c r="H86" i="6"/>
  <c r="I86" i="6"/>
  <c r="J86" i="6"/>
  <c r="K86" i="6"/>
  <c r="L86" i="6"/>
  <c r="M86" i="6"/>
  <c r="D87" i="6"/>
  <c r="E87" i="6"/>
  <c r="F87" i="6"/>
  <c r="G87" i="6"/>
  <c r="H87" i="6"/>
  <c r="I87" i="6"/>
  <c r="J87" i="6"/>
  <c r="K87" i="6"/>
  <c r="L87" i="6"/>
  <c r="M87" i="6"/>
  <c r="D88" i="6"/>
  <c r="E88" i="6"/>
  <c r="F88" i="6"/>
  <c r="G88" i="6"/>
  <c r="H88" i="6"/>
  <c r="I88" i="6"/>
  <c r="J88" i="6"/>
  <c r="K88" i="6"/>
  <c r="L88" i="6"/>
  <c r="M88" i="6"/>
  <c r="D89" i="6"/>
  <c r="E89" i="6"/>
  <c r="F89" i="6"/>
  <c r="G89" i="6"/>
  <c r="H89" i="6"/>
  <c r="I89" i="6"/>
  <c r="J89" i="6"/>
  <c r="K89" i="6"/>
  <c r="L89" i="6"/>
  <c r="M89" i="6"/>
  <c r="D90" i="6"/>
  <c r="E90" i="6"/>
  <c r="F90" i="6"/>
  <c r="G90" i="6"/>
  <c r="H90" i="6"/>
  <c r="I90" i="6"/>
  <c r="J90" i="6"/>
  <c r="K90" i="6"/>
  <c r="L90" i="6"/>
  <c r="M90" i="6"/>
  <c r="D91" i="6"/>
  <c r="E91" i="6"/>
  <c r="F91" i="6"/>
  <c r="G91" i="6"/>
  <c r="H91" i="6"/>
  <c r="I91" i="6"/>
  <c r="J91" i="6"/>
  <c r="K91" i="6"/>
  <c r="L91" i="6"/>
  <c r="M91" i="6"/>
  <c r="D92" i="6"/>
  <c r="E92" i="6"/>
  <c r="F92" i="6"/>
  <c r="G92" i="6"/>
  <c r="H92" i="6"/>
  <c r="I92" i="6"/>
  <c r="J92" i="6"/>
  <c r="K92" i="6"/>
  <c r="L92" i="6"/>
  <c r="M92" i="6"/>
  <c r="D93" i="6"/>
  <c r="E93" i="6"/>
  <c r="F93" i="6"/>
  <c r="G93" i="6"/>
  <c r="H93" i="6"/>
  <c r="I93" i="6"/>
  <c r="J93" i="6"/>
  <c r="K93" i="6"/>
  <c r="L93" i="6"/>
  <c r="M93" i="6"/>
  <c r="D94" i="6"/>
  <c r="E94" i="6"/>
  <c r="F94" i="6"/>
  <c r="G94" i="6"/>
  <c r="H94" i="6"/>
  <c r="I94" i="6"/>
  <c r="J94" i="6"/>
  <c r="K94" i="6"/>
  <c r="L94" i="6"/>
  <c r="M94" i="6"/>
  <c r="D95" i="6"/>
  <c r="E95" i="6"/>
  <c r="F95" i="6"/>
  <c r="G95" i="6"/>
  <c r="H95" i="6"/>
  <c r="I95" i="6"/>
  <c r="J95" i="6"/>
  <c r="K95" i="6"/>
  <c r="L95" i="6"/>
  <c r="M95" i="6"/>
  <c r="D96" i="6"/>
  <c r="E96" i="6"/>
  <c r="F96" i="6"/>
  <c r="G96" i="6"/>
  <c r="H96" i="6"/>
  <c r="I96" i="6"/>
  <c r="J96" i="6"/>
  <c r="K96" i="6"/>
  <c r="L96" i="6"/>
  <c r="M96" i="6"/>
  <c r="D97" i="6"/>
  <c r="E97" i="6"/>
  <c r="F97" i="6"/>
  <c r="G97" i="6"/>
  <c r="H97" i="6"/>
  <c r="I97" i="6"/>
  <c r="J97" i="6"/>
  <c r="K97" i="6"/>
  <c r="L97" i="6"/>
  <c r="M97" i="6"/>
  <c r="D98" i="6"/>
  <c r="E98" i="6"/>
  <c r="F98" i="6"/>
  <c r="G98" i="6"/>
  <c r="H98" i="6"/>
  <c r="I98" i="6"/>
  <c r="J98" i="6"/>
  <c r="K98" i="6"/>
  <c r="L98" i="6"/>
  <c r="M98" i="6"/>
  <c r="D99" i="6"/>
  <c r="E99" i="6"/>
  <c r="F99" i="6"/>
  <c r="G99" i="6"/>
  <c r="H99" i="6"/>
  <c r="I99" i="6"/>
  <c r="J99" i="6"/>
  <c r="K99" i="6"/>
  <c r="L99" i="6"/>
  <c r="M99" i="6"/>
  <c r="D100" i="6"/>
  <c r="E100" i="6"/>
  <c r="F100" i="6"/>
  <c r="G100" i="6"/>
  <c r="H100" i="6"/>
  <c r="I100" i="6"/>
  <c r="J100" i="6"/>
  <c r="K100" i="6"/>
  <c r="L100" i="6"/>
  <c r="M100" i="6"/>
  <c r="D101" i="6"/>
  <c r="E101" i="6"/>
  <c r="F101" i="6"/>
  <c r="G101" i="6"/>
  <c r="H101" i="6"/>
  <c r="I101" i="6"/>
  <c r="J101" i="6"/>
  <c r="K101" i="6"/>
  <c r="L101" i="6"/>
  <c r="M101" i="6"/>
  <c r="D102" i="6"/>
  <c r="E102" i="6"/>
  <c r="F102" i="6"/>
  <c r="G102" i="6"/>
  <c r="H102" i="6"/>
  <c r="I102" i="6"/>
  <c r="J102" i="6"/>
  <c r="K102" i="6"/>
  <c r="L102" i="6"/>
  <c r="M102" i="6"/>
  <c r="D103" i="6"/>
  <c r="E103" i="6"/>
  <c r="F103" i="6"/>
  <c r="G103" i="6"/>
  <c r="H103" i="6"/>
  <c r="I103" i="6"/>
  <c r="J103" i="6"/>
  <c r="K103" i="6"/>
  <c r="L103" i="6"/>
  <c r="M103" i="6"/>
  <c r="D104" i="6"/>
  <c r="E104" i="6"/>
  <c r="F104" i="6"/>
  <c r="G104" i="6"/>
  <c r="H104" i="6"/>
  <c r="I104" i="6"/>
  <c r="J104" i="6"/>
  <c r="K104" i="6"/>
  <c r="L104" i="6"/>
  <c r="M104" i="6"/>
  <c r="D105" i="6"/>
  <c r="E105" i="6"/>
  <c r="F105" i="6"/>
  <c r="G105" i="6"/>
  <c r="H105" i="6"/>
  <c r="I105" i="6"/>
  <c r="J105" i="6"/>
  <c r="K105" i="6"/>
  <c r="L105" i="6"/>
  <c r="M105" i="6"/>
  <c r="D106" i="6"/>
  <c r="E106" i="6"/>
  <c r="F106" i="6"/>
  <c r="G106" i="6"/>
  <c r="H106" i="6"/>
  <c r="I106" i="6"/>
  <c r="J106" i="6"/>
  <c r="K106" i="6"/>
  <c r="L106" i="6"/>
  <c r="M106" i="6"/>
  <c r="D107" i="6"/>
  <c r="E107" i="6"/>
  <c r="F107" i="6"/>
  <c r="G107" i="6"/>
  <c r="H107" i="6"/>
  <c r="I107" i="6"/>
  <c r="J107" i="6"/>
  <c r="K107" i="6"/>
  <c r="L107" i="6"/>
  <c r="M107" i="6"/>
  <c r="D108" i="6"/>
  <c r="E108" i="6"/>
  <c r="F108" i="6"/>
  <c r="G108" i="6"/>
  <c r="H108" i="6"/>
  <c r="I108" i="6"/>
  <c r="J108" i="6"/>
  <c r="K108" i="6"/>
  <c r="L108" i="6"/>
  <c r="M108" i="6"/>
  <c r="D109" i="6"/>
  <c r="E109" i="6"/>
  <c r="F109" i="6"/>
  <c r="G109" i="6"/>
  <c r="H109" i="6"/>
  <c r="I109" i="6"/>
  <c r="J109" i="6"/>
  <c r="K109" i="6"/>
  <c r="L109" i="6"/>
  <c r="M109" i="6"/>
  <c r="D110" i="6"/>
  <c r="E110" i="6"/>
  <c r="F110" i="6"/>
  <c r="G110" i="6"/>
  <c r="H110" i="6"/>
  <c r="I110" i="6"/>
  <c r="J110" i="6"/>
  <c r="K110" i="6"/>
  <c r="L110" i="6"/>
  <c r="M110" i="6"/>
  <c r="D111" i="6"/>
  <c r="E111" i="6"/>
  <c r="F111" i="6"/>
  <c r="G111" i="6"/>
  <c r="H111" i="6"/>
  <c r="I111" i="6"/>
  <c r="J111" i="6"/>
  <c r="K111" i="6"/>
  <c r="L111" i="6"/>
  <c r="M111" i="6"/>
  <c r="D112" i="6"/>
  <c r="E112" i="6"/>
  <c r="F112" i="6"/>
  <c r="G112" i="6"/>
  <c r="H112" i="6"/>
  <c r="I112" i="6"/>
  <c r="J112" i="6"/>
  <c r="K112" i="6"/>
  <c r="L112" i="6"/>
  <c r="M112" i="6"/>
  <c r="D113" i="6"/>
  <c r="E113" i="6"/>
  <c r="F113" i="6"/>
  <c r="G113" i="6"/>
  <c r="H113" i="6"/>
  <c r="I113" i="6"/>
  <c r="J113" i="6"/>
  <c r="K113" i="6"/>
  <c r="L113" i="6"/>
  <c r="M113" i="6"/>
  <c r="D114" i="6"/>
  <c r="E114" i="6"/>
  <c r="F114" i="6"/>
  <c r="G114" i="6"/>
  <c r="H114" i="6"/>
  <c r="I114" i="6"/>
  <c r="J114" i="6"/>
  <c r="K114" i="6"/>
  <c r="L114" i="6"/>
  <c r="M114" i="6"/>
  <c r="D115" i="6"/>
  <c r="E115" i="6"/>
  <c r="F115" i="6"/>
  <c r="G115" i="6"/>
  <c r="H115" i="6"/>
  <c r="I115" i="6"/>
  <c r="J115" i="6"/>
  <c r="K115" i="6"/>
  <c r="L115" i="6"/>
  <c r="M115" i="6"/>
  <c r="D116" i="6"/>
  <c r="E116" i="6"/>
  <c r="F116" i="6"/>
  <c r="G116" i="6"/>
  <c r="H116" i="6"/>
  <c r="I116" i="6"/>
  <c r="J116" i="6"/>
  <c r="K116" i="6"/>
  <c r="L116" i="6"/>
  <c r="M116" i="6"/>
  <c r="D117" i="6"/>
  <c r="E117" i="6"/>
  <c r="F117" i="6"/>
  <c r="G117" i="6"/>
  <c r="H117" i="6"/>
  <c r="I117" i="6"/>
  <c r="J117" i="6"/>
  <c r="K117" i="6"/>
  <c r="L117" i="6"/>
  <c r="M117" i="6"/>
  <c r="D118" i="6"/>
  <c r="E118" i="6"/>
  <c r="F118" i="6"/>
  <c r="G118" i="6"/>
  <c r="H118" i="6"/>
  <c r="I118" i="6"/>
  <c r="J118" i="6"/>
  <c r="K118" i="6"/>
  <c r="L118" i="6"/>
  <c r="M118" i="6"/>
  <c r="D119" i="6"/>
  <c r="E119" i="6"/>
  <c r="F119" i="6"/>
  <c r="G119" i="6"/>
  <c r="H119" i="6"/>
  <c r="I119" i="6"/>
  <c r="J119" i="6"/>
  <c r="K119" i="6"/>
  <c r="L119" i="6"/>
  <c r="M119" i="6"/>
  <c r="D120" i="6"/>
  <c r="E120" i="6"/>
  <c r="F120" i="6"/>
  <c r="G120" i="6"/>
  <c r="H120" i="6"/>
  <c r="I120" i="6"/>
  <c r="J120" i="6"/>
  <c r="K120" i="6"/>
  <c r="L120" i="6"/>
  <c r="M120" i="6"/>
  <c r="D121" i="6"/>
  <c r="E121" i="6"/>
  <c r="F121" i="6"/>
  <c r="G121" i="6"/>
  <c r="H121" i="6"/>
  <c r="I121" i="6"/>
  <c r="J121" i="6"/>
  <c r="K121" i="6"/>
  <c r="L121" i="6"/>
  <c r="M121" i="6"/>
  <c r="D122" i="6"/>
  <c r="E122" i="6"/>
  <c r="F122" i="6"/>
  <c r="G122" i="6"/>
  <c r="H122" i="6"/>
  <c r="I122" i="6"/>
  <c r="J122" i="6"/>
  <c r="K122" i="6"/>
  <c r="L122" i="6"/>
  <c r="M122" i="6"/>
  <c r="D123" i="6"/>
  <c r="E123" i="6"/>
  <c r="F123" i="6"/>
  <c r="G123" i="6"/>
  <c r="H123" i="6"/>
  <c r="I123" i="6"/>
  <c r="J123" i="6"/>
  <c r="K123" i="6"/>
  <c r="L123" i="6"/>
  <c r="M123" i="6"/>
  <c r="D124" i="6"/>
  <c r="E124" i="6"/>
  <c r="F124" i="6"/>
  <c r="G124" i="6"/>
  <c r="H124" i="6"/>
  <c r="I124" i="6"/>
  <c r="J124" i="6"/>
  <c r="K124" i="6"/>
  <c r="L124" i="6"/>
  <c r="M124" i="6"/>
  <c r="D125" i="6"/>
  <c r="E125" i="6"/>
  <c r="F125" i="6"/>
  <c r="G125" i="6"/>
  <c r="H125" i="6"/>
  <c r="I125" i="6"/>
  <c r="J125" i="6"/>
  <c r="K125" i="6"/>
  <c r="L125" i="6"/>
  <c r="M125" i="6"/>
  <c r="D126" i="6"/>
  <c r="E126" i="6"/>
  <c r="F126" i="6"/>
  <c r="G126" i="6"/>
  <c r="H126" i="6"/>
  <c r="I126" i="6"/>
  <c r="J126" i="6"/>
  <c r="K126" i="6"/>
  <c r="L126" i="6"/>
  <c r="M126" i="6"/>
  <c r="D127" i="6"/>
  <c r="E127" i="6"/>
  <c r="F127" i="6"/>
  <c r="G127" i="6"/>
  <c r="H127" i="6"/>
  <c r="I127" i="6"/>
  <c r="J127" i="6"/>
  <c r="K127" i="6"/>
  <c r="L127" i="6"/>
  <c r="M127" i="6"/>
  <c r="D128" i="6"/>
  <c r="E128" i="6"/>
  <c r="F128" i="6"/>
  <c r="G128" i="6"/>
  <c r="H128" i="6"/>
  <c r="I128" i="6"/>
  <c r="J128" i="6"/>
  <c r="K128" i="6"/>
  <c r="L128" i="6"/>
  <c r="M128" i="6"/>
  <c r="D129" i="6"/>
  <c r="E129" i="6"/>
  <c r="F129" i="6"/>
  <c r="G129" i="6"/>
  <c r="H129" i="6"/>
  <c r="I129" i="6"/>
  <c r="J129" i="6"/>
  <c r="K129" i="6"/>
  <c r="L129" i="6"/>
  <c r="M129" i="6"/>
  <c r="D130" i="6"/>
  <c r="E130" i="6"/>
  <c r="F130" i="6"/>
  <c r="G130" i="6"/>
  <c r="H130" i="6"/>
  <c r="I130" i="6"/>
  <c r="J130" i="6"/>
  <c r="K130" i="6"/>
  <c r="L130" i="6"/>
  <c r="M130" i="6"/>
  <c r="D131" i="6"/>
  <c r="E131" i="6"/>
  <c r="F131" i="6"/>
  <c r="G131" i="6"/>
  <c r="H131" i="6"/>
  <c r="I131" i="6"/>
  <c r="J131" i="6"/>
  <c r="K131" i="6"/>
  <c r="L131" i="6"/>
  <c r="M131" i="6"/>
  <c r="D132" i="6"/>
  <c r="E132" i="6"/>
  <c r="F132" i="6"/>
  <c r="G132" i="6"/>
  <c r="H132" i="6"/>
  <c r="I132" i="6"/>
  <c r="J132" i="6"/>
  <c r="K132" i="6"/>
  <c r="L132" i="6"/>
  <c r="M132" i="6"/>
  <c r="D133" i="6"/>
  <c r="E133" i="6"/>
  <c r="F133" i="6"/>
  <c r="G133" i="6"/>
  <c r="H133" i="6"/>
  <c r="I133" i="6"/>
  <c r="J133" i="6"/>
  <c r="K133" i="6"/>
  <c r="L133" i="6"/>
  <c r="M133" i="6"/>
  <c r="D134" i="6"/>
  <c r="E134" i="6"/>
  <c r="F134" i="6"/>
  <c r="G134" i="6"/>
  <c r="H134" i="6"/>
  <c r="I134" i="6"/>
  <c r="J134" i="6"/>
  <c r="K134" i="6"/>
  <c r="L134" i="6"/>
  <c r="M134" i="6"/>
  <c r="D135" i="6"/>
  <c r="E135" i="6"/>
  <c r="F135" i="6"/>
  <c r="G135" i="6"/>
  <c r="H135" i="6"/>
  <c r="I135" i="6"/>
  <c r="J135" i="6"/>
  <c r="K135" i="6"/>
  <c r="L135" i="6"/>
  <c r="M135" i="6"/>
  <c r="D136" i="6"/>
  <c r="E136" i="6"/>
  <c r="F136" i="6"/>
  <c r="G136" i="6"/>
  <c r="H136" i="6"/>
  <c r="I136" i="6"/>
  <c r="J136" i="6"/>
  <c r="K136" i="6"/>
  <c r="L136" i="6"/>
  <c r="M136" i="6"/>
  <c r="D137" i="6"/>
  <c r="E137" i="6"/>
  <c r="F137" i="6"/>
  <c r="G137" i="6"/>
  <c r="H137" i="6"/>
  <c r="I137" i="6"/>
  <c r="J137" i="6"/>
  <c r="K137" i="6"/>
  <c r="L137" i="6"/>
  <c r="M137" i="6"/>
  <c r="D138" i="6"/>
  <c r="E138" i="6"/>
  <c r="F138" i="6"/>
  <c r="G138" i="6"/>
  <c r="H138" i="6"/>
  <c r="I138" i="6"/>
  <c r="J138" i="6"/>
  <c r="K138" i="6"/>
  <c r="L138" i="6"/>
  <c r="M138" i="6"/>
  <c r="D139" i="6"/>
  <c r="E139" i="6"/>
  <c r="F139" i="6"/>
  <c r="G139" i="6"/>
  <c r="H139" i="6"/>
  <c r="I139" i="6"/>
  <c r="J139" i="6"/>
  <c r="K139" i="6"/>
  <c r="L139" i="6"/>
  <c r="M139" i="6"/>
  <c r="D140" i="6"/>
  <c r="E140" i="6"/>
  <c r="F140" i="6"/>
  <c r="G140" i="6"/>
  <c r="H140" i="6"/>
  <c r="I140" i="6"/>
  <c r="J140" i="6"/>
  <c r="K140" i="6"/>
  <c r="L140" i="6"/>
  <c r="M140" i="6"/>
  <c r="D141" i="6"/>
  <c r="E141" i="6"/>
  <c r="F141" i="6"/>
  <c r="G141" i="6"/>
  <c r="H141" i="6"/>
  <c r="I141" i="6"/>
  <c r="J141" i="6"/>
  <c r="K141" i="6"/>
  <c r="L141" i="6"/>
  <c r="M141" i="6"/>
  <c r="D142" i="6"/>
  <c r="E142" i="6"/>
  <c r="F142" i="6"/>
  <c r="G142" i="6"/>
  <c r="H142" i="6"/>
  <c r="I142" i="6"/>
  <c r="J142" i="6"/>
  <c r="K142" i="6"/>
  <c r="L142" i="6"/>
  <c r="M142" i="6"/>
  <c r="D143" i="6"/>
  <c r="E143" i="6"/>
  <c r="F143" i="6"/>
  <c r="G143" i="6"/>
  <c r="H143" i="6"/>
  <c r="I143" i="6"/>
  <c r="J143" i="6"/>
  <c r="K143" i="6"/>
  <c r="L143" i="6"/>
  <c r="M143" i="6"/>
  <c r="D144" i="6"/>
  <c r="E144" i="6"/>
  <c r="F144" i="6"/>
  <c r="G144" i="6"/>
  <c r="H144" i="6"/>
  <c r="I144" i="6"/>
  <c r="J144" i="6"/>
  <c r="K144" i="6"/>
  <c r="L144" i="6"/>
  <c r="M144" i="6"/>
  <c r="D145" i="6"/>
  <c r="E145" i="6"/>
  <c r="F145" i="6"/>
  <c r="G145" i="6"/>
  <c r="H145" i="6"/>
  <c r="I145" i="6"/>
  <c r="J145" i="6"/>
  <c r="K145" i="6"/>
  <c r="L145" i="6"/>
  <c r="M145" i="6"/>
  <c r="D146" i="6"/>
  <c r="E146" i="6"/>
  <c r="F146" i="6"/>
  <c r="G146" i="6"/>
  <c r="H146" i="6"/>
  <c r="I146" i="6"/>
  <c r="J146" i="6"/>
  <c r="K146" i="6"/>
  <c r="L146" i="6"/>
  <c r="M146" i="6"/>
  <c r="D147" i="6"/>
  <c r="E147" i="6"/>
  <c r="F147" i="6"/>
  <c r="G147" i="6"/>
  <c r="H147" i="6"/>
  <c r="I147" i="6"/>
  <c r="J147" i="6"/>
  <c r="K147" i="6"/>
  <c r="L147" i="6"/>
  <c r="M147" i="6"/>
  <c r="D148" i="6"/>
  <c r="E148" i="6"/>
  <c r="F148" i="6"/>
  <c r="G148" i="6"/>
  <c r="H148" i="6"/>
  <c r="I148" i="6"/>
  <c r="J148" i="6"/>
  <c r="K148" i="6"/>
  <c r="L148" i="6"/>
  <c r="M148" i="6"/>
  <c r="D149" i="6"/>
  <c r="E149" i="6"/>
  <c r="F149" i="6"/>
  <c r="G149" i="6"/>
  <c r="H149" i="6"/>
  <c r="I149" i="6"/>
  <c r="J149" i="6"/>
  <c r="K149" i="6"/>
  <c r="L149" i="6"/>
  <c r="M149" i="6"/>
  <c r="D150" i="6"/>
  <c r="E150" i="6"/>
  <c r="F150" i="6"/>
  <c r="G150" i="6"/>
  <c r="H150" i="6"/>
  <c r="I150" i="6"/>
  <c r="J150" i="6"/>
  <c r="K150" i="6"/>
  <c r="L150" i="6"/>
  <c r="M150" i="6"/>
  <c r="D151" i="6"/>
  <c r="E151" i="6"/>
  <c r="F151" i="6"/>
  <c r="G151" i="6"/>
  <c r="H151" i="6"/>
  <c r="I151" i="6"/>
  <c r="J151" i="6"/>
  <c r="K151" i="6"/>
  <c r="L151" i="6"/>
  <c r="M151" i="6"/>
  <c r="D152" i="6"/>
  <c r="E152" i="6"/>
  <c r="F152" i="6"/>
  <c r="G152" i="6"/>
  <c r="H152" i="6"/>
  <c r="I152" i="6"/>
  <c r="J152" i="6"/>
  <c r="K152" i="6"/>
  <c r="L152" i="6"/>
  <c r="M152" i="6"/>
  <c r="D153" i="6"/>
  <c r="E153" i="6"/>
  <c r="F153" i="6"/>
  <c r="G153" i="6"/>
  <c r="H153" i="6"/>
  <c r="I153" i="6"/>
  <c r="J153" i="6"/>
  <c r="K153" i="6"/>
  <c r="L153" i="6"/>
  <c r="M153" i="6"/>
  <c r="D154" i="6"/>
  <c r="E154" i="6"/>
  <c r="F154" i="6"/>
  <c r="G154" i="6"/>
  <c r="H154" i="6"/>
  <c r="I154" i="6"/>
  <c r="J154" i="6"/>
  <c r="K154" i="6"/>
  <c r="L154" i="6"/>
  <c r="M154" i="6"/>
  <c r="D155" i="6"/>
  <c r="E155" i="6"/>
  <c r="F155" i="6"/>
  <c r="G155" i="6"/>
  <c r="H155" i="6"/>
  <c r="I155" i="6"/>
  <c r="J155" i="6"/>
  <c r="K155" i="6"/>
  <c r="L155" i="6"/>
  <c r="M155" i="6"/>
  <c r="D156" i="6"/>
  <c r="E156" i="6"/>
  <c r="F156" i="6"/>
  <c r="G156" i="6"/>
  <c r="H156" i="6"/>
  <c r="I156" i="6"/>
  <c r="J156" i="6"/>
  <c r="K156" i="6"/>
  <c r="L156" i="6"/>
  <c r="M156" i="6"/>
  <c r="D157" i="6"/>
  <c r="E157" i="6"/>
  <c r="F157" i="6"/>
  <c r="G157" i="6"/>
  <c r="H157" i="6"/>
  <c r="I157" i="6"/>
  <c r="J157" i="6"/>
  <c r="K157" i="6"/>
  <c r="L157" i="6"/>
  <c r="M157" i="6"/>
  <c r="D158" i="6"/>
  <c r="E158" i="6"/>
  <c r="F158" i="6"/>
  <c r="G158" i="6"/>
  <c r="H158" i="6"/>
  <c r="I158" i="6"/>
  <c r="J158" i="6"/>
  <c r="K158" i="6"/>
  <c r="L158" i="6"/>
  <c r="M158" i="6"/>
  <c r="D159" i="6"/>
  <c r="E159" i="6"/>
  <c r="F159" i="6"/>
  <c r="G159" i="6"/>
  <c r="H159" i="6"/>
  <c r="I159" i="6"/>
  <c r="J159" i="6"/>
  <c r="K159" i="6"/>
  <c r="L159" i="6"/>
  <c r="M159" i="6"/>
  <c r="D160" i="6"/>
  <c r="E160" i="6"/>
  <c r="F160" i="6"/>
  <c r="G160" i="6"/>
  <c r="H160" i="6"/>
  <c r="I160" i="6"/>
  <c r="J160" i="6"/>
  <c r="K160" i="6"/>
  <c r="L160" i="6"/>
  <c r="M160" i="6"/>
  <c r="D161" i="6"/>
  <c r="E161" i="6"/>
  <c r="F161" i="6"/>
  <c r="G161" i="6"/>
  <c r="H161" i="6"/>
  <c r="I161" i="6"/>
  <c r="J161" i="6"/>
  <c r="K161" i="6"/>
  <c r="L161" i="6"/>
  <c r="M161" i="6"/>
  <c r="D162" i="6"/>
  <c r="E162" i="6"/>
  <c r="F162" i="6"/>
  <c r="G162" i="6"/>
  <c r="H162" i="6"/>
  <c r="I162" i="6"/>
  <c r="J162" i="6"/>
  <c r="K162" i="6"/>
  <c r="L162" i="6"/>
  <c r="M162" i="6"/>
  <c r="D163" i="6"/>
  <c r="E163" i="6"/>
  <c r="F163" i="6"/>
  <c r="G163" i="6"/>
  <c r="H163" i="6"/>
  <c r="I163" i="6"/>
  <c r="J163" i="6"/>
  <c r="K163" i="6"/>
  <c r="L163" i="6"/>
  <c r="M163" i="6"/>
  <c r="D164" i="6"/>
  <c r="E164" i="6"/>
  <c r="F164" i="6"/>
  <c r="G164" i="6"/>
  <c r="H164" i="6"/>
  <c r="I164" i="6"/>
  <c r="J164" i="6"/>
  <c r="K164" i="6"/>
  <c r="L164" i="6"/>
  <c r="M164" i="6"/>
  <c r="D165" i="6"/>
  <c r="E165" i="6"/>
  <c r="F165" i="6"/>
  <c r="G165" i="6"/>
  <c r="H165" i="6"/>
  <c r="I165" i="6"/>
  <c r="J165" i="6"/>
  <c r="K165" i="6"/>
  <c r="L165" i="6"/>
  <c r="M165" i="6"/>
  <c r="D166" i="6"/>
  <c r="E166" i="6"/>
  <c r="F166" i="6"/>
  <c r="G166" i="6"/>
  <c r="H166" i="6"/>
  <c r="I166" i="6"/>
  <c r="J166" i="6"/>
  <c r="K166" i="6"/>
  <c r="L166" i="6"/>
  <c r="M166" i="6"/>
  <c r="D167" i="6"/>
  <c r="E167" i="6"/>
  <c r="F167" i="6"/>
  <c r="G167" i="6"/>
  <c r="H167" i="6"/>
  <c r="I167" i="6"/>
  <c r="J167" i="6"/>
  <c r="K167" i="6"/>
  <c r="L167" i="6"/>
  <c r="M167" i="6"/>
  <c r="D168" i="6"/>
  <c r="E168" i="6"/>
  <c r="F168" i="6"/>
  <c r="G168" i="6"/>
  <c r="H168" i="6"/>
  <c r="I168" i="6"/>
  <c r="J168" i="6"/>
  <c r="K168" i="6"/>
  <c r="L168" i="6"/>
  <c r="M168" i="6"/>
  <c r="D169" i="6"/>
  <c r="E169" i="6"/>
  <c r="F169" i="6"/>
  <c r="G169" i="6"/>
  <c r="H169" i="6"/>
  <c r="I169" i="6"/>
  <c r="J169" i="6"/>
  <c r="K169" i="6"/>
  <c r="L169" i="6"/>
  <c r="M169" i="6"/>
  <c r="D170" i="6"/>
  <c r="E170" i="6"/>
  <c r="F170" i="6"/>
  <c r="G170" i="6"/>
  <c r="H170" i="6"/>
  <c r="I170" i="6"/>
  <c r="J170" i="6"/>
  <c r="K170" i="6"/>
  <c r="L170" i="6"/>
  <c r="M170" i="6"/>
  <c r="D171" i="6"/>
  <c r="E171" i="6"/>
  <c r="F171" i="6"/>
  <c r="G171" i="6"/>
  <c r="H171" i="6"/>
  <c r="I171" i="6"/>
  <c r="J171" i="6"/>
  <c r="K171" i="6"/>
  <c r="L171" i="6"/>
  <c r="M171" i="6"/>
  <c r="D172" i="6"/>
  <c r="E172" i="6"/>
  <c r="F172" i="6"/>
  <c r="G172" i="6"/>
  <c r="H172" i="6"/>
  <c r="I172" i="6"/>
  <c r="J172" i="6"/>
  <c r="K172" i="6"/>
  <c r="L172" i="6"/>
  <c r="M172" i="6"/>
  <c r="D173" i="6"/>
  <c r="E173" i="6"/>
  <c r="F173" i="6"/>
  <c r="G173" i="6"/>
  <c r="H173" i="6"/>
  <c r="I173" i="6"/>
  <c r="J173" i="6"/>
  <c r="K173" i="6"/>
  <c r="L173" i="6"/>
  <c r="M173" i="6"/>
  <c r="D174" i="6"/>
  <c r="E174" i="6"/>
  <c r="F174" i="6"/>
  <c r="G174" i="6"/>
  <c r="H174" i="6"/>
  <c r="I174" i="6"/>
  <c r="J174" i="6"/>
  <c r="K174" i="6"/>
  <c r="L174" i="6"/>
  <c r="M174" i="6"/>
  <c r="D175" i="6"/>
  <c r="E175" i="6"/>
  <c r="F175" i="6"/>
  <c r="G175" i="6"/>
  <c r="H175" i="6"/>
  <c r="I175" i="6"/>
  <c r="J175" i="6"/>
  <c r="K175" i="6"/>
  <c r="L175" i="6"/>
  <c r="M175" i="6"/>
  <c r="D176" i="6"/>
  <c r="E176" i="6"/>
  <c r="F176" i="6"/>
  <c r="G176" i="6"/>
  <c r="H176" i="6"/>
  <c r="I176" i="6"/>
  <c r="J176" i="6"/>
  <c r="K176" i="6"/>
  <c r="L176" i="6"/>
  <c r="M176" i="6"/>
  <c r="D177" i="6"/>
  <c r="E177" i="6"/>
  <c r="F177" i="6"/>
  <c r="G177" i="6"/>
  <c r="H177" i="6"/>
  <c r="I177" i="6"/>
  <c r="J177" i="6"/>
  <c r="K177" i="6"/>
  <c r="L177" i="6"/>
  <c r="M177" i="6"/>
  <c r="D178" i="6"/>
  <c r="E178" i="6"/>
  <c r="F178" i="6"/>
  <c r="G178" i="6"/>
  <c r="H178" i="6"/>
  <c r="I178" i="6"/>
  <c r="J178" i="6"/>
  <c r="K178" i="6"/>
  <c r="L178" i="6"/>
  <c r="M178" i="6"/>
  <c r="D179" i="6"/>
  <c r="E179" i="6"/>
  <c r="F179" i="6"/>
  <c r="G179" i="6"/>
  <c r="H179" i="6"/>
  <c r="I179" i="6"/>
  <c r="J179" i="6"/>
  <c r="K179" i="6"/>
  <c r="L179" i="6"/>
  <c r="M179" i="6"/>
  <c r="D180" i="6"/>
  <c r="E180" i="6"/>
  <c r="F180" i="6"/>
  <c r="G180" i="6"/>
  <c r="H180" i="6"/>
  <c r="I180" i="6"/>
  <c r="J180" i="6"/>
  <c r="K180" i="6"/>
  <c r="L180" i="6"/>
  <c r="M180" i="6"/>
  <c r="D181" i="6"/>
  <c r="E181" i="6"/>
  <c r="F181" i="6"/>
  <c r="G181" i="6"/>
  <c r="H181" i="6"/>
  <c r="I181" i="6"/>
  <c r="J181" i="6"/>
  <c r="K181" i="6"/>
  <c r="L181" i="6"/>
  <c r="M181" i="6"/>
  <c r="D182" i="6"/>
  <c r="E182" i="6"/>
  <c r="F182" i="6"/>
  <c r="G182" i="6"/>
  <c r="H182" i="6"/>
  <c r="I182" i="6"/>
  <c r="J182" i="6"/>
  <c r="K182" i="6"/>
  <c r="L182" i="6"/>
  <c r="M182" i="6"/>
  <c r="D183" i="6"/>
  <c r="E183" i="6"/>
  <c r="F183" i="6"/>
  <c r="G183" i="6"/>
  <c r="H183" i="6"/>
  <c r="I183" i="6"/>
  <c r="J183" i="6"/>
  <c r="K183" i="6"/>
  <c r="L183" i="6"/>
  <c r="M183" i="6"/>
  <c r="D184" i="6"/>
  <c r="E184" i="6"/>
  <c r="F184" i="6"/>
  <c r="G184" i="6"/>
  <c r="H184" i="6"/>
  <c r="I184" i="6"/>
  <c r="J184" i="6"/>
  <c r="K184" i="6"/>
  <c r="L184" i="6"/>
  <c r="M184" i="6"/>
  <c r="D185" i="6"/>
  <c r="E185" i="6"/>
  <c r="F185" i="6"/>
  <c r="G185" i="6"/>
  <c r="H185" i="6"/>
  <c r="I185" i="6"/>
  <c r="J185" i="6"/>
  <c r="K185" i="6"/>
  <c r="L185" i="6"/>
  <c r="M185" i="6"/>
  <c r="D186" i="6"/>
  <c r="E186" i="6"/>
  <c r="F186" i="6"/>
  <c r="G186" i="6"/>
  <c r="H186" i="6"/>
  <c r="I186" i="6"/>
  <c r="J186" i="6"/>
  <c r="K186" i="6"/>
  <c r="L186" i="6"/>
  <c r="M186" i="6"/>
  <c r="D187" i="6"/>
  <c r="E187" i="6"/>
  <c r="F187" i="6"/>
  <c r="G187" i="6"/>
  <c r="H187" i="6"/>
  <c r="I187" i="6"/>
  <c r="J187" i="6"/>
  <c r="K187" i="6"/>
  <c r="L187" i="6"/>
  <c r="M187" i="6"/>
  <c r="D188" i="6"/>
  <c r="E188" i="6"/>
  <c r="F188" i="6"/>
  <c r="G188" i="6"/>
  <c r="H188" i="6"/>
  <c r="I188" i="6"/>
  <c r="J188" i="6"/>
  <c r="K188" i="6"/>
  <c r="L188" i="6"/>
  <c r="M188" i="6"/>
  <c r="D189" i="6"/>
  <c r="E189" i="6"/>
  <c r="F189" i="6"/>
  <c r="G189" i="6"/>
  <c r="H189" i="6"/>
  <c r="I189" i="6"/>
  <c r="J189" i="6"/>
  <c r="K189" i="6"/>
  <c r="L189" i="6"/>
  <c r="M189" i="6"/>
  <c r="D190" i="6"/>
  <c r="E190" i="6"/>
  <c r="F190" i="6"/>
  <c r="G190" i="6"/>
  <c r="H190" i="6"/>
  <c r="I190" i="6"/>
  <c r="J190" i="6"/>
  <c r="K190" i="6"/>
  <c r="L190" i="6"/>
  <c r="M190" i="6"/>
  <c r="D191" i="6"/>
  <c r="E191" i="6"/>
  <c r="F191" i="6"/>
  <c r="G191" i="6"/>
  <c r="H191" i="6"/>
  <c r="I191" i="6"/>
  <c r="J191" i="6"/>
  <c r="K191" i="6"/>
  <c r="L191" i="6"/>
  <c r="M191" i="6"/>
  <c r="D192" i="6"/>
  <c r="E192" i="6"/>
  <c r="F192" i="6"/>
  <c r="G192" i="6"/>
  <c r="H192" i="6"/>
  <c r="I192" i="6"/>
  <c r="J192" i="6"/>
  <c r="K192" i="6"/>
  <c r="L192" i="6"/>
  <c r="M192" i="6"/>
  <c r="D193" i="6"/>
  <c r="E193" i="6"/>
  <c r="F193" i="6"/>
  <c r="G193" i="6"/>
  <c r="H193" i="6"/>
  <c r="I193" i="6"/>
  <c r="J193" i="6"/>
  <c r="K193" i="6"/>
  <c r="L193" i="6"/>
  <c r="M193" i="6"/>
  <c r="D194" i="6"/>
  <c r="E194" i="6"/>
  <c r="F194" i="6"/>
  <c r="G194" i="6"/>
  <c r="H194" i="6"/>
  <c r="I194" i="6"/>
  <c r="J194" i="6"/>
  <c r="K194" i="6"/>
  <c r="L194" i="6"/>
  <c r="M194" i="6"/>
  <c r="D195" i="6"/>
  <c r="E195" i="6"/>
  <c r="F195" i="6"/>
  <c r="G195" i="6"/>
  <c r="H195" i="6"/>
  <c r="I195" i="6"/>
  <c r="J195" i="6"/>
  <c r="K195" i="6"/>
  <c r="L195" i="6"/>
  <c r="M195" i="6"/>
  <c r="D196" i="6"/>
  <c r="E196" i="6"/>
  <c r="F196" i="6"/>
  <c r="G196" i="6"/>
  <c r="H196" i="6"/>
  <c r="I196" i="6"/>
  <c r="J196" i="6"/>
  <c r="K196" i="6"/>
  <c r="L196" i="6"/>
  <c r="M196" i="6"/>
  <c r="D197" i="6"/>
  <c r="E197" i="6"/>
  <c r="F197" i="6"/>
  <c r="G197" i="6"/>
  <c r="H197" i="6"/>
  <c r="I197" i="6"/>
  <c r="J197" i="6"/>
  <c r="K197" i="6"/>
  <c r="L197" i="6"/>
  <c r="M197" i="6"/>
  <c r="D198" i="6"/>
  <c r="E198" i="6"/>
  <c r="F198" i="6"/>
  <c r="G198" i="6"/>
  <c r="H198" i="6"/>
  <c r="I198" i="6"/>
  <c r="J198" i="6"/>
  <c r="K198" i="6"/>
  <c r="L198" i="6"/>
  <c r="M198" i="6"/>
  <c r="D199" i="6"/>
  <c r="E199" i="6"/>
  <c r="F199" i="6"/>
  <c r="G199" i="6"/>
  <c r="H199" i="6"/>
  <c r="I199" i="6"/>
  <c r="J199" i="6"/>
  <c r="K199" i="6"/>
  <c r="L199" i="6"/>
  <c r="M199" i="6"/>
  <c r="D200" i="6"/>
  <c r="E200" i="6"/>
  <c r="F200" i="6"/>
  <c r="G200" i="6"/>
  <c r="H200" i="6"/>
  <c r="I200" i="6"/>
  <c r="J200" i="6"/>
  <c r="K200" i="6"/>
  <c r="L200" i="6"/>
  <c r="M200" i="6"/>
  <c r="D201" i="6"/>
  <c r="E201" i="6"/>
  <c r="F201" i="6"/>
  <c r="G201" i="6"/>
  <c r="H201" i="6"/>
  <c r="I201" i="6"/>
  <c r="J201" i="6"/>
  <c r="K201" i="6"/>
  <c r="L201" i="6"/>
  <c r="M201" i="6"/>
  <c r="D202" i="6"/>
  <c r="E202" i="6"/>
  <c r="F202" i="6"/>
  <c r="G202" i="6"/>
  <c r="H202" i="6"/>
  <c r="I202" i="6"/>
  <c r="J202" i="6"/>
  <c r="K202" i="6"/>
  <c r="L202" i="6"/>
  <c r="M202" i="6"/>
  <c r="D203" i="6"/>
  <c r="E203" i="6"/>
  <c r="F203" i="6"/>
  <c r="G203" i="6"/>
  <c r="H203" i="6"/>
  <c r="I203" i="6"/>
  <c r="J203" i="6"/>
  <c r="K203" i="6"/>
  <c r="L203" i="6"/>
  <c r="M203" i="6"/>
  <c r="D204" i="6"/>
  <c r="E204" i="6"/>
  <c r="F204" i="6"/>
  <c r="G204" i="6"/>
  <c r="H204" i="6"/>
  <c r="I204" i="6"/>
  <c r="J204" i="6"/>
  <c r="K204" i="6"/>
  <c r="L204" i="6"/>
  <c r="M204" i="6"/>
  <c r="D205" i="6"/>
  <c r="E205" i="6"/>
  <c r="F205" i="6"/>
  <c r="G205" i="6"/>
  <c r="H205" i="6"/>
  <c r="I205" i="6"/>
  <c r="J205" i="6"/>
  <c r="K205" i="6"/>
  <c r="L205" i="6"/>
  <c r="M205" i="6"/>
  <c r="D206" i="6"/>
  <c r="E206" i="6"/>
  <c r="F206" i="6"/>
  <c r="G206" i="6"/>
  <c r="H206" i="6"/>
  <c r="I206" i="6"/>
  <c r="J206" i="6"/>
  <c r="K206" i="6"/>
  <c r="L206" i="6"/>
  <c r="M206" i="6"/>
  <c r="D207" i="6"/>
  <c r="E207" i="6"/>
  <c r="F207" i="6"/>
  <c r="G207" i="6"/>
  <c r="H207" i="6"/>
  <c r="I207" i="6"/>
  <c r="J207" i="6"/>
  <c r="K207" i="6"/>
  <c r="L207" i="6"/>
  <c r="M207" i="6"/>
  <c r="D208" i="6"/>
  <c r="E208" i="6"/>
  <c r="F208" i="6"/>
  <c r="G208" i="6"/>
  <c r="H208" i="6"/>
  <c r="I208" i="6"/>
  <c r="J208" i="6"/>
  <c r="K208" i="6"/>
  <c r="L208" i="6"/>
  <c r="M208" i="6"/>
  <c r="D209" i="6"/>
  <c r="E209" i="6"/>
  <c r="F209" i="6"/>
  <c r="G209" i="6"/>
  <c r="H209" i="6"/>
  <c r="I209" i="6"/>
  <c r="J209" i="6"/>
  <c r="K209" i="6"/>
  <c r="L209" i="6"/>
  <c r="M209" i="6"/>
  <c r="D210" i="6"/>
  <c r="E210" i="6"/>
  <c r="F210" i="6"/>
  <c r="G210" i="6"/>
  <c r="H210" i="6"/>
  <c r="I210" i="6"/>
  <c r="J210" i="6"/>
  <c r="K210" i="6"/>
  <c r="L210" i="6"/>
  <c r="M210" i="6"/>
  <c r="D211" i="6"/>
  <c r="E211" i="6"/>
  <c r="F211" i="6"/>
  <c r="G211" i="6"/>
  <c r="H211" i="6"/>
  <c r="I211" i="6"/>
  <c r="J211" i="6"/>
  <c r="K211" i="6"/>
  <c r="L211" i="6"/>
  <c r="M211" i="6"/>
  <c r="D212" i="6"/>
  <c r="E212" i="6"/>
  <c r="F212" i="6"/>
  <c r="G212" i="6"/>
  <c r="H212" i="6"/>
  <c r="I212" i="6"/>
  <c r="J212" i="6"/>
  <c r="K212" i="6"/>
  <c r="L212" i="6"/>
  <c r="M212" i="6"/>
  <c r="D213" i="6"/>
  <c r="E213" i="6"/>
  <c r="F213" i="6"/>
  <c r="G213" i="6"/>
  <c r="H213" i="6"/>
  <c r="I213" i="6"/>
  <c r="J213" i="6"/>
  <c r="K213" i="6"/>
  <c r="L213" i="6"/>
  <c r="M213" i="6"/>
  <c r="D214" i="6"/>
  <c r="E214" i="6"/>
  <c r="F214" i="6"/>
  <c r="G214" i="6"/>
  <c r="H214" i="6"/>
  <c r="I214" i="6"/>
  <c r="J214" i="6"/>
  <c r="K214" i="6"/>
  <c r="L214" i="6"/>
  <c r="M214" i="6"/>
  <c r="D215" i="6"/>
  <c r="E215" i="6"/>
  <c r="F215" i="6"/>
  <c r="G215" i="6"/>
  <c r="H215" i="6"/>
  <c r="I215" i="6"/>
  <c r="J215" i="6"/>
  <c r="K215" i="6"/>
  <c r="L215" i="6"/>
  <c r="M215" i="6"/>
  <c r="D216" i="6"/>
  <c r="E216" i="6"/>
  <c r="F216" i="6"/>
  <c r="G216" i="6"/>
  <c r="H216" i="6"/>
  <c r="I216" i="6"/>
  <c r="J216" i="6"/>
  <c r="K216" i="6"/>
  <c r="L216" i="6"/>
  <c r="M216" i="6"/>
  <c r="D217" i="6"/>
  <c r="E217" i="6"/>
  <c r="F217" i="6"/>
  <c r="G217" i="6"/>
  <c r="H217" i="6"/>
  <c r="I217" i="6"/>
  <c r="J217" i="6"/>
  <c r="K217" i="6"/>
  <c r="L217" i="6"/>
  <c r="M217" i="6"/>
  <c r="D218" i="6"/>
  <c r="E218" i="6"/>
  <c r="F218" i="6"/>
  <c r="G218" i="6"/>
  <c r="H218" i="6"/>
  <c r="I218" i="6"/>
  <c r="J218" i="6"/>
  <c r="K218" i="6"/>
  <c r="L218" i="6"/>
  <c r="M218" i="6"/>
  <c r="D219" i="6"/>
  <c r="E219" i="6"/>
  <c r="F219" i="6"/>
  <c r="G219" i="6"/>
  <c r="H219" i="6"/>
  <c r="I219" i="6"/>
  <c r="J219" i="6"/>
  <c r="K219" i="6"/>
  <c r="L219" i="6"/>
  <c r="M219" i="6"/>
  <c r="D220" i="6"/>
  <c r="E220" i="6"/>
  <c r="F220" i="6"/>
  <c r="G220" i="6"/>
  <c r="H220" i="6"/>
  <c r="I220" i="6"/>
  <c r="J220" i="6"/>
  <c r="K220" i="6"/>
  <c r="L220" i="6"/>
  <c r="M220" i="6"/>
  <c r="D221" i="6"/>
  <c r="E221" i="6"/>
  <c r="F221" i="6"/>
  <c r="G221" i="6"/>
  <c r="H221" i="6"/>
  <c r="I221" i="6"/>
  <c r="J221" i="6"/>
  <c r="K221" i="6"/>
  <c r="L221" i="6"/>
  <c r="M221" i="6"/>
  <c r="D222" i="6"/>
  <c r="E222" i="6"/>
  <c r="F222" i="6"/>
  <c r="G222" i="6"/>
  <c r="H222" i="6"/>
  <c r="I222" i="6"/>
  <c r="J222" i="6"/>
  <c r="K222" i="6"/>
  <c r="L222" i="6"/>
  <c r="M222" i="6"/>
  <c r="D223" i="6"/>
  <c r="E223" i="6"/>
  <c r="F223" i="6"/>
  <c r="G223" i="6"/>
  <c r="H223" i="6"/>
  <c r="I223" i="6"/>
  <c r="J223" i="6"/>
  <c r="K223" i="6"/>
  <c r="L223" i="6"/>
  <c r="M223" i="6"/>
  <c r="D224" i="6"/>
  <c r="E224" i="6"/>
  <c r="F224" i="6"/>
  <c r="G224" i="6"/>
  <c r="H224" i="6"/>
  <c r="I224" i="6"/>
  <c r="J224" i="6"/>
  <c r="K224" i="6"/>
  <c r="L224" i="6"/>
  <c r="M224" i="6"/>
  <c r="D225" i="6"/>
  <c r="E225" i="6"/>
  <c r="F225" i="6"/>
  <c r="G225" i="6"/>
  <c r="H225" i="6"/>
  <c r="I225" i="6"/>
  <c r="J225" i="6"/>
  <c r="K225" i="6"/>
  <c r="L225" i="6"/>
  <c r="M225" i="6"/>
  <c r="D226" i="6"/>
  <c r="E226" i="6"/>
  <c r="F226" i="6"/>
  <c r="G226" i="6"/>
  <c r="H226" i="6"/>
  <c r="I226" i="6"/>
  <c r="J226" i="6"/>
  <c r="K226" i="6"/>
  <c r="L226" i="6"/>
  <c r="M226" i="6"/>
  <c r="D227" i="6"/>
  <c r="E227" i="6"/>
  <c r="F227" i="6"/>
  <c r="G227" i="6"/>
  <c r="H227" i="6"/>
  <c r="I227" i="6"/>
  <c r="J227" i="6"/>
  <c r="K227" i="6"/>
  <c r="L227" i="6"/>
  <c r="M227" i="6"/>
  <c r="D228" i="6"/>
  <c r="E228" i="6"/>
  <c r="F228" i="6"/>
  <c r="G228" i="6"/>
  <c r="H228" i="6"/>
  <c r="I228" i="6"/>
  <c r="J228" i="6"/>
  <c r="K228" i="6"/>
  <c r="L228" i="6"/>
  <c r="M228" i="6"/>
  <c r="D229" i="6"/>
  <c r="E229" i="6"/>
  <c r="F229" i="6"/>
  <c r="G229" i="6"/>
  <c r="H229" i="6"/>
  <c r="I229" i="6"/>
  <c r="J229" i="6"/>
  <c r="K229" i="6"/>
  <c r="L229" i="6"/>
  <c r="M229" i="6"/>
  <c r="D230" i="6"/>
  <c r="E230" i="6"/>
  <c r="F230" i="6"/>
  <c r="G230" i="6"/>
  <c r="H230" i="6"/>
  <c r="I230" i="6"/>
  <c r="J230" i="6"/>
  <c r="K230" i="6"/>
  <c r="L230" i="6"/>
  <c r="M230" i="6"/>
  <c r="D231" i="6"/>
  <c r="E231" i="6"/>
  <c r="F231" i="6"/>
  <c r="G231" i="6"/>
  <c r="H231" i="6"/>
  <c r="I231" i="6"/>
  <c r="J231" i="6"/>
  <c r="K231" i="6"/>
  <c r="L231" i="6"/>
  <c r="M231" i="6"/>
  <c r="D232" i="6"/>
  <c r="E232" i="6"/>
  <c r="F232" i="6"/>
  <c r="G232" i="6"/>
  <c r="H232" i="6"/>
  <c r="I232" i="6"/>
  <c r="J232" i="6"/>
  <c r="K232" i="6"/>
  <c r="L232" i="6"/>
  <c r="M232" i="6"/>
  <c r="D233" i="6"/>
  <c r="E233" i="6"/>
  <c r="F233" i="6"/>
  <c r="G233" i="6"/>
  <c r="H233" i="6"/>
  <c r="I233" i="6"/>
  <c r="J233" i="6"/>
  <c r="K233" i="6"/>
  <c r="L233" i="6"/>
  <c r="M233" i="6"/>
  <c r="D234" i="6"/>
  <c r="E234" i="6"/>
  <c r="F234" i="6"/>
  <c r="G234" i="6"/>
  <c r="H234" i="6"/>
  <c r="I234" i="6"/>
  <c r="J234" i="6"/>
  <c r="K234" i="6"/>
  <c r="L234" i="6"/>
  <c r="M234" i="6"/>
  <c r="D235" i="6"/>
  <c r="E235" i="6"/>
  <c r="F235" i="6"/>
  <c r="G235" i="6"/>
  <c r="H235" i="6"/>
  <c r="I235" i="6"/>
  <c r="J235" i="6"/>
  <c r="K235" i="6"/>
  <c r="L235" i="6"/>
  <c r="M235" i="6"/>
  <c r="D236" i="6"/>
  <c r="E236" i="6"/>
  <c r="F236" i="6"/>
  <c r="G236" i="6"/>
  <c r="H236" i="6"/>
  <c r="I236" i="6"/>
  <c r="J236" i="6"/>
  <c r="K236" i="6"/>
  <c r="L236" i="6"/>
  <c r="M236" i="6"/>
  <c r="D237" i="6"/>
  <c r="E237" i="6"/>
  <c r="F237" i="6"/>
  <c r="G237" i="6"/>
  <c r="H237" i="6"/>
  <c r="I237" i="6"/>
  <c r="J237" i="6"/>
  <c r="K237" i="6"/>
  <c r="L237" i="6"/>
  <c r="M237" i="6"/>
  <c r="D238" i="6"/>
  <c r="E238" i="6"/>
  <c r="F238" i="6"/>
  <c r="G238" i="6"/>
  <c r="H238" i="6"/>
  <c r="I238" i="6"/>
  <c r="J238" i="6"/>
  <c r="K238" i="6"/>
  <c r="L238" i="6"/>
  <c r="M238" i="6"/>
  <c r="D239" i="6"/>
  <c r="E239" i="6"/>
  <c r="F239" i="6"/>
  <c r="G239" i="6"/>
  <c r="H239" i="6"/>
  <c r="I239" i="6"/>
  <c r="J239" i="6"/>
  <c r="K239" i="6"/>
  <c r="L239" i="6"/>
  <c r="M239" i="6"/>
  <c r="D240" i="6"/>
  <c r="E240" i="6"/>
  <c r="F240" i="6"/>
  <c r="G240" i="6"/>
  <c r="H240" i="6"/>
  <c r="I240" i="6"/>
  <c r="J240" i="6"/>
  <c r="K240" i="6"/>
  <c r="L240" i="6"/>
  <c r="M240" i="6"/>
  <c r="D241" i="6"/>
  <c r="E241" i="6"/>
  <c r="F241" i="6"/>
  <c r="G241" i="6"/>
  <c r="H241" i="6"/>
  <c r="I241" i="6"/>
  <c r="J241" i="6"/>
  <c r="K241" i="6"/>
  <c r="L241" i="6"/>
  <c r="M241" i="6"/>
  <c r="D242" i="6"/>
  <c r="E242" i="6"/>
  <c r="F242" i="6"/>
  <c r="G242" i="6"/>
  <c r="H242" i="6"/>
  <c r="I242" i="6"/>
  <c r="J242" i="6"/>
  <c r="K242" i="6"/>
  <c r="L242" i="6"/>
  <c r="M242" i="6"/>
  <c r="D243" i="6"/>
  <c r="E243" i="6"/>
  <c r="F243" i="6"/>
  <c r="G243" i="6"/>
  <c r="H243" i="6"/>
  <c r="I243" i="6"/>
  <c r="J243" i="6"/>
  <c r="K243" i="6"/>
  <c r="L243" i="6"/>
  <c r="M243" i="6"/>
  <c r="D244" i="6"/>
  <c r="E244" i="6"/>
  <c r="F244" i="6"/>
  <c r="G244" i="6"/>
  <c r="H244" i="6"/>
  <c r="I244" i="6"/>
  <c r="J244" i="6"/>
  <c r="K244" i="6"/>
  <c r="L244" i="6"/>
  <c r="M244" i="6"/>
  <c r="D245" i="6"/>
  <c r="E245" i="6"/>
  <c r="F245" i="6"/>
  <c r="G245" i="6"/>
  <c r="H245" i="6"/>
  <c r="I245" i="6"/>
  <c r="J245" i="6"/>
  <c r="K245" i="6"/>
  <c r="L245" i="6"/>
  <c r="M245" i="6"/>
  <c r="D246" i="6"/>
  <c r="E246" i="6"/>
  <c r="F246" i="6"/>
  <c r="G246" i="6"/>
  <c r="H246" i="6"/>
  <c r="I246" i="6"/>
  <c r="J246" i="6"/>
  <c r="K246" i="6"/>
  <c r="L246" i="6"/>
  <c r="M246" i="6"/>
  <c r="D247" i="6"/>
  <c r="E247" i="6"/>
  <c r="F247" i="6"/>
  <c r="G247" i="6"/>
  <c r="H247" i="6"/>
  <c r="I247" i="6"/>
  <c r="J247" i="6"/>
  <c r="K247" i="6"/>
  <c r="L247" i="6"/>
  <c r="M247" i="6"/>
  <c r="D248" i="6"/>
  <c r="E248" i="6"/>
  <c r="F248" i="6"/>
  <c r="G248" i="6"/>
  <c r="H248" i="6"/>
  <c r="I248" i="6"/>
  <c r="J248" i="6"/>
  <c r="K248" i="6"/>
  <c r="L248" i="6"/>
  <c r="M248" i="6"/>
  <c r="D249" i="6"/>
  <c r="E249" i="6"/>
  <c r="F249" i="6"/>
  <c r="G249" i="6"/>
  <c r="H249" i="6"/>
  <c r="I249" i="6"/>
  <c r="J249" i="6"/>
  <c r="K249" i="6"/>
  <c r="L249" i="6"/>
  <c r="M249" i="6"/>
  <c r="D250" i="6"/>
  <c r="E250" i="6"/>
  <c r="F250" i="6"/>
  <c r="G250" i="6"/>
  <c r="H250" i="6"/>
  <c r="I250" i="6"/>
  <c r="J250" i="6"/>
  <c r="K250" i="6"/>
  <c r="L250" i="6"/>
  <c r="M250" i="6"/>
  <c r="D251" i="6"/>
  <c r="E251" i="6"/>
  <c r="F251" i="6"/>
  <c r="G251" i="6"/>
  <c r="H251" i="6"/>
  <c r="I251" i="6"/>
  <c r="J251" i="6"/>
  <c r="K251" i="6"/>
  <c r="L251" i="6"/>
  <c r="M251" i="6"/>
  <c r="D252" i="6"/>
  <c r="E252" i="6"/>
  <c r="F252" i="6"/>
  <c r="G252" i="6"/>
  <c r="H252" i="6"/>
  <c r="I252" i="6"/>
  <c r="J252" i="6"/>
  <c r="K252" i="6"/>
  <c r="L252" i="6"/>
  <c r="M252" i="6"/>
  <c r="D253" i="6"/>
  <c r="E253" i="6"/>
  <c r="F253" i="6"/>
  <c r="G253" i="6"/>
  <c r="H253" i="6"/>
  <c r="I253" i="6"/>
  <c r="J253" i="6"/>
  <c r="K253" i="6"/>
  <c r="L253" i="6"/>
  <c r="M253" i="6"/>
  <c r="D254" i="6"/>
  <c r="E254" i="6"/>
  <c r="F254" i="6"/>
  <c r="G254" i="6"/>
  <c r="H254" i="6"/>
  <c r="I254" i="6"/>
  <c r="J254" i="6"/>
  <c r="K254" i="6"/>
  <c r="L254" i="6"/>
  <c r="M254" i="6"/>
  <c r="D255" i="6"/>
  <c r="E255" i="6"/>
  <c r="F255" i="6"/>
  <c r="G255" i="6"/>
  <c r="H255" i="6"/>
  <c r="I255" i="6"/>
  <c r="J255" i="6"/>
  <c r="K255" i="6"/>
  <c r="L255" i="6"/>
  <c r="M255" i="6"/>
  <c r="D256" i="6"/>
  <c r="E256" i="6"/>
  <c r="F256" i="6"/>
  <c r="G256" i="6"/>
  <c r="H256" i="6"/>
  <c r="I256" i="6"/>
  <c r="J256" i="6"/>
  <c r="K256" i="6"/>
  <c r="L256" i="6"/>
  <c r="M256" i="6"/>
  <c r="D257" i="6"/>
  <c r="E257" i="6"/>
  <c r="F257" i="6"/>
  <c r="G257" i="6"/>
  <c r="H257" i="6"/>
  <c r="I257" i="6"/>
  <c r="J257" i="6"/>
  <c r="K257" i="6"/>
  <c r="L257" i="6"/>
  <c r="M257" i="6"/>
  <c r="D258" i="6"/>
  <c r="E258" i="6"/>
  <c r="F258" i="6"/>
  <c r="G258" i="6"/>
  <c r="H258" i="6"/>
  <c r="I258" i="6"/>
  <c r="J258" i="6"/>
  <c r="K258" i="6"/>
  <c r="L258" i="6"/>
  <c r="M258" i="6"/>
  <c r="D259" i="6"/>
  <c r="E259" i="6"/>
  <c r="F259" i="6"/>
  <c r="G259" i="6"/>
  <c r="H259" i="6"/>
  <c r="I259" i="6"/>
  <c r="J259" i="6"/>
  <c r="K259" i="6"/>
  <c r="L259" i="6"/>
  <c r="M259" i="6"/>
  <c r="D260" i="6"/>
  <c r="E260" i="6"/>
  <c r="F260" i="6"/>
  <c r="G260" i="6"/>
  <c r="H260" i="6"/>
  <c r="I260" i="6"/>
  <c r="J260" i="6"/>
  <c r="K260" i="6"/>
  <c r="L260" i="6"/>
  <c r="M260" i="6"/>
  <c r="D261" i="6"/>
  <c r="E261" i="6"/>
  <c r="F261" i="6"/>
  <c r="G261" i="6"/>
  <c r="H261" i="6"/>
  <c r="I261" i="6"/>
  <c r="J261" i="6"/>
  <c r="K261" i="6"/>
  <c r="L261" i="6"/>
  <c r="M261" i="6"/>
  <c r="D262" i="6"/>
  <c r="E262" i="6"/>
  <c r="F262" i="6"/>
  <c r="G262" i="6"/>
  <c r="H262" i="6"/>
  <c r="I262" i="6"/>
  <c r="J262" i="6"/>
  <c r="K262" i="6"/>
  <c r="L262" i="6"/>
  <c r="M262" i="6"/>
  <c r="D263" i="6"/>
  <c r="E263" i="6"/>
  <c r="F263" i="6"/>
  <c r="G263" i="6"/>
  <c r="H263" i="6"/>
  <c r="I263" i="6"/>
  <c r="J263" i="6"/>
  <c r="K263" i="6"/>
  <c r="L263" i="6"/>
  <c r="M263" i="6"/>
  <c r="D264" i="6"/>
  <c r="E264" i="6"/>
  <c r="F264" i="6"/>
  <c r="G264" i="6"/>
  <c r="H264" i="6"/>
  <c r="I264" i="6"/>
  <c r="J264" i="6"/>
  <c r="K264" i="6"/>
  <c r="L264" i="6"/>
  <c r="M264" i="6"/>
  <c r="D265" i="6"/>
  <c r="E265" i="6"/>
  <c r="F265" i="6"/>
  <c r="G265" i="6"/>
  <c r="H265" i="6"/>
  <c r="I265" i="6"/>
  <c r="J265" i="6"/>
  <c r="K265" i="6"/>
  <c r="L265" i="6"/>
  <c r="M265" i="6"/>
  <c r="D266" i="6"/>
  <c r="E266" i="6"/>
  <c r="F266" i="6"/>
  <c r="G266" i="6"/>
  <c r="H266" i="6"/>
  <c r="I266" i="6"/>
  <c r="J266" i="6"/>
  <c r="K266" i="6"/>
  <c r="L266" i="6"/>
  <c r="M266" i="6"/>
  <c r="D267" i="6"/>
  <c r="E267" i="6"/>
  <c r="F267" i="6"/>
  <c r="G267" i="6"/>
  <c r="H267" i="6"/>
  <c r="I267" i="6"/>
  <c r="J267" i="6"/>
  <c r="K267" i="6"/>
  <c r="L267" i="6"/>
  <c r="M267" i="6"/>
  <c r="D268" i="6"/>
  <c r="E268" i="6"/>
  <c r="F268" i="6"/>
  <c r="G268" i="6"/>
  <c r="H268" i="6"/>
  <c r="I268" i="6"/>
  <c r="J268" i="6"/>
  <c r="K268" i="6"/>
  <c r="L268" i="6"/>
  <c r="M268" i="6"/>
  <c r="D269" i="6"/>
  <c r="E269" i="6"/>
  <c r="F269" i="6"/>
  <c r="G269" i="6"/>
  <c r="H269" i="6"/>
  <c r="I269" i="6"/>
  <c r="J269" i="6"/>
  <c r="K269" i="6"/>
  <c r="L269" i="6"/>
  <c r="M269" i="6"/>
  <c r="D270" i="6"/>
  <c r="E270" i="6"/>
  <c r="F270" i="6"/>
  <c r="G270" i="6"/>
  <c r="H270" i="6"/>
  <c r="I270" i="6"/>
  <c r="J270" i="6"/>
  <c r="K270" i="6"/>
  <c r="L270" i="6"/>
  <c r="M270" i="6"/>
  <c r="D271" i="6"/>
  <c r="E271" i="6"/>
  <c r="F271" i="6"/>
  <c r="G271" i="6"/>
  <c r="H271" i="6"/>
  <c r="I271" i="6"/>
  <c r="J271" i="6"/>
  <c r="K271" i="6"/>
  <c r="L271" i="6"/>
  <c r="M271" i="6"/>
  <c r="D272" i="6"/>
  <c r="E272" i="6"/>
  <c r="F272" i="6"/>
  <c r="G272" i="6"/>
  <c r="H272" i="6"/>
  <c r="I272" i="6"/>
  <c r="J272" i="6"/>
  <c r="K272" i="6"/>
  <c r="L272" i="6"/>
  <c r="M272" i="6"/>
  <c r="D273" i="6"/>
  <c r="E273" i="6"/>
  <c r="F273" i="6"/>
  <c r="G273" i="6"/>
  <c r="H273" i="6"/>
  <c r="I273" i="6"/>
  <c r="J273" i="6"/>
  <c r="K273" i="6"/>
  <c r="L273" i="6"/>
  <c r="M273" i="6"/>
  <c r="D274" i="6"/>
  <c r="E274" i="6"/>
  <c r="F274" i="6"/>
  <c r="G274" i="6"/>
  <c r="H274" i="6"/>
  <c r="I274" i="6"/>
  <c r="J274" i="6"/>
  <c r="K274" i="6"/>
  <c r="L274" i="6"/>
  <c r="M274" i="6"/>
  <c r="D275" i="6"/>
  <c r="E275" i="6"/>
  <c r="F275" i="6"/>
  <c r="G275" i="6"/>
  <c r="H275" i="6"/>
  <c r="I275" i="6"/>
  <c r="J275" i="6"/>
  <c r="K275" i="6"/>
  <c r="L275" i="6"/>
  <c r="M275" i="6"/>
  <c r="D276" i="6"/>
  <c r="E276" i="6"/>
  <c r="F276" i="6"/>
  <c r="G276" i="6"/>
  <c r="H276" i="6"/>
  <c r="I276" i="6"/>
  <c r="J276" i="6"/>
  <c r="K276" i="6"/>
  <c r="L276" i="6"/>
  <c r="M276" i="6"/>
  <c r="D277" i="6"/>
  <c r="E277" i="6"/>
  <c r="F277" i="6"/>
  <c r="G277" i="6"/>
  <c r="H277" i="6"/>
  <c r="I277" i="6"/>
  <c r="J277" i="6"/>
  <c r="K277" i="6"/>
  <c r="L277" i="6"/>
  <c r="M277" i="6"/>
  <c r="D278" i="6"/>
  <c r="E278" i="6"/>
  <c r="F278" i="6"/>
  <c r="G278" i="6"/>
  <c r="H278" i="6"/>
  <c r="I278" i="6"/>
  <c r="J278" i="6"/>
  <c r="K278" i="6"/>
  <c r="L278" i="6"/>
  <c r="M278" i="6"/>
  <c r="D279" i="6"/>
  <c r="E279" i="6"/>
  <c r="F279" i="6"/>
  <c r="G279" i="6"/>
  <c r="H279" i="6"/>
  <c r="I279" i="6"/>
  <c r="J279" i="6"/>
  <c r="K279" i="6"/>
  <c r="L279" i="6"/>
  <c r="M279" i="6"/>
  <c r="D280" i="6"/>
  <c r="E280" i="6"/>
  <c r="F280" i="6"/>
  <c r="G280" i="6"/>
  <c r="H280" i="6"/>
  <c r="I280" i="6"/>
  <c r="J280" i="6"/>
  <c r="K280" i="6"/>
  <c r="L280" i="6"/>
  <c r="M280" i="6"/>
  <c r="D281" i="6"/>
  <c r="E281" i="6"/>
  <c r="F281" i="6"/>
  <c r="G281" i="6"/>
  <c r="H281" i="6"/>
  <c r="I281" i="6"/>
  <c r="J281" i="6"/>
  <c r="K281" i="6"/>
  <c r="L281" i="6"/>
  <c r="M281" i="6"/>
  <c r="D282" i="6"/>
  <c r="E282" i="6"/>
  <c r="F282" i="6"/>
  <c r="G282" i="6"/>
  <c r="H282" i="6"/>
  <c r="I282" i="6"/>
  <c r="J282" i="6"/>
  <c r="K282" i="6"/>
  <c r="L282" i="6"/>
  <c r="M282" i="6"/>
  <c r="D283" i="6"/>
  <c r="E283" i="6"/>
  <c r="F283" i="6"/>
  <c r="G283" i="6"/>
  <c r="H283" i="6"/>
  <c r="I283" i="6"/>
  <c r="J283" i="6"/>
  <c r="K283" i="6"/>
  <c r="L283" i="6"/>
  <c r="M283" i="6"/>
  <c r="D284" i="6"/>
  <c r="E284" i="6"/>
  <c r="F284" i="6"/>
  <c r="G284" i="6"/>
  <c r="H284" i="6"/>
  <c r="I284" i="6"/>
  <c r="J284" i="6"/>
  <c r="K284" i="6"/>
  <c r="L284" i="6"/>
  <c r="M284" i="6"/>
  <c r="D285" i="6"/>
  <c r="E285" i="6"/>
  <c r="F285" i="6"/>
  <c r="G285" i="6"/>
  <c r="H285" i="6"/>
  <c r="I285" i="6"/>
  <c r="J285" i="6"/>
  <c r="K285" i="6"/>
  <c r="L285" i="6"/>
  <c r="M285" i="6"/>
  <c r="D286" i="6"/>
  <c r="E286" i="6"/>
  <c r="F286" i="6"/>
  <c r="G286" i="6"/>
  <c r="H286" i="6"/>
  <c r="I286" i="6"/>
  <c r="J286" i="6"/>
  <c r="K286" i="6"/>
  <c r="L286" i="6"/>
  <c r="M286" i="6"/>
  <c r="D287" i="6"/>
  <c r="E287" i="6"/>
  <c r="F287" i="6"/>
  <c r="G287" i="6"/>
  <c r="H287" i="6"/>
  <c r="I287" i="6"/>
  <c r="J287" i="6"/>
  <c r="K287" i="6"/>
  <c r="L287" i="6"/>
  <c r="M287" i="6"/>
  <c r="D288" i="6"/>
  <c r="E288" i="6"/>
  <c r="F288" i="6"/>
  <c r="G288" i="6"/>
  <c r="H288" i="6"/>
  <c r="I288" i="6"/>
  <c r="J288" i="6"/>
  <c r="K288" i="6"/>
  <c r="L288" i="6"/>
  <c r="M288" i="6"/>
  <c r="D289" i="6"/>
  <c r="E289" i="6"/>
  <c r="F289" i="6"/>
  <c r="G289" i="6"/>
  <c r="H289" i="6"/>
  <c r="I289" i="6"/>
  <c r="J289" i="6"/>
  <c r="K289" i="6"/>
  <c r="L289" i="6"/>
  <c r="M289" i="6"/>
  <c r="D290" i="6"/>
  <c r="E290" i="6"/>
  <c r="F290" i="6"/>
  <c r="G290" i="6"/>
  <c r="H290" i="6"/>
  <c r="I290" i="6"/>
  <c r="J290" i="6"/>
  <c r="K290" i="6"/>
  <c r="L290" i="6"/>
  <c r="M290" i="6"/>
  <c r="D291" i="6"/>
  <c r="E291" i="6"/>
  <c r="F291" i="6"/>
  <c r="G291" i="6"/>
  <c r="H291" i="6"/>
  <c r="I291" i="6"/>
  <c r="J291" i="6"/>
  <c r="K291" i="6"/>
  <c r="L291" i="6"/>
  <c r="M291" i="6"/>
  <c r="D292" i="6"/>
  <c r="E292" i="6"/>
  <c r="F292" i="6"/>
  <c r="G292" i="6"/>
  <c r="H292" i="6"/>
  <c r="I292" i="6"/>
  <c r="J292" i="6"/>
  <c r="K292" i="6"/>
  <c r="L292" i="6"/>
  <c r="M292" i="6"/>
  <c r="D293" i="6"/>
  <c r="E293" i="6"/>
  <c r="F293" i="6"/>
  <c r="G293" i="6"/>
  <c r="H293" i="6"/>
  <c r="I293" i="6"/>
  <c r="J293" i="6"/>
  <c r="K293" i="6"/>
  <c r="L293" i="6"/>
  <c r="M293" i="6"/>
  <c r="D294" i="6"/>
  <c r="E294" i="6"/>
  <c r="F294" i="6"/>
  <c r="G294" i="6"/>
  <c r="H294" i="6"/>
  <c r="I294" i="6"/>
  <c r="J294" i="6"/>
  <c r="K294" i="6"/>
  <c r="L294" i="6"/>
  <c r="M294" i="6"/>
  <c r="D295" i="6"/>
  <c r="E295" i="6"/>
  <c r="F295" i="6"/>
  <c r="G295" i="6"/>
  <c r="H295" i="6"/>
  <c r="I295" i="6"/>
  <c r="J295" i="6"/>
  <c r="K295" i="6"/>
  <c r="L295" i="6"/>
  <c r="M295" i="6"/>
  <c r="D296" i="6"/>
  <c r="E296" i="6"/>
  <c r="F296" i="6"/>
  <c r="G296" i="6"/>
  <c r="H296" i="6"/>
  <c r="I296" i="6"/>
  <c r="J296" i="6"/>
  <c r="K296" i="6"/>
  <c r="L296" i="6"/>
  <c r="M296" i="6"/>
  <c r="D297" i="6"/>
  <c r="E297" i="6"/>
  <c r="F297" i="6"/>
  <c r="G297" i="6"/>
  <c r="H297" i="6"/>
  <c r="I297" i="6"/>
  <c r="J297" i="6"/>
  <c r="K297" i="6"/>
  <c r="L297" i="6"/>
  <c r="M297" i="6"/>
  <c r="D298" i="6"/>
  <c r="E298" i="6"/>
  <c r="F298" i="6"/>
  <c r="G298" i="6"/>
  <c r="H298" i="6"/>
  <c r="I298" i="6"/>
  <c r="J298" i="6"/>
  <c r="K298" i="6"/>
  <c r="L298" i="6"/>
  <c r="M298" i="6"/>
  <c r="B299" i="6"/>
  <c r="C299" i="6"/>
  <c r="D299" i="6"/>
  <c r="E299" i="6"/>
  <c r="F299" i="6"/>
  <c r="G299" i="6"/>
  <c r="H299" i="6"/>
  <c r="I299" i="6"/>
  <c r="J299" i="6"/>
  <c r="K299" i="6"/>
  <c r="L299" i="6"/>
  <c r="M299" i="6"/>
  <c r="B300" i="6"/>
  <c r="C300" i="6"/>
  <c r="D300" i="6"/>
  <c r="E300" i="6"/>
  <c r="F300" i="6"/>
  <c r="G300" i="6"/>
  <c r="H300" i="6"/>
  <c r="I300" i="6"/>
  <c r="J300" i="6"/>
  <c r="K300" i="6"/>
  <c r="L300" i="6"/>
  <c r="M300" i="6"/>
  <c r="B301" i="6"/>
  <c r="C301" i="6"/>
  <c r="D301" i="6"/>
  <c r="E301" i="6"/>
  <c r="F301" i="6"/>
  <c r="G301" i="6"/>
  <c r="H301" i="6"/>
  <c r="I301" i="6"/>
  <c r="J301" i="6"/>
  <c r="K301" i="6"/>
  <c r="L301" i="6"/>
  <c r="M301" i="6"/>
  <c r="B302" i="6"/>
  <c r="C302" i="6"/>
  <c r="D302" i="6"/>
  <c r="E302" i="6"/>
  <c r="F302" i="6"/>
  <c r="G302" i="6"/>
  <c r="H302" i="6"/>
  <c r="I302" i="6"/>
  <c r="J302" i="6"/>
  <c r="K302" i="6"/>
  <c r="L302" i="6"/>
  <c r="M302" i="6"/>
  <c r="B303" i="6"/>
  <c r="C303" i="6"/>
  <c r="D303" i="6"/>
  <c r="E303" i="6"/>
  <c r="F303" i="6"/>
  <c r="G303" i="6"/>
  <c r="H303" i="6"/>
  <c r="I303" i="6"/>
  <c r="J303" i="6"/>
  <c r="K303" i="6"/>
  <c r="L303" i="6"/>
  <c r="M303" i="6"/>
  <c r="B304" i="6"/>
  <c r="C304" i="6"/>
  <c r="D304" i="6"/>
  <c r="E304" i="6"/>
  <c r="F304" i="6"/>
  <c r="G304" i="6"/>
  <c r="H304" i="6"/>
  <c r="I304" i="6"/>
  <c r="J304" i="6"/>
  <c r="K304" i="6"/>
  <c r="L304" i="6"/>
  <c r="M304" i="6"/>
  <c r="M4" i="6"/>
  <c r="L4" i="6"/>
  <c r="K4" i="6"/>
  <c r="J4" i="6"/>
  <c r="I4" i="6"/>
  <c r="H4" i="6"/>
  <c r="G4" i="6"/>
  <c r="F4" i="6"/>
  <c r="E4" i="6"/>
  <c r="D4" i="6"/>
  <c r="E300" i="1"/>
  <c r="E301" i="1"/>
  <c r="E302" i="1"/>
  <c r="E303" i="1"/>
  <c r="E304" i="1"/>
  <c r="E305" i="1"/>
  <c r="D1" i="1" l="1"/>
  <c r="B1" i="6"/>
  <c r="M3" i="6"/>
  <c r="L3" i="6"/>
  <c r="K3" i="6"/>
  <c r="J3" i="6"/>
  <c r="I3" i="6"/>
  <c r="H3" i="6"/>
  <c r="G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L278" i="1" s="1"/>
  <c r="M278" i="1" s="1"/>
  <c r="D278" i="1"/>
  <c r="F278" i="1"/>
  <c r="C277" i="6" s="1"/>
  <c r="G278" i="1"/>
  <c r="H278" i="1"/>
  <c r="AN278" i="1"/>
  <c r="Q278" i="1" s="1"/>
  <c r="AP278" i="1"/>
  <c r="U278" i="1" s="1"/>
  <c r="AS278" i="1"/>
  <c r="AA278" i="1" s="1"/>
  <c r="B279" i="1"/>
  <c r="AM279" i="1" s="1"/>
  <c r="O279" i="1" s="1"/>
  <c r="D279" i="1"/>
  <c r="F279" i="1"/>
  <c r="C278" i="6" s="1"/>
  <c r="G279" i="1"/>
  <c r="H279" i="1"/>
  <c r="B280" i="1"/>
  <c r="AS280" i="1" s="1"/>
  <c r="AA280" i="1" s="1"/>
  <c r="D280" i="1"/>
  <c r="F280" i="1"/>
  <c r="C279" i="6" s="1"/>
  <c r="G280" i="1"/>
  <c r="H280" i="1"/>
  <c r="B281" i="1"/>
  <c r="AQ281" i="1" s="1"/>
  <c r="W281" i="1" s="1"/>
  <c r="D281" i="1"/>
  <c r="F281" i="1"/>
  <c r="C280" i="6" s="1"/>
  <c r="G281" i="1"/>
  <c r="H281" i="1"/>
  <c r="B282" i="1"/>
  <c r="AQ282" i="1" s="1"/>
  <c r="W282" i="1" s="1"/>
  <c r="D282" i="1"/>
  <c r="F282" i="1"/>
  <c r="C281" i="6" s="1"/>
  <c r="G282" i="1"/>
  <c r="H282" i="1"/>
  <c r="B283" i="1"/>
  <c r="AN283" i="1" s="1"/>
  <c r="Q283" i="1" s="1"/>
  <c r="D283" i="1"/>
  <c r="F283" i="1"/>
  <c r="C282" i="6" s="1"/>
  <c r="G283" i="1"/>
  <c r="H283" i="1"/>
  <c r="B284" i="1"/>
  <c r="AP284" i="1" s="1"/>
  <c r="U284" i="1" s="1"/>
  <c r="D284" i="1"/>
  <c r="F284" i="1"/>
  <c r="C283" i="6" s="1"/>
  <c r="G284" i="1"/>
  <c r="H284" i="1"/>
  <c r="B285" i="1"/>
  <c r="AP285" i="1" s="1"/>
  <c r="U285" i="1" s="1"/>
  <c r="D285" i="1"/>
  <c r="F285" i="1"/>
  <c r="C284" i="6" s="1"/>
  <c r="G285" i="1"/>
  <c r="H285" i="1"/>
  <c r="B286" i="1"/>
  <c r="AO286" i="1" s="1"/>
  <c r="S286" i="1" s="1"/>
  <c r="D286" i="1"/>
  <c r="F286" i="1"/>
  <c r="C285" i="6" s="1"/>
  <c r="G286" i="1"/>
  <c r="H286" i="1"/>
  <c r="B287" i="1"/>
  <c r="AS287" i="1" s="1"/>
  <c r="AA287" i="1" s="1"/>
  <c r="D287" i="1"/>
  <c r="F287" i="1"/>
  <c r="C286" i="6" s="1"/>
  <c r="G287" i="1"/>
  <c r="H287" i="1"/>
  <c r="B288" i="1"/>
  <c r="AK288" i="1" s="1"/>
  <c r="K288" i="1" s="1"/>
  <c r="D288" i="1"/>
  <c r="F288" i="1"/>
  <c r="C287" i="6" s="1"/>
  <c r="G288" i="1"/>
  <c r="H288" i="1"/>
  <c r="B289" i="1"/>
  <c r="AQ289" i="1" s="1"/>
  <c r="W289" i="1" s="1"/>
  <c r="D289" i="1"/>
  <c r="F289" i="1"/>
  <c r="C288" i="6" s="1"/>
  <c r="G289" i="1"/>
  <c r="H289" i="1"/>
  <c r="B290" i="1"/>
  <c r="AR290" i="1" s="1"/>
  <c r="Y290" i="1" s="1"/>
  <c r="D290" i="1"/>
  <c r="F290" i="1"/>
  <c r="C289" i="6" s="1"/>
  <c r="G290" i="1"/>
  <c r="H290" i="1"/>
  <c r="B291" i="1"/>
  <c r="I291" i="1" s="1"/>
  <c r="N290" i="6" s="1"/>
  <c r="D291" i="1"/>
  <c r="F291" i="1"/>
  <c r="C290" i="6" s="1"/>
  <c r="G291" i="1"/>
  <c r="H291" i="1"/>
  <c r="B292" i="1"/>
  <c r="AP292" i="1" s="1"/>
  <c r="U292" i="1" s="1"/>
  <c r="D292" i="1"/>
  <c r="F292" i="1"/>
  <c r="C291" i="6" s="1"/>
  <c r="G292" i="1"/>
  <c r="H292" i="1"/>
  <c r="B293" i="1"/>
  <c r="AO293" i="1" s="1"/>
  <c r="S293" i="1" s="1"/>
  <c r="D293" i="1"/>
  <c r="F293" i="1"/>
  <c r="C292" i="6" s="1"/>
  <c r="G293" i="1"/>
  <c r="H293" i="1"/>
  <c r="B294" i="1"/>
  <c r="AP294" i="1" s="1"/>
  <c r="U294" i="1" s="1"/>
  <c r="D294" i="1"/>
  <c r="F294" i="1"/>
  <c r="C293" i="6" s="1"/>
  <c r="G294" i="1"/>
  <c r="H294" i="1"/>
  <c r="B295" i="1"/>
  <c r="AK295" i="1" s="1"/>
  <c r="K295" i="1" s="1"/>
  <c r="D295" i="1"/>
  <c r="F295" i="1"/>
  <c r="C294" i="6" s="1"/>
  <c r="G295" i="1"/>
  <c r="H295" i="1"/>
  <c r="B296" i="1"/>
  <c r="AK296" i="1" s="1"/>
  <c r="K296" i="1" s="1"/>
  <c r="D296" i="1"/>
  <c r="F296" i="1"/>
  <c r="C295" i="6" s="1"/>
  <c r="G296" i="1"/>
  <c r="H296" i="1"/>
  <c r="B297" i="1"/>
  <c r="AQ297" i="1" s="1"/>
  <c r="W297" i="1" s="1"/>
  <c r="D297" i="1"/>
  <c r="F297" i="1"/>
  <c r="C296" i="6" s="1"/>
  <c r="G297" i="1"/>
  <c r="H297" i="1"/>
  <c r="B298" i="1"/>
  <c r="AT298" i="1" s="1"/>
  <c r="AC298" i="1" s="1"/>
  <c r="D298" i="1"/>
  <c r="F298" i="1"/>
  <c r="C297" i="6" s="1"/>
  <c r="G298" i="1"/>
  <c r="H298" i="1"/>
  <c r="B299" i="1"/>
  <c r="I299" i="1" s="1"/>
  <c r="N298" i="6" s="1"/>
  <c r="D299" i="1"/>
  <c r="F299" i="1"/>
  <c r="C298" i="6" s="1"/>
  <c r="G299" i="1"/>
  <c r="H299" i="1"/>
  <c r="B300" i="1"/>
  <c r="AP300" i="1" s="1"/>
  <c r="U300" i="1" s="1"/>
  <c r="D300" i="1"/>
  <c r="F300" i="1"/>
  <c r="G300" i="1"/>
  <c r="H300" i="1"/>
  <c r="B301" i="1"/>
  <c r="AP301" i="1" s="1"/>
  <c r="U301" i="1" s="1"/>
  <c r="D301" i="1"/>
  <c r="F301" i="1"/>
  <c r="G301" i="1"/>
  <c r="H301" i="1"/>
  <c r="AT301" i="1"/>
  <c r="AC301" i="1" s="1"/>
  <c r="B302" i="1"/>
  <c r="AN302" i="1" s="1"/>
  <c r="Q302" i="1" s="1"/>
  <c r="D302" i="1"/>
  <c r="F302" i="1"/>
  <c r="G302" i="1"/>
  <c r="H302" i="1"/>
  <c r="AK302" i="1"/>
  <c r="K302" i="1" s="1"/>
  <c r="AM302" i="1"/>
  <c r="O302" i="1" s="1"/>
  <c r="AP302" i="1"/>
  <c r="U302" i="1" s="1"/>
  <c r="AQ302" i="1"/>
  <c r="W302" i="1" s="1"/>
  <c r="AS302" i="1"/>
  <c r="AA302" i="1" s="1"/>
  <c r="B303" i="1"/>
  <c r="AP303" i="1" s="1"/>
  <c r="U303" i="1" s="1"/>
  <c r="D303" i="1"/>
  <c r="F303" i="1"/>
  <c r="G303" i="1"/>
  <c r="H303" i="1"/>
  <c r="B304" i="1"/>
  <c r="AM304" i="1" s="1"/>
  <c r="O304" i="1" s="1"/>
  <c r="D304" i="1"/>
  <c r="F304" i="1"/>
  <c r="G304" i="1"/>
  <c r="H304" i="1"/>
  <c r="B305" i="1"/>
  <c r="AR305" i="1" s="1"/>
  <c r="Y305" i="1" s="1"/>
  <c r="D305" i="1"/>
  <c r="F305" i="1"/>
  <c r="G305" i="1"/>
  <c r="H305" i="1"/>
  <c r="AK278" i="1" l="1"/>
  <c r="K278" i="1" s="1"/>
  <c r="AS296" i="1"/>
  <c r="AA296" i="1" s="1"/>
  <c r="I278" i="1"/>
  <c r="N277" i="6" s="1"/>
  <c r="I279" i="1"/>
  <c r="N278" i="6" s="1"/>
  <c r="AT297" i="1"/>
  <c r="AC297" i="1" s="1"/>
  <c r="AO297" i="1"/>
  <c r="S297" i="1" s="1"/>
  <c r="B298" i="6"/>
  <c r="E299" i="1"/>
  <c r="AN286" i="1"/>
  <c r="Q286" i="1" s="1"/>
  <c r="B280" i="6"/>
  <c r="E281" i="1"/>
  <c r="E298" i="1"/>
  <c r="B297" i="6"/>
  <c r="AR296" i="1"/>
  <c r="Y296" i="1" s="1"/>
  <c r="AM286" i="1"/>
  <c r="O286" i="1" s="1"/>
  <c r="B283" i="6"/>
  <c r="E284" i="1"/>
  <c r="E290" i="1"/>
  <c r="B289" i="6"/>
  <c r="B290" i="6"/>
  <c r="E291" i="1"/>
  <c r="B288" i="6"/>
  <c r="E289" i="1"/>
  <c r="AK286" i="1"/>
  <c r="K286" i="1" s="1"/>
  <c r="AR280" i="1"/>
  <c r="Y280" i="1" s="1"/>
  <c r="AM297" i="1"/>
  <c r="O297" i="1" s="1"/>
  <c r="B293" i="6"/>
  <c r="E294" i="1"/>
  <c r="I297" i="1"/>
  <c r="N296" i="6" s="1"/>
  <c r="AP296" i="1"/>
  <c r="U296" i="1" s="1"/>
  <c r="AO296" i="1"/>
  <c r="S296" i="1" s="1"/>
  <c r="B291" i="6"/>
  <c r="E292" i="1"/>
  <c r="I286" i="1"/>
  <c r="N285" i="6" s="1"/>
  <c r="E282" i="1"/>
  <c r="B281" i="6"/>
  <c r="E295" i="1"/>
  <c r="B294" i="6"/>
  <c r="E287" i="1"/>
  <c r="B286" i="6"/>
  <c r="E285" i="1"/>
  <c r="B284" i="6"/>
  <c r="B278" i="6"/>
  <c r="E279" i="1"/>
  <c r="B296" i="6"/>
  <c r="E297" i="1"/>
  <c r="B292" i="6"/>
  <c r="E293" i="1"/>
  <c r="AS286" i="1"/>
  <c r="AA286" i="1" s="1"/>
  <c r="E283" i="1"/>
  <c r="B282" i="6"/>
  <c r="B279" i="6"/>
  <c r="E280" i="1"/>
  <c r="B277" i="6"/>
  <c r="E278" i="1"/>
  <c r="E296" i="1"/>
  <c r="B295" i="6"/>
  <c r="B287" i="6"/>
  <c r="E288" i="1"/>
  <c r="AR286" i="1"/>
  <c r="Y286" i="1" s="1"/>
  <c r="B285" i="6"/>
  <c r="E286" i="1"/>
  <c r="AS284" i="1"/>
  <c r="AA284" i="1" s="1"/>
  <c r="I290" i="1"/>
  <c r="N289" i="6" s="1"/>
  <c r="AL284" i="1"/>
  <c r="M284" i="1" s="1"/>
  <c r="AN285" i="1"/>
  <c r="Q285" i="1" s="1"/>
  <c r="AO305" i="1"/>
  <c r="S305" i="1" s="1"/>
  <c r="AL305" i="1"/>
  <c r="M305" i="1" s="1"/>
  <c r="AR292" i="1"/>
  <c r="Y292" i="1" s="1"/>
  <c r="AQ278" i="1"/>
  <c r="W278" i="1" s="1"/>
  <c r="AQ290" i="1"/>
  <c r="W290" i="1" s="1"/>
  <c r="AM290" i="1"/>
  <c r="O290" i="1" s="1"/>
  <c r="I292" i="1"/>
  <c r="I288" i="1"/>
  <c r="N287" i="6" s="1"/>
  <c r="I284" i="1"/>
  <c r="AM281" i="1"/>
  <c r="O281" i="1" s="1"/>
  <c r="AO281" i="1"/>
  <c r="S281" i="1" s="1"/>
  <c r="AT289" i="1"/>
  <c r="AC289" i="1" s="1"/>
  <c r="I282" i="1"/>
  <c r="N281" i="6" s="1"/>
  <c r="AR284" i="1"/>
  <c r="Y284" i="1" s="1"/>
  <c r="AO285" i="1"/>
  <c r="S285" i="1" s="1"/>
  <c r="AT302" i="1"/>
  <c r="AC302" i="1" s="1"/>
  <c r="AK292" i="1"/>
  <c r="K292" i="1" s="1"/>
  <c r="AL290" i="1"/>
  <c r="M290" i="1" s="1"/>
  <c r="AL285" i="1"/>
  <c r="M285" i="1" s="1"/>
  <c r="AL281" i="1"/>
  <c r="M281" i="1" s="1"/>
  <c r="AK285" i="1"/>
  <c r="K285" i="1" s="1"/>
  <c r="I281" i="1"/>
  <c r="AN303" i="1"/>
  <c r="Q303" i="1" s="1"/>
  <c r="AO294" i="1"/>
  <c r="S294" i="1" s="1"/>
  <c r="I285" i="1"/>
  <c r="AN294" i="1"/>
  <c r="Q294" i="1" s="1"/>
  <c r="AR287" i="1"/>
  <c r="Y287" i="1" s="1"/>
  <c r="I295" i="1"/>
  <c r="AK294" i="1"/>
  <c r="K294" i="1" s="1"/>
  <c r="AT290" i="1"/>
  <c r="AC290" i="1" s="1"/>
  <c r="I287" i="1"/>
  <c r="N286" i="6" s="1"/>
  <c r="AT281" i="1"/>
  <c r="AC281" i="1" s="1"/>
  <c r="AP305" i="1"/>
  <c r="U305" i="1" s="1"/>
  <c r="AL302" i="1"/>
  <c r="M302" i="1" s="1"/>
  <c r="AN301" i="1"/>
  <c r="Q301" i="1" s="1"/>
  <c r="AS285" i="1"/>
  <c r="AA285" i="1" s="1"/>
  <c r="AR281" i="1"/>
  <c r="Y281" i="1" s="1"/>
  <c r="N288" i="3"/>
  <c r="N296" i="3"/>
  <c r="B285" i="3"/>
  <c r="B284" i="3"/>
  <c r="AS301" i="1"/>
  <c r="AA301" i="1" s="1"/>
  <c r="C298" i="3"/>
  <c r="B287" i="3"/>
  <c r="C286" i="3"/>
  <c r="AP280" i="1"/>
  <c r="U280" i="1" s="1"/>
  <c r="AN279" i="1"/>
  <c r="Q279" i="1" s="1"/>
  <c r="AM305" i="1"/>
  <c r="O305" i="1" s="1"/>
  <c r="AS304" i="1"/>
  <c r="AA304" i="1" s="1"/>
  <c r="I303" i="1"/>
  <c r="N302" i="6" s="1"/>
  <c r="AR302" i="1"/>
  <c r="Y302" i="1" s="1"/>
  <c r="I302" i="1"/>
  <c r="N301" i="6" s="1"/>
  <c r="AO301" i="1"/>
  <c r="S301" i="1" s="1"/>
  <c r="B298" i="3"/>
  <c r="C297" i="3"/>
  <c r="C296" i="3"/>
  <c r="C295" i="3"/>
  <c r="I296" i="1"/>
  <c r="N295" i="6" s="1"/>
  <c r="AL294" i="1"/>
  <c r="M294" i="1" s="1"/>
  <c r="AN293" i="1"/>
  <c r="Q293" i="1" s="1"/>
  <c r="AQ292" i="1"/>
  <c r="W292" i="1" s="1"/>
  <c r="B286" i="3"/>
  <c r="AT286" i="1"/>
  <c r="AC286" i="1" s="1"/>
  <c r="AL286" i="1"/>
  <c r="M286" i="1" s="1"/>
  <c r="AT285" i="1"/>
  <c r="AC285" i="1" s="1"/>
  <c r="C280" i="3"/>
  <c r="C279" i="3"/>
  <c r="AK280" i="1"/>
  <c r="K280" i="1" s="1"/>
  <c r="AK279" i="1"/>
  <c r="K279" i="1" s="1"/>
  <c r="AR278" i="1"/>
  <c r="Y278" i="1" s="1"/>
  <c r="B291" i="3"/>
  <c r="B289" i="3"/>
  <c r="B283" i="3"/>
  <c r="I304" i="1"/>
  <c r="N303" i="6" s="1"/>
  <c r="B297" i="3"/>
  <c r="I305" i="1"/>
  <c r="N304" i="6" s="1"/>
  <c r="B292" i="3"/>
  <c r="AR289" i="1"/>
  <c r="Y289" i="1" s="1"/>
  <c r="C281" i="3"/>
  <c r="C300" i="3"/>
  <c r="AO302" i="1"/>
  <c r="S302" i="1" s="1"/>
  <c r="C299" i="3"/>
  <c r="AK301" i="1"/>
  <c r="K301" i="1" s="1"/>
  <c r="AR300" i="1"/>
  <c r="Y300" i="1" s="1"/>
  <c r="AQ299" i="1"/>
  <c r="W299" i="1" s="1"/>
  <c r="AR298" i="1"/>
  <c r="Y298" i="1" s="1"/>
  <c r="C293" i="3"/>
  <c r="C288" i="3"/>
  <c r="AL289" i="1"/>
  <c r="M289" i="1" s="1"/>
  <c r="AQ286" i="1"/>
  <c r="W286" i="1" s="1"/>
  <c r="B281" i="3"/>
  <c r="AT282" i="1"/>
  <c r="AC282" i="1" s="1"/>
  <c r="C278" i="3"/>
  <c r="AO278" i="1"/>
  <c r="S278" i="1" s="1"/>
  <c r="B302" i="3"/>
  <c r="C287" i="3"/>
  <c r="B295" i="3"/>
  <c r="C294" i="3"/>
  <c r="C292" i="3"/>
  <c r="I293" i="1"/>
  <c r="N292" i="6" s="1"/>
  <c r="B294" i="3"/>
  <c r="I294" i="1"/>
  <c r="N293" i="6" s="1"/>
  <c r="C301" i="3"/>
  <c r="B300" i="3"/>
  <c r="B299" i="3"/>
  <c r="I301" i="1"/>
  <c r="N300" i="6" s="1"/>
  <c r="AL300" i="1"/>
  <c r="M300" i="1" s="1"/>
  <c r="AO299" i="1"/>
  <c r="S299" i="1" s="1"/>
  <c r="AL298" i="1"/>
  <c r="M298" i="1" s="1"/>
  <c r="B293" i="3"/>
  <c r="AT294" i="1"/>
  <c r="AC294" i="1" s="1"/>
  <c r="C290" i="3"/>
  <c r="B288" i="3"/>
  <c r="I289" i="1"/>
  <c r="N288" i="6" s="1"/>
  <c r="AP286" i="1"/>
  <c r="U286" i="1" s="1"/>
  <c r="AM282" i="1"/>
  <c r="O282" i="1" s="1"/>
  <c r="B278" i="3"/>
  <c r="C277" i="3"/>
  <c r="C276" i="3"/>
  <c r="B296" i="3"/>
  <c r="C282" i="3"/>
  <c r="B280" i="3"/>
  <c r="B279" i="3"/>
  <c r="I280" i="1"/>
  <c r="N279" i="6" s="1"/>
  <c r="AL301" i="1"/>
  <c r="M301" i="1" s="1"/>
  <c r="AS300" i="1"/>
  <c r="AA300" i="1" s="1"/>
  <c r="B282" i="3"/>
  <c r="AT305" i="1"/>
  <c r="AC305" i="1" s="1"/>
  <c r="C302" i="3"/>
  <c r="B301" i="3"/>
  <c r="I300" i="1"/>
  <c r="N299" i="6" s="1"/>
  <c r="I298" i="1"/>
  <c r="N297" i="6" s="1"/>
  <c r="AS294" i="1"/>
  <c r="AA294" i="1" s="1"/>
  <c r="C291" i="3"/>
  <c r="B290" i="3"/>
  <c r="C289" i="3"/>
  <c r="C285" i="3"/>
  <c r="C284" i="3"/>
  <c r="C283" i="3"/>
  <c r="I283" i="1"/>
  <c r="N282" i="6" s="1"/>
  <c r="B277" i="3"/>
  <c r="B276" i="3"/>
  <c r="AM278" i="1"/>
  <c r="O278" i="1" s="1"/>
  <c r="AM303" i="1"/>
  <c r="O303" i="1" s="1"/>
  <c r="AK300" i="1"/>
  <c r="K300" i="1" s="1"/>
  <c r="AQ298" i="1"/>
  <c r="W298" i="1" s="1"/>
  <c r="AM293" i="1"/>
  <c r="O293" i="1" s="1"/>
  <c r="AT292" i="1"/>
  <c r="AC292" i="1" s="1"/>
  <c r="AK284" i="1"/>
  <c r="K284" i="1" s="1"/>
  <c r="AK303" i="1"/>
  <c r="K303" i="1" s="1"/>
  <c r="AM301" i="1"/>
  <c r="O301" i="1" s="1"/>
  <c r="AT300" i="1"/>
  <c r="AC300" i="1" s="1"/>
  <c r="AM298" i="1"/>
  <c r="O298" i="1" s="1"/>
  <c r="AL297" i="1"/>
  <c r="M297" i="1" s="1"/>
  <c r="AM294" i="1"/>
  <c r="O294" i="1" s="1"/>
  <c r="AT293" i="1"/>
  <c r="AC293" i="1" s="1"/>
  <c r="AL293" i="1"/>
  <c r="M293" i="1" s="1"/>
  <c r="AS292" i="1"/>
  <c r="AA292" i="1" s="1"/>
  <c r="AS288" i="1"/>
  <c r="AA288" i="1" s="1"/>
  <c r="AM285" i="1"/>
  <c r="O285" i="1" s="1"/>
  <c r="AT284" i="1"/>
  <c r="AC284" i="1" s="1"/>
  <c r="AP281" i="1"/>
  <c r="U281" i="1" s="1"/>
  <c r="AO280" i="1"/>
  <c r="S280" i="1" s="1"/>
  <c r="AT278" i="1"/>
  <c r="AC278" i="1" s="1"/>
  <c r="AS293" i="1"/>
  <c r="AA293" i="1" s="1"/>
  <c r="AK293" i="1"/>
  <c r="K293" i="1" s="1"/>
  <c r="AR288" i="1"/>
  <c r="Y288" i="1" s="1"/>
  <c r="AO304" i="1"/>
  <c r="S304" i="1" s="1"/>
  <c r="AP288" i="1"/>
  <c r="U288" i="1" s="1"/>
  <c r="AR294" i="1"/>
  <c r="Y294" i="1" s="1"/>
  <c r="AQ293" i="1"/>
  <c r="W293" i="1" s="1"/>
  <c r="AO292" i="1"/>
  <c r="S292" i="1" s="1"/>
  <c r="AP289" i="1"/>
  <c r="U289" i="1" s="1"/>
  <c r="AO288" i="1"/>
  <c r="S288" i="1" s="1"/>
  <c r="AR285" i="1"/>
  <c r="Y285" i="1" s="1"/>
  <c r="AQ284" i="1"/>
  <c r="W284" i="1" s="1"/>
  <c r="AS303" i="1"/>
  <c r="AA303" i="1" s="1"/>
  <c r="AR303" i="1"/>
  <c r="Y303" i="1" s="1"/>
  <c r="AQ301" i="1"/>
  <c r="W301" i="1" s="1"/>
  <c r="AO300" i="1"/>
  <c r="S300" i="1" s="1"/>
  <c r="AR297" i="1"/>
  <c r="Y297" i="1" s="1"/>
  <c r="AQ294" i="1"/>
  <c r="W294" i="1" s="1"/>
  <c r="AP293" i="1"/>
  <c r="U293" i="1" s="1"/>
  <c r="AN292" i="1"/>
  <c r="Q292" i="1" s="1"/>
  <c r="AO289" i="1"/>
  <c r="S289" i="1" s="1"/>
  <c r="AQ285" i="1"/>
  <c r="W285" i="1" s="1"/>
  <c r="AO284" i="1"/>
  <c r="S284" i="1" s="1"/>
  <c r="AS279" i="1"/>
  <c r="AA279" i="1" s="1"/>
  <c r="AR293" i="1"/>
  <c r="Y293" i="1" s="1"/>
  <c r="AR301" i="1"/>
  <c r="Y301" i="1" s="1"/>
  <c r="AQ300" i="1"/>
  <c r="W300" i="1" s="1"/>
  <c r="AN300" i="1"/>
  <c r="Q300" i="1" s="1"/>
  <c r="AP297" i="1"/>
  <c r="U297" i="1" s="1"/>
  <c r="AL292" i="1"/>
  <c r="M292" i="1" s="1"/>
  <c r="AM289" i="1"/>
  <c r="O289" i="1" s="1"/>
  <c r="AN284" i="1"/>
  <c r="Q284" i="1" s="1"/>
  <c r="AR279" i="1"/>
  <c r="Y279" i="1" s="1"/>
  <c r="AS295" i="1"/>
  <c r="AA295" i="1" s="1"/>
  <c r="AK291" i="1"/>
  <c r="K291" i="1" s="1"/>
  <c r="AS291" i="1"/>
  <c r="AA291" i="1" s="1"/>
  <c r="AL291" i="1"/>
  <c r="M291" i="1" s="1"/>
  <c r="AT291" i="1"/>
  <c r="AC291" i="1" s="1"/>
  <c r="AM291" i="1"/>
  <c r="O291" i="1" s="1"/>
  <c r="AP291" i="1"/>
  <c r="U291" i="1" s="1"/>
  <c r="AO291" i="1"/>
  <c r="S291" i="1" s="1"/>
  <c r="AQ291" i="1"/>
  <c r="W291" i="1" s="1"/>
  <c r="AR291" i="1"/>
  <c r="Y291" i="1" s="1"/>
  <c r="AM295" i="1"/>
  <c r="O295" i="1" s="1"/>
  <c r="AO287" i="1"/>
  <c r="S287" i="1" s="1"/>
  <c r="AP287" i="1"/>
  <c r="U287" i="1" s="1"/>
  <c r="AQ287" i="1"/>
  <c r="W287" i="1" s="1"/>
  <c r="AL287" i="1"/>
  <c r="M287" i="1" s="1"/>
  <c r="AT287" i="1"/>
  <c r="AC287" i="1" s="1"/>
  <c r="AK287" i="1"/>
  <c r="K287" i="1" s="1"/>
  <c r="AM287" i="1"/>
  <c r="O287" i="1" s="1"/>
  <c r="AN287" i="1"/>
  <c r="Q287" i="1" s="1"/>
  <c r="AO283" i="1"/>
  <c r="S283" i="1" s="1"/>
  <c r="AO295" i="1"/>
  <c r="S295" i="1" s="1"/>
  <c r="AP295" i="1"/>
  <c r="U295" i="1" s="1"/>
  <c r="AQ295" i="1"/>
  <c r="W295" i="1" s="1"/>
  <c r="AL295" i="1"/>
  <c r="M295" i="1" s="1"/>
  <c r="AT295" i="1"/>
  <c r="AC295" i="1" s="1"/>
  <c r="AN295" i="1"/>
  <c r="Q295" i="1" s="1"/>
  <c r="AR295" i="1"/>
  <c r="Y295" i="1" s="1"/>
  <c r="AL304" i="1"/>
  <c r="M304" i="1" s="1"/>
  <c r="AT304" i="1"/>
  <c r="AC304" i="1" s="1"/>
  <c r="AN304" i="1"/>
  <c r="Q304" i="1" s="1"/>
  <c r="AQ304" i="1"/>
  <c r="W304" i="1" s="1"/>
  <c r="AK304" i="1"/>
  <c r="K304" i="1" s="1"/>
  <c r="AP304" i="1"/>
  <c r="U304" i="1" s="1"/>
  <c r="AR304" i="1"/>
  <c r="Y304" i="1" s="1"/>
  <c r="AN291" i="1"/>
  <c r="Q291" i="1" s="1"/>
  <c r="AK283" i="1"/>
  <c r="K283" i="1" s="1"/>
  <c r="AS283" i="1"/>
  <c r="AA283" i="1" s="1"/>
  <c r="AL283" i="1"/>
  <c r="M283" i="1" s="1"/>
  <c r="AT283" i="1"/>
  <c r="AC283" i="1" s="1"/>
  <c r="AM283" i="1"/>
  <c r="O283" i="1" s="1"/>
  <c r="AP283" i="1"/>
  <c r="U283" i="1" s="1"/>
  <c r="AQ283" i="1"/>
  <c r="W283" i="1" s="1"/>
  <c r="AR283" i="1"/>
  <c r="Y283" i="1" s="1"/>
  <c r="AK299" i="1"/>
  <c r="K299" i="1" s="1"/>
  <c r="AS299" i="1"/>
  <c r="AA299" i="1" s="1"/>
  <c r="AL299" i="1"/>
  <c r="M299" i="1" s="1"/>
  <c r="AT299" i="1"/>
  <c r="AC299" i="1" s="1"/>
  <c r="AM299" i="1"/>
  <c r="O299" i="1" s="1"/>
  <c r="AP299" i="1"/>
  <c r="U299" i="1" s="1"/>
  <c r="AN282" i="1"/>
  <c r="Q282" i="1" s="1"/>
  <c r="AO282" i="1"/>
  <c r="S282" i="1" s="1"/>
  <c r="AP282" i="1"/>
  <c r="U282" i="1" s="1"/>
  <c r="AK282" i="1"/>
  <c r="K282" i="1" s="1"/>
  <c r="AS282" i="1"/>
  <c r="AA282" i="1" s="1"/>
  <c r="AR299" i="1"/>
  <c r="Y299" i="1" s="1"/>
  <c r="AN298" i="1"/>
  <c r="Q298" i="1" s="1"/>
  <c r="AO298" i="1"/>
  <c r="S298" i="1" s="1"/>
  <c r="AP298" i="1"/>
  <c r="U298" i="1" s="1"/>
  <c r="AK298" i="1"/>
  <c r="K298" i="1" s="1"/>
  <c r="AS298" i="1"/>
  <c r="AA298" i="1" s="1"/>
  <c r="AL288" i="1"/>
  <c r="M288" i="1" s="1"/>
  <c r="AT288" i="1"/>
  <c r="AC288" i="1" s="1"/>
  <c r="AM288" i="1"/>
  <c r="O288" i="1" s="1"/>
  <c r="AN288" i="1"/>
  <c r="Q288" i="1" s="1"/>
  <c r="AQ288" i="1"/>
  <c r="W288" i="1" s="1"/>
  <c r="AR282" i="1"/>
  <c r="Y282" i="1" s="1"/>
  <c r="AO303" i="1"/>
  <c r="S303" i="1" s="1"/>
  <c r="AQ303" i="1"/>
  <c r="W303" i="1" s="1"/>
  <c r="AL303" i="1"/>
  <c r="M303" i="1" s="1"/>
  <c r="AT303" i="1"/>
  <c r="AC303" i="1" s="1"/>
  <c r="AN299" i="1"/>
  <c r="Q299" i="1" s="1"/>
  <c r="AN290" i="1"/>
  <c r="Q290" i="1" s="1"/>
  <c r="AO290" i="1"/>
  <c r="S290" i="1" s="1"/>
  <c r="AP290" i="1"/>
  <c r="U290" i="1" s="1"/>
  <c r="AK290" i="1"/>
  <c r="K290" i="1" s="1"/>
  <c r="AS290" i="1"/>
  <c r="AA290" i="1" s="1"/>
  <c r="AL282" i="1"/>
  <c r="M282" i="1" s="1"/>
  <c r="AL280" i="1"/>
  <c r="M280" i="1" s="1"/>
  <c r="AT280" i="1"/>
  <c r="AC280" i="1" s="1"/>
  <c r="AM280" i="1"/>
  <c r="O280" i="1" s="1"/>
  <c r="AN280" i="1"/>
  <c r="Q280" i="1" s="1"/>
  <c r="AQ280" i="1"/>
  <c r="W280" i="1" s="1"/>
  <c r="AQ305" i="1"/>
  <c r="W305" i="1" s="1"/>
  <c r="AK305" i="1"/>
  <c r="K305" i="1" s="1"/>
  <c r="AS305" i="1"/>
  <c r="AA305" i="1" s="1"/>
  <c r="AN305" i="1"/>
  <c r="Q305" i="1" s="1"/>
  <c r="AL296" i="1"/>
  <c r="M296" i="1" s="1"/>
  <c r="AT296" i="1"/>
  <c r="AC296" i="1" s="1"/>
  <c r="AM296" i="1"/>
  <c r="O296" i="1" s="1"/>
  <c r="AN296" i="1"/>
  <c r="Q296" i="1" s="1"/>
  <c r="AQ296" i="1"/>
  <c r="W296" i="1" s="1"/>
  <c r="AO279" i="1"/>
  <c r="S279" i="1" s="1"/>
  <c r="AP279" i="1"/>
  <c r="U279" i="1" s="1"/>
  <c r="AQ279" i="1"/>
  <c r="W279" i="1" s="1"/>
  <c r="AL279" i="1"/>
  <c r="M279" i="1" s="1"/>
  <c r="AT279" i="1"/>
  <c r="AC279" i="1" s="1"/>
  <c r="AM300" i="1"/>
  <c r="O300" i="1" s="1"/>
  <c r="AN297" i="1"/>
  <c r="Q297" i="1" s="1"/>
  <c r="AM292" i="1"/>
  <c r="O292" i="1" s="1"/>
  <c r="AN289" i="1"/>
  <c r="Q289" i="1" s="1"/>
  <c r="AM284" i="1"/>
  <c r="O284" i="1" s="1"/>
  <c r="AN281" i="1"/>
  <c r="Q281" i="1" s="1"/>
  <c r="AS297" i="1"/>
  <c r="AA297" i="1" s="1"/>
  <c r="AK297" i="1"/>
  <c r="K297" i="1" s="1"/>
  <c r="AS289" i="1"/>
  <c r="AA289" i="1" s="1"/>
  <c r="AK289" i="1"/>
  <c r="K289" i="1" s="1"/>
  <c r="AS281" i="1"/>
  <c r="AA281" i="1" s="1"/>
  <c r="AK281" i="1"/>
  <c r="K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F5" i="1"/>
  <c r="C4" i="6" s="1"/>
  <c r="G5" i="1"/>
  <c r="H5" i="1"/>
  <c r="B5" i="1"/>
  <c r="D6" i="1"/>
  <c r="F6" i="1"/>
  <c r="C5" i="6" s="1"/>
  <c r="G6" i="1"/>
  <c r="H6" i="1"/>
  <c r="B6" i="1"/>
  <c r="AK6" i="1" s="1"/>
  <c r="K6" i="1" s="1"/>
  <c r="D7" i="1"/>
  <c r="F7" i="1"/>
  <c r="C6" i="6" s="1"/>
  <c r="G7" i="1"/>
  <c r="H7" i="1"/>
  <c r="B7" i="1"/>
  <c r="AN7" i="1" s="1"/>
  <c r="Q7" i="1" s="1"/>
  <c r="D8" i="1"/>
  <c r="F8" i="1"/>
  <c r="C7" i="6" s="1"/>
  <c r="G8" i="1"/>
  <c r="H8" i="1"/>
  <c r="B8" i="1"/>
  <c r="I8" i="1" s="1"/>
  <c r="N7" i="6" s="1"/>
  <c r="D9" i="1"/>
  <c r="F9" i="1"/>
  <c r="C8" i="6" s="1"/>
  <c r="G9" i="1"/>
  <c r="H9" i="1"/>
  <c r="B9" i="1"/>
  <c r="AO9" i="1" s="1"/>
  <c r="S9" i="1" s="1"/>
  <c r="D10" i="1"/>
  <c r="F10" i="1"/>
  <c r="C9" i="6" s="1"/>
  <c r="G10" i="1"/>
  <c r="H10" i="1"/>
  <c r="B10" i="1"/>
  <c r="I10" i="1" s="1"/>
  <c r="N9" i="6" s="1"/>
  <c r="D11" i="1"/>
  <c r="F11" i="1"/>
  <c r="C10" i="6" s="1"/>
  <c r="G11" i="1"/>
  <c r="H11" i="1"/>
  <c r="B11" i="1"/>
  <c r="AM11" i="1" s="1"/>
  <c r="O11" i="1" s="1"/>
  <c r="D12" i="1"/>
  <c r="F12" i="1"/>
  <c r="C11" i="6" s="1"/>
  <c r="G12" i="1"/>
  <c r="H12" i="1"/>
  <c r="B12" i="1"/>
  <c r="I12" i="1" s="1"/>
  <c r="N11" i="6" s="1"/>
  <c r="D13" i="1"/>
  <c r="F13" i="1"/>
  <c r="C12" i="6" s="1"/>
  <c r="G13" i="1"/>
  <c r="H13" i="1"/>
  <c r="B13" i="1"/>
  <c r="I13" i="1" s="1"/>
  <c r="N12" i="6" s="1"/>
  <c r="D14" i="1"/>
  <c r="F14" i="1"/>
  <c r="C13" i="6" s="1"/>
  <c r="G14" i="1"/>
  <c r="H14" i="1"/>
  <c r="B14" i="1"/>
  <c r="AL14" i="1" s="1"/>
  <c r="M14" i="1" s="1"/>
  <c r="D15" i="1"/>
  <c r="F15" i="1"/>
  <c r="C14" i="6" s="1"/>
  <c r="G15" i="1"/>
  <c r="H15" i="1"/>
  <c r="B15" i="1"/>
  <c r="AO15" i="1" s="1"/>
  <c r="S15" i="1" s="1"/>
  <c r="D16" i="1"/>
  <c r="F16" i="1"/>
  <c r="C15" i="6" s="1"/>
  <c r="G16" i="1"/>
  <c r="H16" i="1"/>
  <c r="B16" i="1"/>
  <c r="I16" i="1" s="1"/>
  <c r="N15" i="6" s="1"/>
  <c r="D17" i="1"/>
  <c r="F17" i="1"/>
  <c r="C16" i="6" s="1"/>
  <c r="G17" i="1"/>
  <c r="H17" i="1"/>
  <c r="B17" i="1"/>
  <c r="AR17" i="1" s="1"/>
  <c r="Y17" i="1" s="1"/>
  <c r="D18" i="1"/>
  <c r="F18" i="1"/>
  <c r="C17" i="6" s="1"/>
  <c r="G18" i="1"/>
  <c r="H18" i="1"/>
  <c r="B18" i="1"/>
  <c r="I18" i="1" s="1"/>
  <c r="N17" i="6" s="1"/>
  <c r="D19" i="1"/>
  <c r="F19" i="1"/>
  <c r="C18" i="6" s="1"/>
  <c r="G19" i="1"/>
  <c r="H19" i="1"/>
  <c r="B19" i="1"/>
  <c r="AM19" i="1" s="1"/>
  <c r="O19" i="1" s="1"/>
  <c r="D20" i="1"/>
  <c r="F20" i="1"/>
  <c r="C19" i="6" s="1"/>
  <c r="G20" i="1"/>
  <c r="H20" i="1"/>
  <c r="B20" i="1"/>
  <c r="I20" i="1" s="1"/>
  <c r="N19" i="6" s="1"/>
  <c r="D21" i="1"/>
  <c r="F21" i="1"/>
  <c r="C20" i="6" s="1"/>
  <c r="G21" i="1"/>
  <c r="H21" i="1"/>
  <c r="B21" i="1"/>
  <c r="I21" i="1" s="1"/>
  <c r="N20" i="6" s="1"/>
  <c r="D22" i="1"/>
  <c r="F22" i="1"/>
  <c r="C21" i="6" s="1"/>
  <c r="G22" i="1"/>
  <c r="H22" i="1"/>
  <c r="B22" i="1"/>
  <c r="AQ22" i="1" s="1"/>
  <c r="W22" i="1" s="1"/>
  <c r="D23" i="1"/>
  <c r="F23" i="1"/>
  <c r="C22" i="6" s="1"/>
  <c r="G23" i="1"/>
  <c r="H23" i="1"/>
  <c r="B23" i="1"/>
  <c r="AL23" i="1" s="1"/>
  <c r="M23" i="1" s="1"/>
  <c r="D24" i="1"/>
  <c r="F24" i="1"/>
  <c r="C23" i="6" s="1"/>
  <c r="G24" i="1"/>
  <c r="H24" i="1"/>
  <c r="B24" i="1"/>
  <c r="I24" i="1" s="1"/>
  <c r="N23" i="6" s="1"/>
  <c r="D25" i="1"/>
  <c r="F25" i="1"/>
  <c r="C24" i="6" s="1"/>
  <c r="G25" i="1"/>
  <c r="H25" i="1"/>
  <c r="B25" i="1"/>
  <c r="AM25" i="1" s="1"/>
  <c r="O25" i="1" s="1"/>
  <c r="D26" i="1"/>
  <c r="F26" i="1"/>
  <c r="C25" i="6" s="1"/>
  <c r="G26" i="1"/>
  <c r="H26" i="1"/>
  <c r="B26" i="1"/>
  <c r="I26" i="1" s="1"/>
  <c r="N25" i="6" s="1"/>
  <c r="D27" i="1"/>
  <c r="F27" i="1"/>
  <c r="C26" i="6" s="1"/>
  <c r="G27" i="1"/>
  <c r="H27" i="1"/>
  <c r="B27" i="1"/>
  <c r="I27" i="1" s="1"/>
  <c r="N26" i="6" s="1"/>
  <c r="D28" i="1"/>
  <c r="F28" i="1"/>
  <c r="C27" i="6" s="1"/>
  <c r="G28" i="1"/>
  <c r="H28" i="1"/>
  <c r="B28" i="1"/>
  <c r="I28" i="1" s="1"/>
  <c r="N27" i="6" s="1"/>
  <c r="D29" i="1"/>
  <c r="F29" i="1"/>
  <c r="C28" i="6" s="1"/>
  <c r="G29" i="1"/>
  <c r="H29" i="1"/>
  <c r="B29" i="1"/>
  <c r="I29" i="1" s="1"/>
  <c r="N28" i="6" s="1"/>
  <c r="D30" i="1"/>
  <c r="F30" i="1"/>
  <c r="C29" i="6" s="1"/>
  <c r="G30" i="1"/>
  <c r="H30" i="1"/>
  <c r="B30" i="1"/>
  <c r="AQ30" i="1" s="1"/>
  <c r="W30" i="1" s="1"/>
  <c r="D31" i="1"/>
  <c r="F31" i="1"/>
  <c r="C30" i="6" s="1"/>
  <c r="G31" i="1"/>
  <c r="H31" i="1"/>
  <c r="B31" i="1"/>
  <c r="AO31" i="1" s="1"/>
  <c r="S31" i="1" s="1"/>
  <c r="D32" i="1"/>
  <c r="F32" i="1"/>
  <c r="C31" i="6" s="1"/>
  <c r="G32" i="1"/>
  <c r="H32" i="1"/>
  <c r="B32" i="1"/>
  <c r="I32" i="1" s="1"/>
  <c r="N31" i="6" s="1"/>
  <c r="D33" i="1"/>
  <c r="F33" i="1"/>
  <c r="C32" i="6" s="1"/>
  <c r="G33" i="1"/>
  <c r="H33" i="1"/>
  <c r="B33" i="1"/>
  <c r="AT33" i="1" s="1"/>
  <c r="AC33" i="1" s="1"/>
  <c r="D34" i="1"/>
  <c r="F34" i="1"/>
  <c r="C33" i="6" s="1"/>
  <c r="G34" i="1"/>
  <c r="H34" i="1"/>
  <c r="B34" i="1"/>
  <c r="I34" i="1" s="1"/>
  <c r="N33" i="6" s="1"/>
  <c r="D35" i="1"/>
  <c r="F35" i="1"/>
  <c r="C34" i="6" s="1"/>
  <c r="G35" i="1"/>
  <c r="H35" i="1"/>
  <c r="B35" i="1"/>
  <c r="I35" i="1" s="1"/>
  <c r="N34" i="6" s="1"/>
  <c r="D36" i="1"/>
  <c r="F36" i="1"/>
  <c r="C35" i="6" s="1"/>
  <c r="G36" i="1"/>
  <c r="H36" i="1"/>
  <c r="B36" i="1"/>
  <c r="I36" i="1" s="1"/>
  <c r="N35" i="6" s="1"/>
  <c r="D37" i="1"/>
  <c r="F37" i="1"/>
  <c r="C36" i="6" s="1"/>
  <c r="G37" i="1"/>
  <c r="H37" i="1"/>
  <c r="B37" i="1"/>
  <c r="I37" i="1" s="1"/>
  <c r="N36" i="6" s="1"/>
  <c r="D38" i="1"/>
  <c r="F38" i="1"/>
  <c r="C37" i="6" s="1"/>
  <c r="G38" i="1"/>
  <c r="H38" i="1"/>
  <c r="B38" i="1"/>
  <c r="I38" i="1" s="1"/>
  <c r="N37" i="6" s="1"/>
  <c r="D39" i="1"/>
  <c r="F39" i="1"/>
  <c r="C38" i="6" s="1"/>
  <c r="G39" i="1"/>
  <c r="H39" i="1"/>
  <c r="B39" i="1"/>
  <c r="AQ39" i="1" s="1"/>
  <c r="W39" i="1" s="1"/>
  <c r="D40" i="1"/>
  <c r="F40" i="1"/>
  <c r="C39" i="6" s="1"/>
  <c r="G40" i="1"/>
  <c r="H40" i="1"/>
  <c r="B40" i="1"/>
  <c r="I40" i="1" s="1"/>
  <c r="N39" i="6" s="1"/>
  <c r="D41" i="1"/>
  <c r="F41" i="1"/>
  <c r="C40" i="6" s="1"/>
  <c r="G41" i="1"/>
  <c r="H41" i="1"/>
  <c r="B41" i="1"/>
  <c r="I41" i="1" s="1"/>
  <c r="N40" i="6" s="1"/>
  <c r="D42" i="1"/>
  <c r="F42" i="1"/>
  <c r="C41" i="6" s="1"/>
  <c r="G42" i="1"/>
  <c r="H42" i="1"/>
  <c r="B42" i="1"/>
  <c r="I42" i="1" s="1"/>
  <c r="N41" i="6" s="1"/>
  <c r="D43" i="1"/>
  <c r="F43" i="1"/>
  <c r="C42" i="6" s="1"/>
  <c r="G43" i="1"/>
  <c r="H43" i="1"/>
  <c r="B43" i="1"/>
  <c r="AT43" i="1" s="1"/>
  <c r="AC43" i="1" s="1"/>
  <c r="D44" i="1"/>
  <c r="F44" i="1"/>
  <c r="C43" i="6" s="1"/>
  <c r="G44" i="1"/>
  <c r="H44" i="1"/>
  <c r="B44" i="1"/>
  <c r="I44" i="1" s="1"/>
  <c r="N43" i="6" s="1"/>
  <c r="D45" i="1"/>
  <c r="F45" i="1"/>
  <c r="C44" i="6" s="1"/>
  <c r="G45" i="1"/>
  <c r="H45" i="1"/>
  <c r="B45" i="1"/>
  <c r="I45" i="1" s="1"/>
  <c r="N44" i="6" s="1"/>
  <c r="D46" i="1"/>
  <c r="F46" i="1"/>
  <c r="C45" i="6" s="1"/>
  <c r="G46" i="1"/>
  <c r="H46" i="1"/>
  <c r="B46" i="1"/>
  <c r="I46" i="1" s="1"/>
  <c r="N45" i="6" s="1"/>
  <c r="D47" i="1"/>
  <c r="F47" i="1"/>
  <c r="C46" i="6" s="1"/>
  <c r="G47" i="1"/>
  <c r="H47" i="1"/>
  <c r="B47" i="1"/>
  <c r="AM47" i="1" s="1"/>
  <c r="O47" i="1" s="1"/>
  <c r="D48" i="1"/>
  <c r="F48" i="1"/>
  <c r="C47" i="6" s="1"/>
  <c r="G48" i="1"/>
  <c r="H48" i="1"/>
  <c r="B48" i="1"/>
  <c r="I48" i="1" s="1"/>
  <c r="N47" i="6" s="1"/>
  <c r="D49" i="1"/>
  <c r="F49" i="1"/>
  <c r="C48" i="6" s="1"/>
  <c r="G49" i="1"/>
  <c r="H49" i="1"/>
  <c r="B49" i="1"/>
  <c r="I49" i="1" s="1"/>
  <c r="N48" i="6" s="1"/>
  <c r="D50" i="1"/>
  <c r="F50" i="1"/>
  <c r="C49" i="6" s="1"/>
  <c r="G50" i="1"/>
  <c r="H50" i="1"/>
  <c r="B50" i="1"/>
  <c r="I50" i="1" s="1"/>
  <c r="N49" i="6" s="1"/>
  <c r="D51" i="1"/>
  <c r="F51" i="1"/>
  <c r="C50" i="6" s="1"/>
  <c r="G51" i="1"/>
  <c r="H51" i="1"/>
  <c r="B51" i="1"/>
  <c r="AN51" i="1" s="1"/>
  <c r="Q51" i="1" s="1"/>
  <c r="D52" i="1"/>
  <c r="F52" i="1"/>
  <c r="C51" i="6" s="1"/>
  <c r="G52" i="1"/>
  <c r="H52" i="1"/>
  <c r="B52" i="1"/>
  <c r="I52" i="1" s="1"/>
  <c r="N51" i="6" s="1"/>
  <c r="D53" i="1"/>
  <c r="F53" i="1"/>
  <c r="C52" i="6" s="1"/>
  <c r="G53" i="1"/>
  <c r="H53" i="1"/>
  <c r="B53" i="1"/>
  <c r="I53" i="1" s="1"/>
  <c r="N52" i="6" s="1"/>
  <c r="D54" i="1"/>
  <c r="F54" i="1"/>
  <c r="C53" i="6" s="1"/>
  <c r="G54" i="1"/>
  <c r="H54" i="1"/>
  <c r="B54" i="1"/>
  <c r="AN54" i="1" s="1"/>
  <c r="Q54" i="1" s="1"/>
  <c r="D55" i="1"/>
  <c r="F55" i="1"/>
  <c r="C54" i="6" s="1"/>
  <c r="G55" i="1"/>
  <c r="H55" i="1"/>
  <c r="B55" i="1"/>
  <c r="D56" i="1"/>
  <c r="F56" i="1"/>
  <c r="C55" i="6" s="1"/>
  <c r="G56" i="1"/>
  <c r="H56" i="1"/>
  <c r="B56" i="1"/>
  <c r="I56" i="1" s="1"/>
  <c r="N55" i="6" s="1"/>
  <c r="D57" i="1"/>
  <c r="F57" i="1"/>
  <c r="C56" i="6" s="1"/>
  <c r="G57" i="1"/>
  <c r="H57" i="1"/>
  <c r="B57" i="1"/>
  <c r="D58" i="1"/>
  <c r="F58" i="1"/>
  <c r="C57" i="6" s="1"/>
  <c r="G58" i="1"/>
  <c r="H58" i="1"/>
  <c r="B58" i="1"/>
  <c r="I58" i="1" s="1"/>
  <c r="N57" i="6" s="1"/>
  <c r="D59" i="1"/>
  <c r="F59" i="1"/>
  <c r="C58" i="6" s="1"/>
  <c r="G59" i="1"/>
  <c r="H59" i="1"/>
  <c r="B59" i="1"/>
  <c r="AO59" i="1" s="1"/>
  <c r="S59" i="1" s="1"/>
  <c r="D60" i="1"/>
  <c r="F60" i="1"/>
  <c r="C59" i="6" s="1"/>
  <c r="G60" i="1"/>
  <c r="H60" i="1"/>
  <c r="B60" i="1"/>
  <c r="I60" i="1" s="1"/>
  <c r="N59" i="6" s="1"/>
  <c r="D61" i="1"/>
  <c r="F61" i="1"/>
  <c r="C60" i="6" s="1"/>
  <c r="G61" i="1"/>
  <c r="H61" i="1"/>
  <c r="B61" i="1"/>
  <c r="I61" i="1" s="1"/>
  <c r="N60" i="6" s="1"/>
  <c r="D62" i="1"/>
  <c r="F62" i="1"/>
  <c r="C61" i="6" s="1"/>
  <c r="G62" i="1"/>
  <c r="H62" i="1"/>
  <c r="B62" i="1"/>
  <c r="AM62" i="1" s="1"/>
  <c r="O62" i="1" s="1"/>
  <c r="D63" i="1"/>
  <c r="F63" i="1"/>
  <c r="C62" i="6" s="1"/>
  <c r="G63" i="1"/>
  <c r="H63" i="1"/>
  <c r="B63" i="1"/>
  <c r="AM63" i="1" s="1"/>
  <c r="O63" i="1" s="1"/>
  <c r="D64" i="1"/>
  <c r="F64" i="1"/>
  <c r="C63" i="6" s="1"/>
  <c r="G64" i="1"/>
  <c r="H64" i="1"/>
  <c r="B64" i="1"/>
  <c r="I64" i="1" s="1"/>
  <c r="N63" i="6" s="1"/>
  <c r="D65" i="1"/>
  <c r="F65" i="1"/>
  <c r="C64" i="6" s="1"/>
  <c r="G65" i="1"/>
  <c r="H65" i="1"/>
  <c r="B65" i="1"/>
  <c r="AK65" i="1" s="1"/>
  <c r="K65" i="1" s="1"/>
  <c r="D66" i="1"/>
  <c r="F66" i="1"/>
  <c r="C65" i="6" s="1"/>
  <c r="G66" i="1"/>
  <c r="H66" i="1"/>
  <c r="B66" i="1"/>
  <c r="I66" i="1" s="1"/>
  <c r="N65" i="6" s="1"/>
  <c r="D67" i="1"/>
  <c r="F67" i="1"/>
  <c r="C66" i="6" s="1"/>
  <c r="G67" i="1"/>
  <c r="H67" i="1"/>
  <c r="B67" i="1"/>
  <c r="AN67" i="1" s="1"/>
  <c r="Q67" i="1" s="1"/>
  <c r="D68" i="1"/>
  <c r="F68" i="1"/>
  <c r="C67" i="6" s="1"/>
  <c r="G68" i="1"/>
  <c r="H68" i="1"/>
  <c r="B68" i="1"/>
  <c r="I68" i="1" s="1"/>
  <c r="N67" i="6" s="1"/>
  <c r="D69" i="1"/>
  <c r="F69" i="1"/>
  <c r="C68" i="6" s="1"/>
  <c r="G69" i="1"/>
  <c r="H69" i="1"/>
  <c r="B69" i="1"/>
  <c r="I69" i="1" s="1"/>
  <c r="N68" i="6" s="1"/>
  <c r="D70" i="1"/>
  <c r="F70" i="1"/>
  <c r="C69" i="6" s="1"/>
  <c r="G70" i="1"/>
  <c r="H70" i="1"/>
  <c r="B70" i="1"/>
  <c r="AM70" i="1" s="1"/>
  <c r="O70" i="1" s="1"/>
  <c r="D71" i="1"/>
  <c r="F71" i="1"/>
  <c r="C70" i="6" s="1"/>
  <c r="G71" i="1"/>
  <c r="H71" i="1"/>
  <c r="B71" i="1"/>
  <c r="AT71" i="1" s="1"/>
  <c r="AC71" i="1" s="1"/>
  <c r="D72" i="1"/>
  <c r="F72" i="1"/>
  <c r="C71" i="6" s="1"/>
  <c r="G72" i="1"/>
  <c r="H72" i="1"/>
  <c r="B72" i="1"/>
  <c r="I72" i="1" s="1"/>
  <c r="N71" i="6" s="1"/>
  <c r="D73" i="1"/>
  <c r="F73" i="1"/>
  <c r="C72" i="6" s="1"/>
  <c r="G73" i="1"/>
  <c r="H73" i="1"/>
  <c r="B73" i="1"/>
  <c r="AK73" i="1" s="1"/>
  <c r="K73" i="1" s="1"/>
  <c r="D74" i="1"/>
  <c r="F74" i="1"/>
  <c r="C73" i="6" s="1"/>
  <c r="G74" i="1"/>
  <c r="H74" i="1"/>
  <c r="B74" i="1"/>
  <c r="I74" i="1" s="1"/>
  <c r="N73" i="6" s="1"/>
  <c r="D75" i="1"/>
  <c r="F75" i="1"/>
  <c r="C74" i="6" s="1"/>
  <c r="G75" i="1"/>
  <c r="H75" i="1"/>
  <c r="B75" i="1"/>
  <c r="AR75" i="1" s="1"/>
  <c r="Y75" i="1" s="1"/>
  <c r="D76" i="1"/>
  <c r="F76" i="1"/>
  <c r="C75" i="6" s="1"/>
  <c r="G76" i="1"/>
  <c r="H76" i="1"/>
  <c r="B76" i="1"/>
  <c r="I76" i="1" s="1"/>
  <c r="N75" i="6" s="1"/>
  <c r="D77" i="1"/>
  <c r="F77" i="1"/>
  <c r="C76" i="6" s="1"/>
  <c r="G77" i="1"/>
  <c r="H77" i="1"/>
  <c r="B77" i="1"/>
  <c r="I77" i="1" s="1"/>
  <c r="N76" i="6" s="1"/>
  <c r="D78" i="1"/>
  <c r="F78" i="1"/>
  <c r="C77" i="6" s="1"/>
  <c r="G78" i="1"/>
  <c r="H78" i="1"/>
  <c r="B78" i="1"/>
  <c r="AQ78" i="1" s="1"/>
  <c r="W78" i="1" s="1"/>
  <c r="D79" i="1"/>
  <c r="F79" i="1"/>
  <c r="C78" i="6" s="1"/>
  <c r="G79" i="1"/>
  <c r="H79" i="1"/>
  <c r="B79" i="1"/>
  <c r="AS79" i="1" s="1"/>
  <c r="AA79" i="1" s="1"/>
  <c r="D80" i="1"/>
  <c r="F80" i="1"/>
  <c r="C79" i="6" s="1"/>
  <c r="G80" i="1"/>
  <c r="H80" i="1"/>
  <c r="B80" i="1"/>
  <c r="I80" i="1" s="1"/>
  <c r="N79" i="6" s="1"/>
  <c r="D81" i="1"/>
  <c r="F81" i="1"/>
  <c r="C80" i="6" s="1"/>
  <c r="G81" i="1"/>
  <c r="H81" i="1"/>
  <c r="B81" i="1"/>
  <c r="AQ81" i="1" s="1"/>
  <c r="W81" i="1" s="1"/>
  <c r="D82" i="1"/>
  <c r="F82" i="1"/>
  <c r="C81" i="6" s="1"/>
  <c r="G82" i="1"/>
  <c r="H82" i="1"/>
  <c r="B82" i="1"/>
  <c r="I82" i="1" s="1"/>
  <c r="N81" i="6" s="1"/>
  <c r="D83" i="1"/>
  <c r="F83" i="1"/>
  <c r="C82" i="6" s="1"/>
  <c r="G83" i="1"/>
  <c r="H83" i="1"/>
  <c r="B83" i="1"/>
  <c r="AM83" i="1" s="1"/>
  <c r="O83" i="1" s="1"/>
  <c r="D84" i="1"/>
  <c r="F84" i="1"/>
  <c r="C83" i="6" s="1"/>
  <c r="G84" i="1"/>
  <c r="H84" i="1"/>
  <c r="B84" i="1"/>
  <c r="I84" i="1" s="1"/>
  <c r="N83" i="6" s="1"/>
  <c r="D85" i="1"/>
  <c r="F85" i="1"/>
  <c r="C84" i="6" s="1"/>
  <c r="G85" i="1"/>
  <c r="H85" i="1"/>
  <c r="B85" i="1"/>
  <c r="I85" i="1" s="1"/>
  <c r="N84" i="6" s="1"/>
  <c r="D86" i="1"/>
  <c r="F86" i="1"/>
  <c r="C85" i="6" s="1"/>
  <c r="G86" i="1"/>
  <c r="H86" i="1"/>
  <c r="B86" i="1"/>
  <c r="AS86" i="1" s="1"/>
  <c r="AA86" i="1" s="1"/>
  <c r="D87" i="1"/>
  <c r="F87" i="1"/>
  <c r="C86" i="6" s="1"/>
  <c r="G87" i="1"/>
  <c r="H87" i="1"/>
  <c r="B87" i="1"/>
  <c r="AN87" i="1" s="1"/>
  <c r="Q87" i="1" s="1"/>
  <c r="D88" i="1"/>
  <c r="F88" i="1"/>
  <c r="C87" i="6" s="1"/>
  <c r="G88" i="1"/>
  <c r="H88" i="1"/>
  <c r="B88" i="1"/>
  <c r="I88" i="1" s="1"/>
  <c r="N87" i="6" s="1"/>
  <c r="D89" i="1"/>
  <c r="F89" i="1"/>
  <c r="C88" i="6" s="1"/>
  <c r="G89" i="1"/>
  <c r="H89" i="1"/>
  <c r="B89" i="1"/>
  <c r="AN89" i="1" s="1"/>
  <c r="Q89" i="1" s="1"/>
  <c r="D90" i="1"/>
  <c r="F90" i="1"/>
  <c r="C89" i="6" s="1"/>
  <c r="G90" i="1"/>
  <c r="H90" i="1"/>
  <c r="B90" i="1"/>
  <c r="I90" i="1" s="1"/>
  <c r="N89" i="6" s="1"/>
  <c r="D91" i="1"/>
  <c r="F91" i="1"/>
  <c r="C90" i="6" s="1"/>
  <c r="G91" i="1"/>
  <c r="H91" i="1"/>
  <c r="B91" i="1"/>
  <c r="I91" i="1" s="1"/>
  <c r="N90" i="6" s="1"/>
  <c r="D92" i="1"/>
  <c r="F92" i="1"/>
  <c r="C91" i="6" s="1"/>
  <c r="G92" i="1"/>
  <c r="H92" i="1"/>
  <c r="B92" i="1"/>
  <c r="I92" i="1" s="1"/>
  <c r="N91" i="6" s="1"/>
  <c r="D93" i="1"/>
  <c r="F93" i="1"/>
  <c r="C92" i="6" s="1"/>
  <c r="G93" i="1"/>
  <c r="H93" i="1"/>
  <c r="B93" i="1"/>
  <c r="I93" i="1" s="1"/>
  <c r="N92" i="6" s="1"/>
  <c r="D94" i="1"/>
  <c r="F94" i="1"/>
  <c r="C93" i="6" s="1"/>
  <c r="G94" i="1"/>
  <c r="H94" i="1"/>
  <c r="B94" i="1"/>
  <c r="AR94" i="1" s="1"/>
  <c r="Y94" i="1" s="1"/>
  <c r="D95" i="1"/>
  <c r="F95" i="1"/>
  <c r="C94" i="6" s="1"/>
  <c r="G95" i="1"/>
  <c r="H95" i="1"/>
  <c r="B95" i="1"/>
  <c r="AR95" i="1" s="1"/>
  <c r="Y95" i="1" s="1"/>
  <c r="D96" i="1"/>
  <c r="F96" i="1"/>
  <c r="C95" i="6" s="1"/>
  <c r="G96" i="1"/>
  <c r="H96" i="1"/>
  <c r="B96" i="1"/>
  <c r="I96" i="1" s="1"/>
  <c r="N95" i="6" s="1"/>
  <c r="D97" i="1"/>
  <c r="F97" i="1"/>
  <c r="C96" i="6" s="1"/>
  <c r="G97" i="1"/>
  <c r="H97" i="1"/>
  <c r="B97" i="1"/>
  <c r="AK97" i="1" s="1"/>
  <c r="K97" i="1" s="1"/>
  <c r="D98" i="1"/>
  <c r="F98" i="1"/>
  <c r="C97" i="6" s="1"/>
  <c r="G98" i="1"/>
  <c r="H98" i="1"/>
  <c r="B98" i="1"/>
  <c r="I98" i="1" s="1"/>
  <c r="N97" i="6" s="1"/>
  <c r="D99" i="1"/>
  <c r="F99" i="1"/>
  <c r="C98" i="6" s="1"/>
  <c r="G99" i="1"/>
  <c r="H99" i="1"/>
  <c r="B99" i="1"/>
  <c r="I99" i="1" s="1"/>
  <c r="N98" i="6" s="1"/>
  <c r="D100" i="1"/>
  <c r="F100" i="1"/>
  <c r="C99" i="6" s="1"/>
  <c r="G100" i="1"/>
  <c r="H100" i="1"/>
  <c r="B100" i="1"/>
  <c r="I100" i="1" s="1"/>
  <c r="N99" i="6" s="1"/>
  <c r="D101" i="1"/>
  <c r="F101" i="1"/>
  <c r="C100" i="6" s="1"/>
  <c r="G101" i="1"/>
  <c r="H101" i="1"/>
  <c r="B101" i="1"/>
  <c r="I101" i="1" s="1"/>
  <c r="N100" i="6" s="1"/>
  <c r="D102" i="1"/>
  <c r="F102" i="1"/>
  <c r="C101" i="6" s="1"/>
  <c r="G102" i="1"/>
  <c r="H102" i="1"/>
  <c r="B102" i="1"/>
  <c r="AQ102" i="1" s="1"/>
  <c r="W102" i="1" s="1"/>
  <c r="D103" i="1"/>
  <c r="F103" i="1"/>
  <c r="C102" i="6" s="1"/>
  <c r="G103" i="1"/>
  <c r="H103" i="1"/>
  <c r="B103" i="1"/>
  <c r="AK103" i="1" s="1"/>
  <c r="K103" i="1" s="1"/>
  <c r="D104" i="1"/>
  <c r="F104" i="1"/>
  <c r="C103" i="6" s="1"/>
  <c r="G104" i="1"/>
  <c r="H104" i="1"/>
  <c r="B104" i="1"/>
  <c r="I104" i="1" s="1"/>
  <c r="N103" i="6" s="1"/>
  <c r="D105" i="1"/>
  <c r="F105" i="1"/>
  <c r="C104" i="6" s="1"/>
  <c r="G105" i="1"/>
  <c r="H105" i="1"/>
  <c r="B105" i="1"/>
  <c r="AS105" i="1" s="1"/>
  <c r="AA105" i="1" s="1"/>
  <c r="D106" i="1"/>
  <c r="F106" i="1"/>
  <c r="C105" i="6" s="1"/>
  <c r="G106" i="1"/>
  <c r="H106" i="1"/>
  <c r="B106" i="1"/>
  <c r="I106" i="1" s="1"/>
  <c r="N105" i="6" s="1"/>
  <c r="D107" i="1"/>
  <c r="F107" i="1"/>
  <c r="C106" i="6" s="1"/>
  <c r="G107" i="1"/>
  <c r="H107" i="1"/>
  <c r="B107" i="1"/>
  <c r="I107" i="1" s="1"/>
  <c r="N106" i="6" s="1"/>
  <c r="D108" i="1"/>
  <c r="F108" i="1"/>
  <c r="C107" i="6" s="1"/>
  <c r="G108" i="1"/>
  <c r="H108" i="1"/>
  <c r="B108" i="1"/>
  <c r="I108" i="1" s="1"/>
  <c r="N107" i="6" s="1"/>
  <c r="D109" i="1"/>
  <c r="F109" i="1"/>
  <c r="C108" i="6" s="1"/>
  <c r="G109" i="1"/>
  <c r="H109" i="1"/>
  <c r="B109" i="1"/>
  <c r="I109" i="1" s="1"/>
  <c r="N108" i="6" s="1"/>
  <c r="D110" i="1"/>
  <c r="F110" i="1"/>
  <c r="C109" i="6" s="1"/>
  <c r="G110" i="1"/>
  <c r="H110" i="1"/>
  <c r="B110" i="1"/>
  <c r="AS110" i="1" s="1"/>
  <c r="AA110" i="1" s="1"/>
  <c r="D111" i="1"/>
  <c r="F111" i="1"/>
  <c r="C110" i="6" s="1"/>
  <c r="G111" i="1"/>
  <c r="H111" i="1"/>
  <c r="B111" i="1"/>
  <c r="AN111" i="1" s="1"/>
  <c r="Q111" i="1" s="1"/>
  <c r="D112" i="1"/>
  <c r="F112" i="1"/>
  <c r="C111" i="6" s="1"/>
  <c r="G112" i="1"/>
  <c r="H112" i="1"/>
  <c r="B112" i="1"/>
  <c r="I112" i="1" s="1"/>
  <c r="N111" i="6" s="1"/>
  <c r="D113" i="1"/>
  <c r="F113" i="1"/>
  <c r="C112" i="6" s="1"/>
  <c r="G113" i="1"/>
  <c r="H113" i="1"/>
  <c r="B113" i="1"/>
  <c r="I113" i="1" s="1"/>
  <c r="N112" i="6" s="1"/>
  <c r="D114" i="1"/>
  <c r="F114" i="1"/>
  <c r="C113" i="6" s="1"/>
  <c r="G114" i="1"/>
  <c r="H114" i="1"/>
  <c r="B114" i="1"/>
  <c r="I114" i="1" s="1"/>
  <c r="N113" i="6" s="1"/>
  <c r="D115" i="1"/>
  <c r="F115" i="1"/>
  <c r="C114" i="6" s="1"/>
  <c r="G115" i="1"/>
  <c r="H115" i="1"/>
  <c r="B115" i="1"/>
  <c r="I115" i="1" s="1"/>
  <c r="N114" i="6" s="1"/>
  <c r="D116" i="1"/>
  <c r="F116" i="1"/>
  <c r="C115" i="6" s="1"/>
  <c r="G116" i="1"/>
  <c r="H116" i="1"/>
  <c r="B116" i="1"/>
  <c r="AQ116" i="1" s="1"/>
  <c r="W116" i="1" s="1"/>
  <c r="D117" i="1"/>
  <c r="F117" i="1"/>
  <c r="C116" i="6" s="1"/>
  <c r="G117" i="1"/>
  <c r="H117" i="1"/>
  <c r="B117" i="1"/>
  <c r="I117" i="1" s="1"/>
  <c r="N116" i="6" s="1"/>
  <c r="D118" i="1"/>
  <c r="F118" i="1"/>
  <c r="C117" i="6" s="1"/>
  <c r="G118" i="1"/>
  <c r="H118" i="1"/>
  <c r="B118" i="1"/>
  <c r="AS118" i="1" s="1"/>
  <c r="AA118" i="1" s="1"/>
  <c r="D119" i="1"/>
  <c r="F119" i="1"/>
  <c r="C118" i="6" s="1"/>
  <c r="G119" i="1"/>
  <c r="H119" i="1"/>
  <c r="B119" i="1"/>
  <c r="I119" i="1" s="1"/>
  <c r="N118" i="6" s="1"/>
  <c r="D120" i="1"/>
  <c r="F120" i="1"/>
  <c r="C119" i="6" s="1"/>
  <c r="G120" i="1"/>
  <c r="H120" i="1"/>
  <c r="B120" i="1"/>
  <c r="I120" i="1" s="1"/>
  <c r="N119" i="6" s="1"/>
  <c r="D121" i="1"/>
  <c r="F121" i="1"/>
  <c r="C120" i="6" s="1"/>
  <c r="G121" i="1"/>
  <c r="H121" i="1"/>
  <c r="B121" i="1"/>
  <c r="AM121" i="1" s="1"/>
  <c r="O121" i="1" s="1"/>
  <c r="D122" i="1"/>
  <c r="F122" i="1"/>
  <c r="C121" i="6" s="1"/>
  <c r="G122" i="1"/>
  <c r="H122" i="1"/>
  <c r="B122" i="1"/>
  <c r="I122" i="1" s="1"/>
  <c r="N121" i="6" s="1"/>
  <c r="D123" i="1"/>
  <c r="F123" i="1"/>
  <c r="C122" i="6" s="1"/>
  <c r="G123" i="1"/>
  <c r="H123" i="1"/>
  <c r="B123" i="1"/>
  <c r="I123" i="1" s="1"/>
  <c r="N122" i="6" s="1"/>
  <c r="D124" i="1"/>
  <c r="F124" i="1"/>
  <c r="C123" i="6" s="1"/>
  <c r="G124" i="1"/>
  <c r="H124" i="1"/>
  <c r="B124" i="1"/>
  <c r="AL124" i="1" s="1"/>
  <c r="M124" i="1" s="1"/>
  <c r="D125" i="1"/>
  <c r="F125" i="1"/>
  <c r="C124" i="6" s="1"/>
  <c r="G125" i="1"/>
  <c r="H125" i="1"/>
  <c r="B125" i="1"/>
  <c r="I125" i="1" s="1"/>
  <c r="N124" i="6" s="1"/>
  <c r="D126" i="1"/>
  <c r="F126" i="1"/>
  <c r="C125" i="6" s="1"/>
  <c r="G126" i="1"/>
  <c r="H126" i="1"/>
  <c r="B126" i="1"/>
  <c r="AS126" i="1" s="1"/>
  <c r="AA126" i="1" s="1"/>
  <c r="D127" i="1"/>
  <c r="F127" i="1"/>
  <c r="C126" i="6" s="1"/>
  <c r="G127" i="1"/>
  <c r="H127" i="1"/>
  <c r="B127" i="1"/>
  <c r="AK127" i="1" s="1"/>
  <c r="K127" i="1" s="1"/>
  <c r="D128" i="1"/>
  <c r="F128" i="1"/>
  <c r="C127" i="6" s="1"/>
  <c r="G128" i="1"/>
  <c r="H128" i="1"/>
  <c r="B128" i="1"/>
  <c r="I128" i="1" s="1"/>
  <c r="N127" i="6" s="1"/>
  <c r="D129" i="1"/>
  <c r="F129" i="1"/>
  <c r="C128" i="6" s="1"/>
  <c r="G129" i="1"/>
  <c r="H129" i="1"/>
  <c r="B129" i="1"/>
  <c r="AL129" i="1" s="1"/>
  <c r="M129" i="1" s="1"/>
  <c r="D130" i="1"/>
  <c r="F130" i="1"/>
  <c r="C129" i="6" s="1"/>
  <c r="G130" i="1"/>
  <c r="H130" i="1"/>
  <c r="B130" i="1"/>
  <c r="I130" i="1" s="1"/>
  <c r="N129" i="6" s="1"/>
  <c r="D131" i="1"/>
  <c r="F131" i="1"/>
  <c r="C130" i="6" s="1"/>
  <c r="G131" i="1"/>
  <c r="H131" i="1"/>
  <c r="B131" i="1"/>
  <c r="AM131" i="1" s="1"/>
  <c r="O131" i="1" s="1"/>
  <c r="D132" i="1"/>
  <c r="F132" i="1"/>
  <c r="C131" i="6" s="1"/>
  <c r="G132" i="1"/>
  <c r="H132" i="1"/>
  <c r="B132" i="1"/>
  <c r="I132" i="1" s="1"/>
  <c r="N131" i="6" s="1"/>
  <c r="D133" i="1"/>
  <c r="F133" i="1"/>
  <c r="C132" i="6" s="1"/>
  <c r="G133" i="1"/>
  <c r="H133" i="1"/>
  <c r="B133" i="1"/>
  <c r="I133" i="1" s="1"/>
  <c r="N132" i="6" s="1"/>
  <c r="D134" i="1"/>
  <c r="F134" i="1"/>
  <c r="C133" i="6" s="1"/>
  <c r="G134" i="1"/>
  <c r="H134" i="1"/>
  <c r="B134" i="1"/>
  <c r="I134" i="1" s="1"/>
  <c r="N133" i="6" s="1"/>
  <c r="D135" i="1"/>
  <c r="F135" i="1"/>
  <c r="C134" i="6" s="1"/>
  <c r="G135" i="1"/>
  <c r="H135" i="1"/>
  <c r="B135" i="1"/>
  <c r="AR135" i="1" s="1"/>
  <c r="Y135" i="1" s="1"/>
  <c r="D136" i="1"/>
  <c r="F136" i="1"/>
  <c r="C135" i="6" s="1"/>
  <c r="G136" i="1"/>
  <c r="H136" i="1"/>
  <c r="B136" i="1"/>
  <c r="I136" i="1" s="1"/>
  <c r="N135" i="6" s="1"/>
  <c r="D137" i="1"/>
  <c r="F137" i="1"/>
  <c r="C136" i="6" s="1"/>
  <c r="G137" i="1"/>
  <c r="H137" i="1"/>
  <c r="B137" i="1"/>
  <c r="AL137" i="1" s="1"/>
  <c r="M137" i="1" s="1"/>
  <c r="D138" i="1"/>
  <c r="F138" i="1"/>
  <c r="C137" i="6" s="1"/>
  <c r="G138" i="1"/>
  <c r="H138" i="1"/>
  <c r="B138" i="1"/>
  <c r="I138" i="1" s="1"/>
  <c r="N137" i="6" s="1"/>
  <c r="D139" i="1"/>
  <c r="F139" i="1"/>
  <c r="C138" i="6" s="1"/>
  <c r="G139" i="1"/>
  <c r="H139" i="1"/>
  <c r="B139" i="1"/>
  <c r="AM139" i="1" s="1"/>
  <c r="O139" i="1" s="1"/>
  <c r="D140" i="1"/>
  <c r="F140" i="1"/>
  <c r="C139" i="6" s="1"/>
  <c r="G140" i="1"/>
  <c r="H140" i="1"/>
  <c r="B140" i="1"/>
  <c r="I140" i="1" s="1"/>
  <c r="N139" i="6" s="1"/>
  <c r="D141" i="1"/>
  <c r="F141" i="1"/>
  <c r="C140" i="6" s="1"/>
  <c r="G141" i="1"/>
  <c r="H141" i="1"/>
  <c r="B141" i="1"/>
  <c r="I141" i="1" s="1"/>
  <c r="N140" i="6" s="1"/>
  <c r="D142" i="1"/>
  <c r="F142" i="1"/>
  <c r="C141" i="6" s="1"/>
  <c r="G142" i="1"/>
  <c r="H142" i="1"/>
  <c r="B142" i="1"/>
  <c r="I142" i="1" s="1"/>
  <c r="N141" i="6" s="1"/>
  <c r="D143" i="1"/>
  <c r="F143" i="1"/>
  <c r="C142" i="6" s="1"/>
  <c r="G143" i="1"/>
  <c r="H143" i="1"/>
  <c r="B143" i="1"/>
  <c r="AP143" i="1" s="1"/>
  <c r="U143" i="1" s="1"/>
  <c r="D144" i="1"/>
  <c r="F144" i="1"/>
  <c r="C143" i="6" s="1"/>
  <c r="G144" i="1"/>
  <c r="H144" i="1"/>
  <c r="B144" i="1"/>
  <c r="I144" i="1" s="1"/>
  <c r="N143" i="6" s="1"/>
  <c r="D145" i="1"/>
  <c r="F145" i="1"/>
  <c r="C144" i="6" s="1"/>
  <c r="G145" i="1"/>
  <c r="H145" i="1"/>
  <c r="B145" i="1"/>
  <c r="I145" i="1" s="1"/>
  <c r="N144" i="6" s="1"/>
  <c r="D146" i="1"/>
  <c r="F146" i="1"/>
  <c r="C145" i="6" s="1"/>
  <c r="G146" i="1"/>
  <c r="H146" i="1"/>
  <c r="B146" i="1"/>
  <c r="I146" i="1" s="1"/>
  <c r="N145" i="6" s="1"/>
  <c r="D147" i="1"/>
  <c r="F147" i="1"/>
  <c r="C146" i="6" s="1"/>
  <c r="G147" i="1"/>
  <c r="H147" i="1"/>
  <c r="B147" i="1"/>
  <c r="I147" i="1" s="1"/>
  <c r="N146" i="6" s="1"/>
  <c r="D148" i="1"/>
  <c r="F148" i="1"/>
  <c r="C147" i="6" s="1"/>
  <c r="G148" i="1"/>
  <c r="H148" i="1"/>
  <c r="B148" i="1"/>
  <c r="AT148" i="1" s="1"/>
  <c r="AC148" i="1" s="1"/>
  <c r="D149" i="1"/>
  <c r="F149" i="1"/>
  <c r="C148" i="6" s="1"/>
  <c r="G149" i="1"/>
  <c r="H149" i="1"/>
  <c r="B149" i="1"/>
  <c r="I149" i="1" s="1"/>
  <c r="N148" i="6" s="1"/>
  <c r="D150" i="1"/>
  <c r="F150" i="1"/>
  <c r="C149" i="6" s="1"/>
  <c r="G150" i="1"/>
  <c r="H150" i="1"/>
  <c r="B150" i="1"/>
  <c r="AL150" i="1" s="1"/>
  <c r="M150" i="1" s="1"/>
  <c r="D151" i="1"/>
  <c r="F151" i="1"/>
  <c r="C150" i="6" s="1"/>
  <c r="G151" i="1"/>
  <c r="H151" i="1"/>
  <c r="B151" i="1"/>
  <c r="AL151" i="1" s="1"/>
  <c r="M151" i="1" s="1"/>
  <c r="D152" i="1"/>
  <c r="F152" i="1"/>
  <c r="C151" i="6" s="1"/>
  <c r="G152" i="1"/>
  <c r="H152" i="1"/>
  <c r="B152" i="1"/>
  <c r="I152" i="1" s="1"/>
  <c r="N151" i="6" s="1"/>
  <c r="D153" i="1"/>
  <c r="F153" i="1"/>
  <c r="C152" i="6" s="1"/>
  <c r="G153" i="1"/>
  <c r="H153" i="1"/>
  <c r="B153" i="1"/>
  <c r="AM153" i="1" s="1"/>
  <c r="O153" i="1" s="1"/>
  <c r="D154" i="1"/>
  <c r="F154" i="1"/>
  <c r="C153" i="6" s="1"/>
  <c r="G154" i="1"/>
  <c r="H154" i="1"/>
  <c r="B154" i="1"/>
  <c r="I154" i="1" s="1"/>
  <c r="N153" i="6" s="1"/>
  <c r="D155" i="1"/>
  <c r="F155" i="1"/>
  <c r="C154" i="6" s="1"/>
  <c r="G155" i="1"/>
  <c r="H155" i="1"/>
  <c r="B155" i="1"/>
  <c r="I155" i="1" s="1"/>
  <c r="N154" i="6" s="1"/>
  <c r="D156" i="1"/>
  <c r="F156" i="1"/>
  <c r="C155" i="6" s="1"/>
  <c r="G156" i="1"/>
  <c r="H156" i="1"/>
  <c r="B156" i="1"/>
  <c r="I156" i="1" s="1"/>
  <c r="N155" i="6" s="1"/>
  <c r="D157" i="1"/>
  <c r="F157" i="1"/>
  <c r="C156" i="6" s="1"/>
  <c r="G157" i="1"/>
  <c r="H157" i="1"/>
  <c r="B157" i="1"/>
  <c r="I157" i="1" s="1"/>
  <c r="N156" i="6" s="1"/>
  <c r="D158" i="1"/>
  <c r="F158" i="1"/>
  <c r="C157" i="6" s="1"/>
  <c r="G158" i="1"/>
  <c r="H158" i="1"/>
  <c r="B158" i="1"/>
  <c r="I158" i="1" s="1"/>
  <c r="N157" i="6" s="1"/>
  <c r="D159" i="1"/>
  <c r="F159" i="1"/>
  <c r="C158" i="6" s="1"/>
  <c r="G159" i="1"/>
  <c r="H159" i="1"/>
  <c r="B159" i="1"/>
  <c r="AM159" i="1" s="1"/>
  <c r="O159" i="1" s="1"/>
  <c r="D160" i="1"/>
  <c r="F160" i="1"/>
  <c r="C159" i="6" s="1"/>
  <c r="G160" i="1"/>
  <c r="H160" i="1"/>
  <c r="B160" i="1"/>
  <c r="I160" i="1" s="1"/>
  <c r="N159" i="6" s="1"/>
  <c r="D161" i="1"/>
  <c r="F161" i="1"/>
  <c r="C160" i="6" s="1"/>
  <c r="G161" i="1"/>
  <c r="H161" i="1"/>
  <c r="B161" i="1"/>
  <c r="AO161" i="1" s="1"/>
  <c r="S161" i="1" s="1"/>
  <c r="D162" i="1"/>
  <c r="F162" i="1"/>
  <c r="C161" i="6" s="1"/>
  <c r="G162" i="1"/>
  <c r="H162" i="1"/>
  <c r="B162" i="1"/>
  <c r="I162" i="1" s="1"/>
  <c r="N161" i="6" s="1"/>
  <c r="D163" i="1"/>
  <c r="F163" i="1"/>
  <c r="C162" i="6" s="1"/>
  <c r="G163" i="1"/>
  <c r="H163" i="1"/>
  <c r="B163" i="1"/>
  <c r="AP163" i="1" s="1"/>
  <c r="U163" i="1" s="1"/>
  <c r="D164" i="1"/>
  <c r="F164" i="1"/>
  <c r="C163" i="6" s="1"/>
  <c r="G164" i="1"/>
  <c r="H164" i="1"/>
  <c r="B164" i="1"/>
  <c r="I164" i="1" s="1"/>
  <c r="N163" i="6" s="1"/>
  <c r="D165" i="1"/>
  <c r="F165" i="1"/>
  <c r="C164" i="6" s="1"/>
  <c r="G165" i="1"/>
  <c r="H165" i="1"/>
  <c r="B165" i="1"/>
  <c r="I165" i="1" s="1"/>
  <c r="N164" i="6" s="1"/>
  <c r="D166" i="1"/>
  <c r="F166" i="1"/>
  <c r="C165" i="6" s="1"/>
  <c r="G166" i="1"/>
  <c r="H166" i="1"/>
  <c r="B166" i="1"/>
  <c r="AN166" i="1" s="1"/>
  <c r="Q166" i="1" s="1"/>
  <c r="D167" i="1"/>
  <c r="F167" i="1"/>
  <c r="C166" i="6" s="1"/>
  <c r="G167" i="1"/>
  <c r="H167" i="1"/>
  <c r="B167" i="1"/>
  <c r="AL167" i="1" s="1"/>
  <c r="M167" i="1" s="1"/>
  <c r="D168" i="1"/>
  <c r="F168" i="1"/>
  <c r="C167" i="6" s="1"/>
  <c r="G168" i="1"/>
  <c r="H168" i="1"/>
  <c r="B168" i="1"/>
  <c r="I168" i="1" s="1"/>
  <c r="N167" i="6" s="1"/>
  <c r="D169" i="1"/>
  <c r="F169" i="1"/>
  <c r="C168" i="6" s="1"/>
  <c r="G169" i="1"/>
  <c r="H169" i="1"/>
  <c r="B169" i="1"/>
  <c r="AL169" i="1" s="1"/>
  <c r="M169" i="1" s="1"/>
  <c r="D170" i="1"/>
  <c r="F170" i="1"/>
  <c r="C169" i="6" s="1"/>
  <c r="G170" i="1"/>
  <c r="H170" i="1"/>
  <c r="B170" i="1"/>
  <c r="I170" i="1" s="1"/>
  <c r="N169" i="6" s="1"/>
  <c r="D171" i="1"/>
  <c r="F171" i="1"/>
  <c r="C170" i="6" s="1"/>
  <c r="G171" i="1"/>
  <c r="H171" i="1"/>
  <c r="B171" i="1"/>
  <c r="I171" i="1" s="1"/>
  <c r="N170" i="6" s="1"/>
  <c r="D172" i="1"/>
  <c r="F172" i="1"/>
  <c r="C171" i="6" s="1"/>
  <c r="G172" i="1"/>
  <c r="H172" i="1"/>
  <c r="B172" i="1"/>
  <c r="I172" i="1" s="1"/>
  <c r="N171" i="6" s="1"/>
  <c r="D173" i="1"/>
  <c r="F173" i="1"/>
  <c r="C172" i="6" s="1"/>
  <c r="G173" i="1"/>
  <c r="H173" i="1"/>
  <c r="B173" i="1"/>
  <c r="I173" i="1" s="1"/>
  <c r="N172" i="6" s="1"/>
  <c r="D174" i="1"/>
  <c r="F174" i="1"/>
  <c r="C173" i="6" s="1"/>
  <c r="G174" i="1"/>
  <c r="H174" i="1"/>
  <c r="B174" i="1"/>
  <c r="I174" i="1" s="1"/>
  <c r="N173" i="6" s="1"/>
  <c r="D175" i="1"/>
  <c r="F175" i="1"/>
  <c r="C174" i="6" s="1"/>
  <c r="G175" i="1"/>
  <c r="H175" i="1"/>
  <c r="B175" i="1"/>
  <c r="AP175" i="1" s="1"/>
  <c r="U175" i="1" s="1"/>
  <c r="D176" i="1"/>
  <c r="F176" i="1"/>
  <c r="C175" i="6" s="1"/>
  <c r="G176" i="1"/>
  <c r="H176" i="1"/>
  <c r="B176" i="1"/>
  <c r="AT176" i="1" s="1"/>
  <c r="AC176" i="1" s="1"/>
  <c r="D177" i="1"/>
  <c r="F177" i="1"/>
  <c r="C176" i="6" s="1"/>
  <c r="G177" i="1"/>
  <c r="H177" i="1"/>
  <c r="B177" i="1"/>
  <c r="AL177" i="1" s="1"/>
  <c r="M177" i="1" s="1"/>
  <c r="D178" i="1"/>
  <c r="F178" i="1"/>
  <c r="C177" i="6" s="1"/>
  <c r="G178" i="1"/>
  <c r="H178" i="1"/>
  <c r="B178" i="1"/>
  <c r="I178" i="1" s="1"/>
  <c r="N177" i="6" s="1"/>
  <c r="D179" i="1"/>
  <c r="F179" i="1"/>
  <c r="C178" i="6" s="1"/>
  <c r="G179" i="1"/>
  <c r="H179" i="1"/>
  <c r="B179" i="1"/>
  <c r="I179" i="1" s="1"/>
  <c r="N178" i="6" s="1"/>
  <c r="D180" i="1"/>
  <c r="F180" i="1"/>
  <c r="C179" i="6" s="1"/>
  <c r="G180" i="1"/>
  <c r="H180" i="1"/>
  <c r="B180" i="1"/>
  <c r="AT180" i="1" s="1"/>
  <c r="AC180" i="1" s="1"/>
  <c r="D181" i="1"/>
  <c r="F181" i="1"/>
  <c r="C180" i="6" s="1"/>
  <c r="G181" i="1"/>
  <c r="H181" i="1"/>
  <c r="B181" i="1"/>
  <c r="I181" i="1" s="1"/>
  <c r="N180" i="6" s="1"/>
  <c r="D182" i="1"/>
  <c r="F182" i="1"/>
  <c r="C181" i="6" s="1"/>
  <c r="G182" i="1"/>
  <c r="H182" i="1"/>
  <c r="B182" i="1"/>
  <c r="I182" i="1" s="1"/>
  <c r="N181" i="6" s="1"/>
  <c r="D183" i="1"/>
  <c r="F183" i="1"/>
  <c r="C182" i="6" s="1"/>
  <c r="G183" i="1"/>
  <c r="H183" i="1"/>
  <c r="B183" i="1"/>
  <c r="AL183" i="1" s="1"/>
  <c r="M183" i="1" s="1"/>
  <c r="D184" i="1"/>
  <c r="F184" i="1"/>
  <c r="C183" i="6" s="1"/>
  <c r="G184" i="1"/>
  <c r="H184" i="1"/>
  <c r="B184" i="1"/>
  <c r="I184" i="1" s="1"/>
  <c r="N183" i="6" s="1"/>
  <c r="D185" i="1"/>
  <c r="F185" i="1"/>
  <c r="C184" i="6" s="1"/>
  <c r="G185" i="1"/>
  <c r="H185" i="1"/>
  <c r="B185" i="1"/>
  <c r="AM185" i="1" s="1"/>
  <c r="O185" i="1" s="1"/>
  <c r="D186" i="1"/>
  <c r="F186" i="1"/>
  <c r="C185" i="6" s="1"/>
  <c r="G186" i="1"/>
  <c r="H186" i="1"/>
  <c r="B186" i="1"/>
  <c r="I186" i="1" s="1"/>
  <c r="N185" i="6" s="1"/>
  <c r="D187" i="1"/>
  <c r="F187" i="1"/>
  <c r="C186" i="6" s="1"/>
  <c r="G187" i="1"/>
  <c r="H187" i="1"/>
  <c r="B187" i="1"/>
  <c r="I187" i="1" s="1"/>
  <c r="N186" i="6" s="1"/>
  <c r="D188" i="1"/>
  <c r="F188" i="1"/>
  <c r="C187" i="6" s="1"/>
  <c r="G188" i="1"/>
  <c r="H188" i="1"/>
  <c r="B188" i="1"/>
  <c r="D189" i="1"/>
  <c r="F189" i="1"/>
  <c r="C188" i="6" s="1"/>
  <c r="G189" i="1"/>
  <c r="H189" i="1"/>
  <c r="B189" i="1"/>
  <c r="I189" i="1" s="1"/>
  <c r="N188" i="6" s="1"/>
  <c r="D190" i="1"/>
  <c r="F190" i="1"/>
  <c r="C189" i="6" s="1"/>
  <c r="G190" i="1"/>
  <c r="H190" i="1"/>
  <c r="B190" i="1"/>
  <c r="I190" i="1" s="1"/>
  <c r="N189" i="6" s="1"/>
  <c r="D191" i="1"/>
  <c r="F191" i="1"/>
  <c r="C190" i="6" s="1"/>
  <c r="G191" i="1"/>
  <c r="H191" i="1"/>
  <c r="B191" i="1"/>
  <c r="AL191" i="1" s="1"/>
  <c r="M191" i="1" s="1"/>
  <c r="D192" i="1"/>
  <c r="F192" i="1"/>
  <c r="C191" i="6" s="1"/>
  <c r="G192" i="1"/>
  <c r="H192" i="1"/>
  <c r="B192" i="1"/>
  <c r="I192" i="1" s="1"/>
  <c r="N191" i="6" s="1"/>
  <c r="D193" i="1"/>
  <c r="F193" i="1"/>
  <c r="C192" i="6" s="1"/>
  <c r="G193" i="1"/>
  <c r="H193" i="1"/>
  <c r="B193" i="1"/>
  <c r="AP193" i="1" s="1"/>
  <c r="U193" i="1" s="1"/>
  <c r="D194" i="1"/>
  <c r="F194" i="1"/>
  <c r="C193" i="6" s="1"/>
  <c r="G194" i="1"/>
  <c r="H194" i="1"/>
  <c r="B194" i="1"/>
  <c r="I194" i="1" s="1"/>
  <c r="N193" i="6" s="1"/>
  <c r="D195" i="1"/>
  <c r="F195" i="1"/>
  <c r="C194" i="6" s="1"/>
  <c r="G195" i="1"/>
  <c r="H195" i="1"/>
  <c r="B195" i="1"/>
  <c r="I195" i="1" s="1"/>
  <c r="N194" i="6" s="1"/>
  <c r="D196" i="1"/>
  <c r="F196" i="1"/>
  <c r="C195" i="6" s="1"/>
  <c r="G196" i="1"/>
  <c r="H196" i="1"/>
  <c r="B196" i="1"/>
  <c r="D197" i="1"/>
  <c r="F197" i="1"/>
  <c r="C196" i="6" s="1"/>
  <c r="G197" i="1"/>
  <c r="H197" i="1"/>
  <c r="B197" i="1"/>
  <c r="I197" i="1" s="1"/>
  <c r="N196" i="6" s="1"/>
  <c r="D198" i="1"/>
  <c r="F198" i="1"/>
  <c r="C197" i="6" s="1"/>
  <c r="G198" i="1"/>
  <c r="H198" i="1"/>
  <c r="B198" i="1"/>
  <c r="AP198" i="1" s="1"/>
  <c r="U198" i="1" s="1"/>
  <c r="D199" i="1"/>
  <c r="F199" i="1"/>
  <c r="C198" i="6" s="1"/>
  <c r="G199" i="1"/>
  <c r="H199" i="1"/>
  <c r="B199" i="1"/>
  <c r="AM199" i="1" s="1"/>
  <c r="O199" i="1" s="1"/>
  <c r="D200" i="1"/>
  <c r="F200" i="1"/>
  <c r="C199" i="6" s="1"/>
  <c r="G200" i="1"/>
  <c r="H200" i="1"/>
  <c r="B200" i="1"/>
  <c r="AN200" i="1" s="1"/>
  <c r="Q200" i="1" s="1"/>
  <c r="D201" i="1"/>
  <c r="F201" i="1"/>
  <c r="C200" i="6" s="1"/>
  <c r="G201" i="1"/>
  <c r="H201" i="1"/>
  <c r="B201" i="1"/>
  <c r="AN201" i="1" s="1"/>
  <c r="Q201" i="1" s="1"/>
  <c r="D202" i="1"/>
  <c r="F202" i="1"/>
  <c r="C201" i="6" s="1"/>
  <c r="G202" i="1"/>
  <c r="H202" i="1"/>
  <c r="B202" i="1"/>
  <c r="I202" i="1" s="1"/>
  <c r="N201" i="6" s="1"/>
  <c r="D203" i="1"/>
  <c r="F203" i="1"/>
  <c r="C202" i="6" s="1"/>
  <c r="G203" i="1"/>
  <c r="H203" i="1"/>
  <c r="B203" i="1"/>
  <c r="AS203" i="1" s="1"/>
  <c r="AA203" i="1" s="1"/>
  <c r="D204" i="1"/>
  <c r="F204" i="1"/>
  <c r="C203" i="6" s="1"/>
  <c r="G204" i="1"/>
  <c r="H204" i="1"/>
  <c r="B204" i="1"/>
  <c r="D205" i="1"/>
  <c r="F205" i="1"/>
  <c r="C204" i="6" s="1"/>
  <c r="G205" i="1"/>
  <c r="H205" i="1"/>
  <c r="B205" i="1"/>
  <c r="I205" i="1" s="1"/>
  <c r="N204" i="6" s="1"/>
  <c r="D206" i="1"/>
  <c r="F206" i="1"/>
  <c r="C205" i="6" s="1"/>
  <c r="G206" i="1"/>
  <c r="H206" i="1"/>
  <c r="B206" i="1"/>
  <c r="AO206" i="1" s="1"/>
  <c r="S206" i="1" s="1"/>
  <c r="D207" i="1"/>
  <c r="F207" i="1"/>
  <c r="C206" i="6" s="1"/>
  <c r="G207" i="1"/>
  <c r="H207" i="1"/>
  <c r="B207" i="1"/>
  <c r="AS207" i="1" s="1"/>
  <c r="AA207" i="1" s="1"/>
  <c r="D208" i="1"/>
  <c r="F208" i="1"/>
  <c r="C207" i="6" s="1"/>
  <c r="G208" i="1"/>
  <c r="H208" i="1"/>
  <c r="B208" i="1"/>
  <c r="D209" i="1"/>
  <c r="F209" i="1"/>
  <c r="C208" i="6" s="1"/>
  <c r="G209" i="1"/>
  <c r="H209" i="1"/>
  <c r="B209" i="1"/>
  <c r="AL209" i="1" s="1"/>
  <c r="M209" i="1" s="1"/>
  <c r="D210" i="1"/>
  <c r="F210" i="1"/>
  <c r="C209" i="6" s="1"/>
  <c r="G210" i="1"/>
  <c r="H210" i="1"/>
  <c r="B210" i="1"/>
  <c r="I210" i="1" s="1"/>
  <c r="N209" i="6" s="1"/>
  <c r="D211" i="1"/>
  <c r="F211" i="1"/>
  <c r="C210" i="6" s="1"/>
  <c r="G211" i="1"/>
  <c r="H211" i="1"/>
  <c r="B211" i="1"/>
  <c r="I211" i="1" s="1"/>
  <c r="N210" i="6" s="1"/>
  <c r="D212" i="1"/>
  <c r="F212" i="1"/>
  <c r="C211" i="6" s="1"/>
  <c r="G212" i="1"/>
  <c r="H212" i="1"/>
  <c r="B212" i="1"/>
  <c r="D213" i="1"/>
  <c r="F213" i="1"/>
  <c r="C212" i="6" s="1"/>
  <c r="G213" i="1"/>
  <c r="H213" i="1"/>
  <c r="B213" i="1"/>
  <c r="D214" i="1"/>
  <c r="F214" i="1"/>
  <c r="C213" i="6" s="1"/>
  <c r="G214" i="1"/>
  <c r="H214" i="1"/>
  <c r="B214" i="1"/>
  <c r="I214" i="1" s="1"/>
  <c r="N213" i="6" s="1"/>
  <c r="D215" i="1"/>
  <c r="F215" i="1"/>
  <c r="C214" i="6" s="1"/>
  <c r="G215" i="1"/>
  <c r="H215" i="1"/>
  <c r="B215" i="1"/>
  <c r="AT215" i="1" s="1"/>
  <c r="AC215" i="1" s="1"/>
  <c r="D216" i="1"/>
  <c r="F216" i="1"/>
  <c r="C215" i="6" s="1"/>
  <c r="G216" i="1"/>
  <c r="H216" i="1"/>
  <c r="B216" i="1"/>
  <c r="I216" i="1" s="1"/>
  <c r="N215" i="6" s="1"/>
  <c r="D217" i="1"/>
  <c r="F217" i="1"/>
  <c r="C216" i="6" s="1"/>
  <c r="G217" i="1"/>
  <c r="H217" i="1"/>
  <c r="B217" i="1"/>
  <c r="AL217" i="1" s="1"/>
  <c r="M217" i="1" s="1"/>
  <c r="D218" i="1"/>
  <c r="F218" i="1"/>
  <c r="C217" i="6" s="1"/>
  <c r="G218" i="1"/>
  <c r="H218" i="1"/>
  <c r="B218" i="1"/>
  <c r="I218" i="1" s="1"/>
  <c r="N217" i="6" s="1"/>
  <c r="D219" i="1"/>
  <c r="F219" i="1"/>
  <c r="C218" i="6" s="1"/>
  <c r="G219" i="1"/>
  <c r="H219" i="1"/>
  <c r="B219" i="1"/>
  <c r="I219" i="1" s="1"/>
  <c r="N218" i="6" s="1"/>
  <c r="D220" i="1"/>
  <c r="F220" i="1"/>
  <c r="C219" i="6" s="1"/>
  <c r="G220" i="1"/>
  <c r="H220" i="1"/>
  <c r="B220" i="1"/>
  <c r="D221" i="1"/>
  <c r="F221" i="1"/>
  <c r="C220" i="6" s="1"/>
  <c r="G221" i="1"/>
  <c r="H221" i="1"/>
  <c r="B221" i="1"/>
  <c r="I221" i="1" s="1"/>
  <c r="N220" i="6" s="1"/>
  <c r="D222" i="1"/>
  <c r="F222" i="1"/>
  <c r="C221" i="6" s="1"/>
  <c r="G222" i="1"/>
  <c r="H222" i="1"/>
  <c r="B222" i="1"/>
  <c r="D223" i="1"/>
  <c r="F223" i="1"/>
  <c r="C222" i="6" s="1"/>
  <c r="G223" i="1"/>
  <c r="H223" i="1"/>
  <c r="B223" i="1"/>
  <c r="AS223" i="1" s="1"/>
  <c r="AA223" i="1" s="1"/>
  <c r="D224" i="1"/>
  <c r="F224" i="1"/>
  <c r="C223" i="6" s="1"/>
  <c r="G224" i="1"/>
  <c r="H224" i="1"/>
  <c r="B224" i="1"/>
  <c r="I224" i="1" s="1"/>
  <c r="N223" i="6" s="1"/>
  <c r="D225" i="1"/>
  <c r="F225" i="1"/>
  <c r="C224" i="6" s="1"/>
  <c r="G225" i="1"/>
  <c r="H225" i="1"/>
  <c r="B225" i="1"/>
  <c r="AK225" i="1" s="1"/>
  <c r="K225" i="1" s="1"/>
  <c r="D226" i="1"/>
  <c r="F226" i="1"/>
  <c r="C225" i="6" s="1"/>
  <c r="G226" i="1"/>
  <c r="H226" i="1"/>
  <c r="B226" i="1"/>
  <c r="I226" i="1" s="1"/>
  <c r="N225" i="6" s="1"/>
  <c r="D227" i="1"/>
  <c r="F227" i="1"/>
  <c r="C226" i="6" s="1"/>
  <c r="G227" i="1"/>
  <c r="H227" i="1"/>
  <c r="B227" i="1"/>
  <c r="I227" i="1" s="1"/>
  <c r="N226" i="6" s="1"/>
  <c r="D228" i="1"/>
  <c r="F228" i="1"/>
  <c r="C227" i="6" s="1"/>
  <c r="G228" i="1"/>
  <c r="H228" i="1"/>
  <c r="B228" i="1"/>
  <c r="AR228" i="1" s="1"/>
  <c r="Y228" i="1" s="1"/>
  <c r="D229" i="1"/>
  <c r="F229" i="1"/>
  <c r="C228" i="6" s="1"/>
  <c r="G229" i="1"/>
  <c r="H229" i="1"/>
  <c r="B229" i="1"/>
  <c r="I229" i="1" s="1"/>
  <c r="N228" i="6" s="1"/>
  <c r="D230" i="1"/>
  <c r="F230" i="1"/>
  <c r="C229" i="6" s="1"/>
  <c r="G230" i="1"/>
  <c r="H230" i="1"/>
  <c r="B230" i="1"/>
  <c r="I230" i="1" s="1"/>
  <c r="N229" i="6" s="1"/>
  <c r="D231" i="1"/>
  <c r="F231" i="1"/>
  <c r="C230" i="6" s="1"/>
  <c r="G231" i="1"/>
  <c r="H231" i="1"/>
  <c r="B231" i="1"/>
  <c r="AQ231" i="1" s="1"/>
  <c r="W231" i="1" s="1"/>
  <c r="D232" i="1"/>
  <c r="F232" i="1"/>
  <c r="C231" i="6" s="1"/>
  <c r="G232" i="1"/>
  <c r="H232" i="1"/>
  <c r="B232" i="1"/>
  <c r="D233" i="1"/>
  <c r="F233" i="1"/>
  <c r="C232" i="6" s="1"/>
  <c r="G233" i="1"/>
  <c r="H233" i="1"/>
  <c r="B233" i="1"/>
  <c r="AT233" i="1" s="1"/>
  <c r="AC233" i="1" s="1"/>
  <c r="D234" i="1"/>
  <c r="F234" i="1"/>
  <c r="C233" i="6" s="1"/>
  <c r="G234" i="1"/>
  <c r="H234" i="1"/>
  <c r="B234" i="1"/>
  <c r="I234" i="1" s="1"/>
  <c r="N233" i="6" s="1"/>
  <c r="D235" i="1"/>
  <c r="F235" i="1"/>
  <c r="C234" i="6" s="1"/>
  <c r="G235" i="1"/>
  <c r="H235" i="1"/>
  <c r="B235" i="1"/>
  <c r="AS235" i="1" s="1"/>
  <c r="AA235" i="1" s="1"/>
  <c r="D236" i="1"/>
  <c r="F236" i="1"/>
  <c r="C235" i="6" s="1"/>
  <c r="G236" i="1"/>
  <c r="H236" i="1"/>
  <c r="B236" i="1"/>
  <c r="I236" i="1" s="1"/>
  <c r="N235" i="6" s="1"/>
  <c r="D237" i="1"/>
  <c r="F237" i="1"/>
  <c r="C236" i="6" s="1"/>
  <c r="G237" i="1"/>
  <c r="H237" i="1"/>
  <c r="B237" i="1"/>
  <c r="I237" i="1" s="1"/>
  <c r="N236" i="6" s="1"/>
  <c r="D238" i="1"/>
  <c r="F238" i="1"/>
  <c r="C237" i="6" s="1"/>
  <c r="G238" i="1"/>
  <c r="H238" i="1"/>
  <c r="B238" i="1"/>
  <c r="AO238" i="1" s="1"/>
  <c r="S238" i="1" s="1"/>
  <c r="D239" i="1"/>
  <c r="F239" i="1"/>
  <c r="C238" i="6" s="1"/>
  <c r="G239" i="1"/>
  <c r="H239" i="1"/>
  <c r="B239" i="1"/>
  <c r="AL239" i="1" s="1"/>
  <c r="M239" i="1" s="1"/>
  <c r="D240" i="1"/>
  <c r="F240" i="1"/>
  <c r="C239" i="6" s="1"/>
  <c r="G240" i="1"/>
  <c r="H240" i="1"/>
  <c r="B240" i="1"/>
  <c r="AN240" i="1" s="1"/>
  <c r="Q240" i="1" s="1"/>
  <c r="D241" i="1"/>
  <c r="F241" i="1"/>
  <c r="C240" i="6" s="1"/>
  <c r="G241" i="1"/>
  <c r="H241" i="1"/>
  <c r="B241" i="1"/>
  <c r="I241" i="1" s="1"/>
  <c r="N240" i="6" s="1"/>
  <c r="D242" i="1"/>
  <c r="F242" i="1"/>
  <c r="C241" i="6" s="1"/>
  <c r="G242" i="1"/>
  <c r="H242" i="1"/>
  <c r="B242" i="1"/>
  <c r="I242" i="1" s="1"/>
  <c r="N241" i="6" s="1"/>
  <c r="D243" i="1"/>
  <c r="F243" i="1"/>
  <c r="C242" i="6" s="1"/>
  <c r="G243" i="1"/>
  <c r="H243" i="1"/>
  <c r="B243" i="1"/>
  <c r="AQ243" i="1" s="1"/>
  <c r="W243" i="1" s="1"/>
  <c r="D244" i="1"/>
  <c r="F244" i="1"/>
  <c r="C243" i="6" s="1"/>
  <c r="G244" i="1"/>
  <c r="H244" i="1"/>
  <c r="B244" i="1"/>
  <c r="D245" i="1"/>
  <c r="F245" i="1"/>
  <c r="C244" i="6" s="1"/>
  <c r="G245" i="1"/>
  <c r="H245" i="1"/>
  <c r="B245" i="1"/>
  <c r="AK245" i="1" s="1"/>
  <c r="K245" i="1" s="1"/>
  <c r="D246" i="1"/>
  <c r="F246" i="1"/>
  <c r="C245" i="6" s="1"/>
  <c r="G246" i="1"/>
  <c r="H246" i="1"/>
  <c r="B246" i="1"/>
  <c r="I246" i="1" s="1"/>
  <c r="N245" i="6" s="1"/>
  <c r="D247" i="1"/>
  <c r="F247" i="1"/>
  <c r="C246" i="6" s="1"/>
  <c r="G247" i="1"/>
  <c r="H247" i="1"/>
  <c r="B247" i="1"/>
  <c r="AP247" i="1" s="1"/>
  <c r="U247" i="1" s="1"/>
  <c r="D248" i="1"/>
  <c r="F248" i="1"/>
  <c r="C247" i="6" s="1"/>
  <c r="G248" i="1"/>
  <c r="H248" i="1"/>
  <c r="B248" i="1"/>
  <c r="D249" i="1"/>
  <c r="F249" i="1"/>
  <c r="C248" i="6" s="1"/>
  <c r="G249" i="1"/>
  <c r="H249" i="1"/>
  <c r="B249" i="1"/>
  <c r="AK249" i="1" s="1"/>
  <c r="K249" i="1" s="1"/>
  <c r="D250" i="1"/>
  <c r="F250" i="1"/>
  <c r="C249" i="6" s="1"/>
  <c r="G250" i="1"/>
  <c r="H250" i="1"/>
  <c r="B250" i="1"/>
  <c r="I250" i="1" s="1"/>
  <c r="N249" i="6" s="1"/>
  <c r="D251" i="1"/>
  <c r="F251" i="1"/>
  <c r="C250" i="6" s="1"/>
  <c r="G251" i="1"/>
  <c r="H251" i="1"/>
  <c r="B251" i="1"/>
  <c r="AK251" i="1" s="1"/>
  <c r="K251" i="1" s="1"/>
  <c r="D252" i="1"/>
  <c r="F252" i="1"/>
  <c r="C251" i="6" s="1"/>
  <c r="G252" i="1"/>
  <c r="H252" i="1"/>
  <c r="B252" i="1"/>
  <c r="D253" i="1"/>
  <c r="F253" i="1"/>
  <c r="C252" i="6" s="1"/>
  <c r="G253" i="1"/>
  <c r="H253" i="1"/>
  <c r="B253" i="1"/>
  <c r="I253" i="1" s="1"/>
  <c r="N252" i="6" s="1"/>
  <c r="D254" i="1"/>
  <c r="F254" i="1"/>
  <c r="C253" i="6" s="1"/>
  <c r="G254" i="1"/>
  <c r="H254" i="1"/>
  <c r="B254" i="1"/>
  <c r="AO254" i="1" s="1"/>
  <c r="S254" i="1" s="1"/>
  <c r="D255" i="1"/>
  <c r="F255" i="1"/>
  <c r="C254" i="6" s="1"/>
  <c r="G255" i="1"/>
  <c r="H255" i="1"/>
  <c r="B255" i="1"/>
  <c r="AL255" i="1" s="1"/>
  <c r="M255" i="1" s="1"/>
  <c r="D256" i="1"/>
  <c r="F256" i="1"/>
  <c r="C255" i="6" s="1"/>
  <c r="G256" i="1"/>
  <c r="H256" i="1"/>
  <c r="B256" i="1"/>
  <c r="AN256" i="1" s="1"/>
  <c r="Q256" i="1" s="1"/>
  <c r="D257" i="1"/>
  <c r="F257" i="1"/>
  <c r="C256" i="6" s="1"/>
  <c r="G257" i="1"/>
  <c r="H257" i="1"/>
  <c r="B257" i="1"/>
  <c r="I257" i="1" s="1"/>
  <c r="N256" i="6" s="1"/>
  <c r="D258" i="1"/>
  <c r="F258" i="1"/>
  <c r="C257" i="6" s="1"/>
  <c r="G258" i="1"/>
  <c r="H258" i="1"/>
  <c r="B258" i="1"/>
  <c r="I258" i="1" s="1"/>
  <c r="N257" i="6" s="1"/>
  <c r="D259" i="1"/>
  <c r="F259" i="1"/>
  <c r="C258" i="6" s="1"/>
  <c r="G259" i="1"/>
  <c r="H259" i="1"/>
  <c r="B259" i="1"/>
  <c r="I259" i="1" s="1"/>
  <c r="N258" i="6" s="1"/>
  <c r="D260" i="1"/>
  <c r="F260" i="1"/>
  <c r="C259" i="6" s="1"/>
  <c r="G260" i="1"/>
  <c r="H260" i="1"/>
  <c r="B260" i="1"/>
  <c r="AQ260" i="1" s="1"/>
  <c r="W260" i="1" s="1"/>
  <c r="D261" i="1"/>
  <c r="F261" i="1"/>
  <c r="C260" i="6" s="1"/>
  <c r="G261" i="1"/>
  <c r="H261" i="1"/>
  <c r="B261" i="1"/>
  <c r="AK261" i="1" s="1"/>
  <c r="K261" i="1" s="1"/>
  <c r="D262" i="1"/>
  <c r="F262" i="1"/>
  <c r="C261" i="6" s="1"/>
  <c r="G262" i="1"/>
  <c r="H262" i="1"/>
  <c r="B262" i="1"/>
  <c r="I262" i="1" s="1"/>
  <c r="N261" i="6" s="1"/>
  <c r="D263" i="1"/>
  <c r="F263" i="1"/>
  <c r="C262" i="6" s="1"/>
  <c r="G263" i="1"/>
  <c r="H263" i="1"/>
  <c r="B263" i="1"/>
  <c r="AP263" i="1" s="1"/>
  <c r="U263" i="1" s="1"/>
  <c r="D264" i="1"/>
  <c r="F264" i="1"/>
  <c r="C263" i="6" s="1"/>
  <c r="G264" i="1"/>
  <c r="H264" i="1"/>
  <c r="B264" i="1"/>
  <c r="AM264" i="1" s="1"/>
  <c r="O264" i="1" s="1"/>
  <c r="D265" i="1"/>
  <c r="F265" i="1"/>
  <c r="C264" i="6" s="1"/>
  <c r="G265" i="1"/>
  <c r="H265" i="1"/>
  <c r="B265" i="1"/>
  <c r="AN265" i="1" s="1"/>
  <c r="Q265" i="1" s="1"/>
  <c r="D266" i="1"/>
  <c r="F266" i="1"/>
  <c r="C265" i="6" s="1"/>
  <c r="G266" i="1"/>
  <c r="H266" i="1"/>
  <c r="B266" i="1"/>
  <c r="I266" i="1" s="1"/>
  <c r="N265" i="6" s="1"/>
  <c r="D267" i="1"/>
  <c r="F267" i="1"/>
  <c r="C266" i="6" s="1"/>
  <c r="G267" i="1"/>
  <c r="H267" i="1"/>
  <c r="B267" i="1"/>
  <c r="AK267" i="1" s="1"/>
  <c r="K267" i="1" s="1"/>
  <c r="D268" i="1"/>
  <c r="F268" i="1"/>
  <c r="C267" i="6" s="1"/>
  <c r="G268" i="1"/>
  <c r="H268" i="1"/>
  <c r="B268" i="1"/>
  <c r="D269" i="1"/>
  <c r="F269" i="1"/>
  <c r="C268" i="6" s="1"/>
  <c r="G269" i="1"/>
  <c r="H269" i="1"/>
  <c r="B269" i="1"/>
  <c r="I269" i="1" s="1"/>
  <c r="N268" i="6" s="1"/>
  <c r="D270" i="1"/>
  <c r="F270" i="1"/>
  <c r="C269" i="6" s="1"/>
  <c r="G270" i="1"/>
  <c r="H270" i="1"/>
  <c r="B270" i="1"/>
  <c r="AM270" i="1" s="1"/>
  <c r="O270" i="1" s="1"/>
  <c r="D271" i="1"/>
  <c r="F271" i="1"/>
  <c r="C270" i="6" s="1"/>
  <c r="G271" i="1"/>
  <c r="H271" i="1"/>
  <c r="B271" i="1"/>
  <c r="AM271" i="1" s="1"/>
  <c r="O271" i="1" s="1"/>
  <c r="D272" i="1"/>
  <c r="F272" i="1"/>
  <c r="C271" i="6" s="1"/>
  <c r="G272" i="1"/>
  <c r="H272" i="1"/>
  <c r="B272" i="1"/>
  <c r="I272" i="1" s="1"/>
  <c r="N271" i="6" s="1"/>
  <c r="D273" i="1"/>
  <c r="F273" i="1"/>
  <c r="C272" i="6" s="1"/>
  <c r="G273" i="1"/>
  <c r="H273" i="1"/>
  <c r="B273" i="1"/>
  <c r="I273" i="1" s="1"/>
  <c r="N272" i="6" s="1"/>
  <c r="D274" i="1"/>
  <c r="F274" i="1"/>
  <c r="C273" i="6" s="1"/>
  <c r="G274" i="1"/>
  <c r="H274" i="1"/>
  <c r="B274" i="1"/>
  <c r="I274" i="1" s="1"/>
  <c r="N273" i="6" s="1"/>
  <c r="D275" i="1"/>
  <c r="F275" i="1"/>
  <c r="C274" i="6" s="1"/>
  <c r="G275" i="1"/>
  <c r="H275" i="1"/>
  <c r="B275" i="1"/>
  <c r="I275" i="1" s="1"/>
  <c r="N274" i="6" s="1"/>
  <c r="D276" i="1"/>
  <c r="F276" i="1"/>
  <c r="C275" i="6" s="1"/>
  <c r="G276" i="1"/>
  <c r="H276" i="1"/>
  <c r="B276" i="1"/>
  <c r="I276" i="1" s="1"/>
  <c r="N275" i="6" s="1"/>
  <c r="D277" i="1"/>
  <c r="F277" i="1"/>
  <c r="C276" i="6" s="1"/>
  <c r="G277" i="1"/>
  <c r="H277" i="1"/>
  <c r="B277" i="1"/>
  <c r="I277" i="1" s="1"/>
  <c r="N276" i="6" s="1"/>
  <c r="B275" i="3"/>
  <c r="C275" i="3"/>
  <c r="N275" i="3"/>
  <c r="F4" i="1"/>
  <c r="C3" i="6" s="1"/>
  <c r="G4" i="1"/>
  <c r="H4" i="1"/>
  <c r="B4" i="1"/>
  <c r="D4" i="1"/>
  <c r="AM21" i="1"/>
  <c r="O21" i="1" s="1"/>
  <c r="AT22" i="1"/>
  <c r="AC22" i="1" s="1"/>
  <c r="AL39" i="1"/>
  <c r="M39" i="1" s="1"/>
  <c r="AP59" i="1"/>
  <c r="U59" i="1" s="1"/>
  <c r="AK62" i="1"/>
  <c r="K62" i="1" s="1"/>
  <c r="AP67" i="1"/>
  <c r="U67" i="1" s="1"/>
  <c r="AT94" i="1"/>
  <c r="AC94" i="1" s="1"/>
  <c r="AR97" i="1"/>
  <c r="Y97" i="1" s="1"/>
  <c r="AL103" i="1"/>
  <c r="M103" i="1" s="1"/>
  <c r="AN109" i="1"/>
  <c r="Q109" i="1" s="1"/>
  <c r="AQ110" i="1"/>
  <c r="W110" i="1" s="1"/>
  <c r="AP118" i="1"/>
  <c r="U118" i="1" s="1"/>
  <c r="AR142" i="1"/>
  <c r="Y142" i="1" s="1"/>
  <c r="AS157" i="1"/>
  <c r="AA157" i="1" s="1"/>
  <c r="AO159" i="1"/>
  <c r="S159" i="1" s="1"/>
  <c r="AO163" i="1"/>
  <c r="S163" i="1" s="1"/>
  <c r="AK167" i="1"/>
  <c r="K167" i="1" s="1"/>
  <c r="AP179" i="1"/>
  <c r="U179" i="1" s="1"/>
  <c r="AP191" i="1"/>
  <c r="U191" i="1" s="1"/>
  <c r="AO198" i="1"/>
  <c r="S198" i="1" s="1"/>
  <c r="AN199" i="1"/>
  <c r="Q199" i="1" s="1"/>
  <c r="AT217" i="1"/>
  <c r="AC217" i="1" s="1"/>
  <c r="AR241" i="1"/>
  <c r="Y241" i="1" s="1"/>
  <c r="AM246" i="1"/>
  <c r="O246" i="1" s="1"/>
  <c r="AT253" i="1"/>
  <c r="AC253" i="1" s="1"/>
  <c r="AP255" i="1"/>
  <c r="U255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B15" i="2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B2" i="2"/>
  <c r="A2" i="2" s="1"/>
  <c r="A14" i="2"/>
  <c r="A15" i="2"/>
  <c r="A23" i="2"/>
  <c r="N294" i="3" l="1"/>
  <c r="AN157" i="1"/>
  <c r="Q157" i="1" s="1"/>
  <c r="AK109" i="1"/>
  <c r="K109" i="1" s="1"/>
  <c r="AO53" i="1"/>
  <c r="S53" i="1" s="1"/>
  <c r="AT45" i="1"/>
  <c r="AC45" i="1" s="1"/>
  <c r="AS237" i="1"/>
  <c r="AA237" i="1" s="1"/>
  <c r="AR173" i="1"/>
  <c r="Y173" i="1" s="1"/>
  <c r="AN141" i="1"/>
  <c r="Q141" i="1" s="1"/>
  <c r="AO194" i="1"/>
  <c r="S194" i="1" s="1"/>
  <c r="AP237" i="1"/>
  <c r="U237" i="1" s="1"/>
  <c r="AM173" i="1"/>
  <c r="O173" i="1" s="1"/>
  <c r="AK141" i="1"/>
  <c r="K141" i="1" s="1"/>
  <c r="AM34" i="1"/>
  <c r="O34" i="1" s="1"/>
  <c r="AK122" i="1"/>
  <c r="K122" i="1" s="1"/>
  <c r="AP93" i="1"/>
  <c r="U93" i="1" s="1"/>
  <c r="AS29" i="1"/>
  <c r="AA29" i="1" s="1"/>
  <c r="AQ253" i="1"/>
  <c r="W253" i="1" s="1"/>
  <c r="AK237" i="1"/>
  <c r="K237" i="1" s="1"/>
  <c r="AT205" i="1"/>
  <c r="AC205" i="1" s="1"/>
  <c r="AT189" i="1"/>
  <c r="AC189" i="1" s="1"/>
  <c r="AS170" i="1"/>
  <c r="AA170" i="1" s="1"/>
  <c r="AK157" i="1"/>
  <c r="K157" i="1" s="1"/>
  <c r="AQ133" i="1"/>
  <c r="W133" i="1" s="1"/>
  <c r="AP117" i="1"/>
  <c r="U117" i="1" s="1"/>
  <c r="AM93" i="1"/>
  <c r="O93" i="1" s="1"/>
  <c r="AQ45" i="1"/>
  <c r="W45" i="1" s="1"/>
  <c r="AP29" i="1"/>
  <c r="U29" i="1" s="1"/>
  <c r="N276" i="3"/>
  <c r="AT210" i="1"/>
  <c r="AC210" i="1" s="1"/>
  <c r="AN66" i="1"/>
  <c r="Q66" i="1" s="1"/>
  <c r="AL253" i="1"/>
  <c r="M253" i="1" s="1"/>
  <c r="AM229" i="1"/>
  <c r="O229" i="1" s="1"/>
  <c r="AO205" i="1"/>
  <c r="S205" i="1" s="1"/>
  <c r="AO189" i="1"/>
  <c r="S189" i="1" s="1"/>
  <c r="AK170" i="1"/>
  <c r="K170" i="1" s="1"/>
  <c r="AQ149" i="1"/>
  <c r="W149" i="1" s="1"/>
  <c r="AN133" i="1"/>
  <c r="Q133" i="1" s="1"/>
  <c r="AM117" i="1"/>
  <c r="O117" i="1" s="1"/>
  <c r="AS101" i="1"/>
  <c r="AA101" i="1" s="1"/>
  <c r="AP90" i="1"/>
  <c r="U90" i="1" s="1"/>
  <c r="AR61" i="1"/>
  <c r="Y61" i="1" s="1"/>
  <c r="AL45" i="1"/>
  <c r="M45" i="1" s="1"/>
  <c r="AK29" i="1"/>
  <c r="K29" i="1" s="1"/>
  <c r="AS277" i="1"/>
  <c r="AA277" i="1" s="1"/>
  <c r="AR250" i="1"/>
  <c r="Y250" i="1" s="1"/>
  <c r="AN226" i="1"/>
  <c r="Q226" i="1" s="1"/>
  <c r="AL205" i="1"/>
  <c r="M205" i="1" s="1"/>
  <c r="AL189" i="1"/>
  <c r="M189" i="1" s="1"/>
  <c r="AN149" i="1"/>
  <c r="Q149" i="1" s="1"/>
  <c r="AS125" i="1"/>
  <c r="AA125" i="1" s="1"/>
  <c r="AS114" i="1"/>
  <c r="AA114" i="1" s="1"/>
  <c r="AP101" i="1"/>
  <c r="U101" i="1" s="1"/>
  <c r="AT85" i="1"/>
  <c r="AC85" i="1" s="1"/>
  <c r="AM61" i="1"/>
  <c r="O61" i="1" s="1"/>
  <c r="AS26" i="1"/>
  <c r="AA26" i="1" s="1"/>
  <c r="AT269" i="1"/>
  <c r="AC269" i="1" s="1"/>
  <c r="AQ221" i="1"/>
  <c r="W221" i="1" s="1"/>
  <c r="AQ202" i="1"/>
  <c r="W202" i="1" s="1"/>
  <c r="AN186" i="1"/>
  <c r="Q186" i="1" s="1"/>
  <c r="AP146" i="1"/>
  <c r="U146" i="1" s="1"/>
  <c r="AP125" i="1"/>
  <c r="U125" i="1" s="1"/>
  <c r="AK114" i="1"/>
  <c r="K114" i="1" s="1"/>
  <c r="AK101" i="1"/>
  <c r="K101" i="1" s="1"/>
  <c r="AQ85" i="1"/>
  <c r="W85" i="1" s="1"/>
  <c r="AT37" i="1"/>
  <c r="AC37" i="1" s="1"/>
  <c r="AK26" i="1"/>
  <c r="K26" i="1" s="1"/>
  <c r="AO242" i="1"/>
  <c r="S242" i="1" s="1"/>
  <c r="AN221" i="1"/>
  <c r="Q221" i="1" s="1"/>
  <c r="AQ162" i="1"/>
  <c r="W162" i="1" s="1"/>
  <c r="AK125" i="1"/>
  <c r="K125" i="1" s="1"/>
  <c r="AQ98" i="1"/>
  <c r="W98" i="1" s="1"/>
  <c r="AL85" i="1"/>
  <c r="M85" i="1" s="1"/>
  <c r="AM58" i="1"/>
  <c r="O58" i="1" s="1"/>
  <c r="AO37" i="1"/>
  <c r="S37" i="1" s="1"/>
  <c r="AO269" i="1"/>
  <c r="S269" i="1" s="1"/>
  <c r="AL269" i="1"/>
  <c r="M269" i="1" s="1"/>
  <c r="AM218" i="1"/>
  <c r="O218" i="1" s="1"/>
  <c r="AT178" i="1"/>
  <c r="AC178" i="1" s="1"/>
  <c r="AS141" i="1"/>
  <c r="AA141" i="1" s="1"/>
  <c r="AS122" i="1"/>
  <c r="AA122" i="1" s="1"/>
  <c r="AS109" i="1"/>
  <c r="AA109" i="1" s="1"/>
  <c r="AM77" i="1"/>
  <c r="O77" i="1" s="1"/>
  <c r="AR53" i="1"/>
  <c r="Y53" i="1" s="1"/>
  <c r="AL37" i="1"/>
  <c r="M37" i="1" s="1"/>
  <c r="AP21" i="1"/>
  <c r="U21" i="1" s="1"/>
  <c r="B241" i="6"/>
  <c r="E242" i="1"/>
  <c r="B217" i="6"/>
  <c r="E218" i="1"/>
  <c r="B129" i="6"/>
  <c r="E130" i="1"/>
  <c r="B65" i="6"/>
  <c r="E66" i="1"/>
  <c r="B49" i="6"/>
  <c r="E50" i="1"/>
  <c r="B9" i="6"/>
  <c r="E10" i="1"/>
  <c r="N292" i="3"/>
  <c r="N294" i="6"/>
  <c r="B265" i="6"/>
  <c r="E266" i="1"/>
  <c r="B145" i="6"/>
  <c r="E146" i="1"/>
  <c r="B105" i="6"/>
  <c r="E106" i="1"/>
  <c r="B89" i="6"/>
  <c r="E90" i="1"/>
  <c r="B41" i="6"/>
  <c r="E42" i="1"/>
  <c r="B25" i="6"/>
  <c r="E26" i="1"/>
  <c r="B17" i="6"/>
  <c r="E18" i="1"/>
  <c r="AS269" i="1"/>
  <c r="AA269" i="1" s="1"/>
  <c r="AK269" i="1"/>
  <c r="K269" i="1" s="1"/>
  <c r="AP253" i="1"/>
  <c r="U253" i="1" s="1"/>
  <c r="AO245" i="1"/>
  <c r="S245" i="1" s="1"/>
  <c r="AO237" i="1"/>
  <c r="S237" i="1" s="1"/>
  <c r="AM221" i="1"/>
  <c r="O221" i="1" s="1"/>
  <c r="AS205" i="1"/>
  <c r="AA205" i="1" s="1"/>
  <c r="AK205" i="1"/>
  <c r="K205" i="1" s="1"/>
  <c r="AS189" i="1"/>
  <c r="AA189" i="1" s="1"/>
  <c r="AK189" i="1"/>
  <c r="K189" i="1" s="1"/>
  <c r="AQ173" i="1"/>
  <c r="W173" i="1" s="1"/>
  <c r="AR157" i="1"/>
  <c r="Y157" i="1" s="1"/>
  <c r="AK150" i="1"/>
  <c r="K150" i="1" s="1"/>
  <c r="AM149" i="1"/>
  <c r="O149" i="1" s="1"/>
  <c r="AR141" i="1"/>
  <c r="Y141" i="1" s="1"/>
  <c r="AS134" i="1"/>
  <c r="AA134" i="1" s="1"/>
  <c r="AM133" i="1"/>
  <c r="O133" i="1" s="1"/>
  <c r="AO125" i="1"/>
  <c r="S125" i="1" s="1"/>
  <c r="AT117" i="1"/>
  <c r="AC117" i="1" s="1"/>
  <c r="AL117" i="1"/>
  <c r="M117" i="1" s="1"/>
  <c r="AR109" i="1"/>
  <c r="Y109" i="1" s="1"/>
  <c r="AO101" i="1"/>
  <c r="S101" i="1" s="1"/>
  <c r="AT93" i="1"/>
  <c r="AC93" i="1" s="1"/>
  <c r="AL93" i="1"/>
  <c r="M93" i="1" s="1"/>
  <c r="AP85" i="1"/>
  <c r="U85" i="1" s="1"/>
  <c r="AO70" i="1"/>
  <c r="S70" i="1" s="1"/>
  <c r="AQ61" i="1"/>
  <c r="W61" i="1" s="1"/>
  <c r="AN53" i="1"/>
  <c r="Q53" i="1" s="1"/>
  <c r="AP45" i="1"/>
  <c r="U45" i="1" s="1"/>
  <c r="AS37" i="1"/>
  <c r="AA37" i="1" s="1"/>
  <c r="AK37" i="1"/>
  <c r="K37" i="1" s="1"/>
  <c r="AO29" i="1"/>
  <c r="S29" i="1" s="1"/>
  <c r="AT21" i="1"/>
  <c r="AC21" i="1" s="1"/>
  <c r="AL21" i="1"/>
  <c r="M21" i="1" s="1"/>
  <c r="B276" i="6"/>
  <c r="E277" i="1"/>
  <c r="E269" i="1"/>
  <c r="B268" i="6"/>
  <c r="E261" i="1"/>
  <c r="B260" i="6"/>
  <c r="E253" i="1"/>
  <c r="B252" i="6"/>
  <c r="E245" i="1"/>
  <c r="B244" i="6"/>
  <c r="E237" i="1"/>
  <c r="B236" i="6"/>
  <c r="E229" i="1"/>
  <c r="B228" i="6"/>
  <c r="B220" i="6"/>
  <c r="E221" i="1"/>
  <c r="B212" i="6"/>
  <c r="E213" i="1"/>
  <c r="B204" i="6"/>
  <c r="E205" i="1"/>
  <c r="B196" i="6"/>
  <c r="E197" i="1"/>
  <c r="B188" i="6"/>
  <c r="E189" i="1"/>
  <c r="B180" i="6"/>
  <c r="E181" i="1"/>
  <c r="B172" i="6"/>
  <c r="E173" i="1"/>
  <c r="B164" i="6"/>
  <c r="E165" i="1"/>
  <c r="B156" i="6"/>
  <c r="E157" i="1"/>
  <c r="B148" i="6"/>
  <c r="E149" i="1"/>
  <c r="B140" i="6"/>
  <c r="E141" i="1"/>
  <c r="B132" i="6"/>
  <c r="E133" i="1"/>
  <c r="B124" i="6"/>
  <c r="E125" i="1"/>
  <c r="B116" i="6"/>
  <c r="E117" i="1"/>
  <c r="B108" i="6"/>
  <c r="E109" i="1"/>
  <c r="B100" i="6"/>
  <c r="E101" i="1"/>
  <c r="B92" i="6"/>
  <c r="E93" i="1"/>
  <c r="B84" i="6"/>
  <c r="E85" i="1"/>
  <c r="B76" i="6"/>
  <c r="E77" i="1"/>
  <c r="B68" i="6"/>
  <c r="E69" i="1"/>
  <c r="B60" i="6"/>
  <c r="E61" i="1"/>
  <c r="B52" i="6"/>
  <c r="E53" i="1"/>
  <c r="B44" i="6"/>
  <c r="E45" i="1"/>
  <c r="B36" i="6"/>
  <c r="E37" i="1"/>
  <c r="B28" i="6"/>
  <c r="E29" i="1"/>
  <c r="B20" i="6"/>
  <c r="E21" i="1"/>
  <c r="B12" i="6"/>
  <c r="E13" i="1"/>
  <c r="E5" i="1"/>
  <c r="B4" i="6"/>
  <c r="B233" i="6"/>
  <c r="E234" i="1"/>
  <c r="B193" i="6"/>
  <c r="E194" i="1"/>
  <c r="B153" i="6"/>
  <c r="E154" i="1"/>
  <c r="B57" i="6"/>
  <c r="E58" i="1"/>
  <c r="AT221" i="1"/>
  <c r="AC221" i="1" s="1"/>
  <c r="AL221" i="1"/>
  <c r="M221" i="1" s="1"/>
  <c r="AR189" i="1"/>
  <c r="Y189" i="1" s="1"/>
  <c r="AP173" i="1"/>
  <c r="U173" i="1" s="1"/>
  <c r="AQ157" i="1"/>
  <c r="W157" i="1" s="1"/>
  <c r="AT149" i="1"/>
  <c r="AC149" i="1" s="1"/>
  <c r="AL149" i="1"/>
  <c r="M149" i="1" s="1"/>
  <c r="AQ141" i="1"/>
  <c r="W141" i="1" s="1"/>
  <c r="AT133" i="1"/>
  <c r="AC133" i="1" s="1"/>
  <c r="AL133" i="1"/>
  <c r="M133" i="1" s="1"/>
  <c r="AN125" i="1"/>
  <c r="Q125" i="1" s="1"/>
  <c r="AS117" i="1"/>
  <c r="AA117" i="1" s="1"/>
  <c r="AK117" i="1"/>
  <c r="K117" i="1" s="1"/>
  <c r="AQ109" i="1"/>
  <c r="W109" i="1" s="1"/>
  <c r="AT102" i="1"/>
  <c r="AC102" i="1" s="1"/>
  <c r="AN101" i="1"/>
  <c r="Q101" i="1" s="1"/>
  <c r="AS93" i="1"/>
  <c r="AA93" i="1" s="1"/>
  <c r="AK93" i="1"/>
  <c r="K93" i="1" s="1"/>
  <c r="AO85" i="1"/>
  <c r="S85" i="1" s="1"/>
  <c r="AP61" i="1"/>
  <c r="U61" i="1" s="1"/>
  <c r="AM54" i="1"/>
  <c r="O54" i="1" s="1"/>
  <c r="AM53" i="1"/>
  <c r="O53" i="1" s="1"/>
  <c r="AO45" i="1"/>
  <c r="S45" i="1" s="1"/>
  <c r="AR37" i="1"/>
  <c r="Y37" i="1" s="1"/>
  <c r="AN29" i="1"/>
  <c r="Q29" i="1" s="1"/>
  <c r="AS21" i="1"/>
  <c r="AA21" i="1" s="1"/>
  <c r="AK21" i="1"/>
  <c r="K21" i="1" s="1"/>
  <c r="E272" i="1"/>
  <c r="B271" i="6"/>
  <c r="E264" i="1"/>
  <c r="B263" i="6"/>
  <c r="E256" i="1"/>
  <c r="B255" i="6"/>
  <c r="E248" i="1"/>
  <c r="B247" i="6"/>
  <c r="E240" i="1"/>
  <c r="B239" i="6"/>
  <c r="E232" i="1"/>
  <c r="B231" i="6"/>
  <c r="E224" i="1"/>
  <c r="B223" i="6"/>
  <c r="E216" i="1"/>
  <c r="B215" i="6"/>
  <c r="E208" i="1"/>
  <c r="B207" i="6"/>
  <c r="E200" i="1"/>
  <c r="B199" i="6"/>
  <c r="E192" i="1"/>
  <c r="B191" i="6"/>
  <c r="E184" i="1"/>
  <c r="B183" i="6"/>
  <c r="E176" i="1"/>
  <c r="B175" i="6"/>
  <c r="B167" i="6"/>
  <c r="E168" i="1"/>
  <c r="E160" i="1"/>
  <c r="B159" i="6"/>
  <c r="E152" i="1"/>
  <c r="B151" i="6"/>
  <c r="E144" i="1"/>
  <c r="B143" i="6"/>
  <c r="E136" i="1"/>
  <c r="B135" i="6"/>
  <c r="E128" i="1"/>
  <c r="B127" i="6"/>
  <c r="E120" i="1"/>
  <c r="B119" i="6"/>
  <c r="E112" i="1"/>
  <c r="B111" i="6"/>
  <c r="B103" i="6"/>
  <c r="E104" i="1"/>
  <c r="E96" i="1"/>
  <c r="B95" i="6"/>
  <c r="E88" i="1"/>
  <c r="B87" i="6"/>
  <c r="E80" i="1"/>
  <c r="B79" i="6"/>
  <c r="E72" i="1"/>
  <c r="B71" i="6"/>
  <c r="B63" i="6"/>
  <c r="E64" i="1"/>
  <c r="E56" i="1"/>
  <c r="B55" i="6"/>
  <c r="B47" i="6"/>
  <c r="E48" i="1"/>
  <c r="B39" i="6"/>
  <c r="E40" i="1"/>
  <c r="E32" i="1"/>
  <c r="B31" i="6"/>
  <c r="B23" i="6"/>
  <c r="E24" i="1"/>
  <c r="E16" i="1"/>
  <c r="B15" i="6"/>
  <c r="E8" i="1"/>
  <c r="B7" i="6"/>
  <c r="B273" i="6"/>
  <c r="E274" i="1"/>
  <c r="B249" i="6"/>
  <c r="E250" i="1"/>
  <c r="B225" i="6"/>
  <c r="E226" i="1"/>
  <c r="B177" i="6"/>
  <c r="E178" i="1"/>
  <c r="B137" i="6"/>
  <c r="E138" i="1"/>
  <c r="B113" i="6"/>
  <c r="E114" i="1"/>
  <c r="B97" i="6"/>
  <c r="E98" i="1"/>
  <c r="B73" i="6"/>
  <c r="E74" i="1"/>
  <c r="B33" i="6"/>
  <c r="E34" i="1"/>
  <c r="AR269" i="1"/>
  <c r="Y269" i="1" s="1"/>
  <c r="AP266" i="1"/>
  <c r="U266" i="1" s="1"/>
  <c r="AO253" i="1"/>
  <c r="S253" i="1" s="1"/>
  <c r="AN237" i="1"/>
  <c r="Q237" i="1" s="1"/>
  <c r="AR205" i="1"/>
  <c r="Y205" i="1" s="1"/>
  <c r="AQ269" i="1"/>
  <c r="W269" i="1" s="1"/>
  <c r="AM261" i="1"/>
  <c r="O261" i="1" s="1"/>
  <c r="AN253" i="1"/>
  <c r="Q253" i="1" s="1"/>
  <c r="AM237" i="1"/>
  <c r="O237" i="1" s="1"/>
  <c r="AS221" i="1"/>
  <c r="AA221" i="1" s="1"/>
  <c r="AK221" i="1"/>
  <c r="K221" i="1" s="1"/>
  <c r="AQ205" i="1"/>
  <c r="W205" i="1" s="1"/>
  <c r="AQ189" i="1"/>
  <c r="W189" i="1" s="1"/>
  <c r="AR182" i="1"/>
  <c r="Y182" i="1" s="1"/>
  <c r="AO173" i="1"/>
  <c r="S173" i="1" s="1"/>
  <c r="AT166" i="1"/>
  <c r="AC166" i="1" s="1"/>
  <c r="AP157" i="1"/>
  <c r="U157" i="1" s="1"/>
  <c r="AS149" i="1"/>
  <c r="AA149" i="1" s="1"/>
  <c r="AK149" i="1"/>
  <c r="K149" i="1" s="1"/>
  <c r="AP141" i="1"/>
  <c r="U141" i="1" s="1"/>
  <c r="AS133" i="1"/>
  <c r="AA133" i="1" s="1"/>
  <c r="AK133" i="1"/>
  <c r="K133" i="1" s="1"/>
  <c r="AM125" i="1"/>
  <c r="O125" i="1" s="1"/>
  <c r="AR117" i="1"/>
  <c r="Y117" i="1" s="1"/>
  <c r="AP109" i="1"/>
  <c r="U109" i="1" s="1"/>
  <c r="AO102" i="1"/>
  <c r="S102" i="1" s="1"/>
  <c r="AM101" i="1"/>
  <c r="O101" i="1" s="1"/>
  <c r="AR93" i="1"/>
  <c r="Y93" i="1" s="1"/>
  <c r="AN85" i="1"/>
  <c r="Q85" i="1" s="1"/>
  <c r="AO61" i="1"/>
  <c r="S61" i="1" s="1"/>
  <c r="AT53" i="1"/>
  <c r="AC53" i="1" s="1"/>
  <c r="AL53" i="1"/>
  <c r="M53" i="1" s="1"/>
  <c r="AN45" i="1"/>
  <c r="Q45" i="1" s="1"/>
  <c r="AQ37" i="1"/>
  <c r="W37" i="1" s="1"/>
  <c r="AP30" i="1"/>
  <c r="U30" i="1" s="1"/>
  <c r="AM29" i="1"/>
  <c r="O29" i="1" s="1"/>
  <c r="AR21" i="1"/>
  <c r="Y21" i="1" s="1"/>
  <c r="AT14" i="1"/>
  <c r="AC14" i="1" s="1"/>
  <c r="B274" i="6"/>
  <c r="E275" i="1"/>
  <c r="B266" i="6"/>
  <c r="E267" i="1"/>
  <c r="B258" i="6"/>
  <c r="E259" i="1"/>
  <c r="B250" i="6"/>
  <c r="E251" i="1"/>
  <c r="B242" i="6"/>
  <c r="E243" i="1"/>
  <c r="B234" i="6"/>
  <c r="E235" i="1"/>
  <c r="B226" i="6"/>
  <c r="E227" i="1"/>
  <c r="B218" i="6"/>
  <c r="E219" i="1"/>
  <c r="B210" i="6"/>
  <c r="E211" i="1"/>
  <c r="B202" i="6"/>
  <c r="E203" i="1"/>
  <c r="B194" i="6"/>
  <c r="E195" i="1"/>
  <c r="B186" i="6"/>
  <c r="E187" i="1"/>
  <c r="B178" i="6"/>
  <c r="E179" i="1"/>
  <c r="B170" i="6"/>
  <c r="E171" i="1"/>
  <c r="B162" i="6"/>
  <c r="E163" i="1"/>
  <c r="B154" i="6"/>
  <c r="E155" i="1"/>
  <c r="B146" i="6"/>
  <c r="E147" i="1"/>
  <c r="B138" i="6"/>
  <c r="E139" i="1"/>
  <c r="B130" i="6"/>
  <c r="E131" i="1"/>
  <c r="B122" i="6"/>
  <c r="E123" i="1"/>
  <c r="B114" i="6"/>
  <c r="E115" i="1"/>
  <c r="B106" i="6"/>
  <c r="E107" i="1"/>
  <c r="B98" i="6"/>
  <c r="E99" i="1"/>
  <c r="B90" i="6"/>
  <c r="E91" i="1"/>
  <c r="B82" i="6"/>
  <c r="E83" i="1"/>
  <c r="B74" i="6"/>
  <c r="E75" i="1"/>
  <c r="B66" i="6"/>
  <c r="E67" i="1"/>
  <c r="B58" i="6"/>
  <c r="E59" i="1"/>
  <c r="B50" i="6"/>
  <c r="E51" i="1"/>
  <c r="B42" i="6"/>
  <c r="E43" i="1"/>
  <c r="B34" i="6"/>
  <c r="E35" i="1"/>
  <c r="B26" i="6"/>
  <c r="E27" i="1"/>
  <c r="B18" i="6"/>
  <c r="E19" i="1"/>
  <c r="B10" i="6"/>
  <c r="E11" i="1"/>
  <c r="N283" i="3"/>
  <c r="N282" i="3"/>
  <c r="N284" i="6"/>
  <c r="N281" i="3"/>
  <c r="N283" i="6"/>
  <c r="B257" i="6"/>
  <c r="E258" i="1"/>
  <c r="B209" i="6"/>
  <c r="E210" i="1"/>
  <c r="B201" i="6"/>
  <c r="E202" i="1"/>
  <c r="B185" i="6"/>
  <c r="E186" i="1"/>
  <c r="B169" i="6"/>
  <c r="E170" i="1"/>
  <c r="B161" i="6"/>
  <c r="E162" i="1"/>
  <c r="B121" i="6"/>
  <c r="E122" i="1"/>
  <c r="B81" i="6"/>
  <c r="E82" i="1"/>
  <c r="AP269" i="1"/>
  <c r="U269" i="1" s="1"/>
  <c r="AM253" i="1"/>
  <c r="O253" i="1" s="1"/>
  <c r="AT237" i="1"/>
  <c r="AC237" i="1" s="1"/>
  <c r="AL237" i="1"/>
  <c r="M237" i="1" s="1"/>
  <c r="AR221" i="1"/>
  <c r="Y221" i="1" s="1"/>
  <c r="AP205" i="1"/>
  <c r="U205" i="1" s="1"/>
  <c r="AT198" i="1"/>
  <c r="AC198" i="1" s="1"/>
  <c r="AP189" i="1"/>
  <c r="U189" i="1" s="1"/>
  <c r="AN173" i="1"/>
  <c r="Q173" i="1" s="1"/>
  <c r="AO157" i="1"/>
  <c r="S157" i="1" s="1"/>
  <c r="AR149" i="1"/>
  <c r="Y149" i="1" s="1"/>
  <c r="AO141" i="1"/>
  <c r="S141" i="1" s="1"/>
  <c r="AR133" i="1"/>
  <c r="Y133" i="1" s="1"/>
  <c r="AT125" i="1"/>
  <c r="AC125" i="1" s="1"/>
  <c r="AL125" i="1"/>
  <c r="M125" i="1" s="1"/>
  <c r="AQ117" i="1"/>
  <c r="W117" i="1" s="1"/>
  <c r="AO109" i="1"/>
  <c r="S109" i="1" s="1"/>
  <c r="AT101" i="1"/>
  <c r="AC101" i="1" s="1"/>
  <c r="AL101" i="1"/>
  <c r="M101" i="1" s="1"/>
  <c r="AQ93" i="1"/>
  <c r="W93" i="1" s="1"/>
  <c r="AT86" i="1"/>
  <c r="AC86" i="1" s="1"/>
  <c r="AM85" i="1"/>
  <c r="O85" i="1" s="1"/>
  <c r="AR62" i="1"/>
  <c r="Y62" i="1" s="1"/>
  <c r="AN61" i="1"/>
  <c r="Q61" i="1" s="1"/>
  <c r="AS53" i="1"/>
  <c r="AA53" i="1" s="1"/>
  <c r="AK53" i="1"/>
  <c r="K53" i="1" s="1"/>
  <c r="AM45" i="1"/>
  <c r="O45" i="1" s="1"/>
  <c r="AP37" i="1"/>
  <c r="U37" i="1" s="1"/>
  <c r="AT29" i="1"/>
  <c r="AC29" i="1" s="1"/>
  <c r="AL29" i="1"/>
  <c r="M29" i="1" s="1"/>
  <c r="AQ21" i="1"/>
  <c r="W21" i="1" s="1"/>
  <c r="AK14" i="1"/>
  <c r="K14" i="1" s="1"/>
  <c r="B269" i="6"/>
  <c r="E270" i="1"/>
  <c r="B261" i="6"/>
  <c r="E262" i="1"/>
  <c r="B253" i="6"/>
  <c r="E254" i="1"/>
  <c r="B245" i="6"/>
  <c r="E246" i="1"/>
  <c r="B237" i="6"/>
  <c r="E238" i="1"/>
  <c r="B229" i="6"/>
  <c r="E230" i="1"/>
  <c r="B221" i="6"/>
  <c r="E222" i="1"/>
  <c r="B213" i="6"/>
  <c r="E214" i="1"/>
  <c r="B205" i="6"/>
  <c r="E206" i="1"/>
  <c r="B197" i="6"/>
  <c r="E198" i="1"/>
  <c r="B189" i="6"/>
  <c r="E190" i="1"/>
  <c r="B181" i="6"/>
  <c r="E182" i="1"/>
  <c r="B173" i="6"/>
  <c r="E174" i="1"/>
  <c r="B165" i="6"/>
  <c r="E166" i="1"/>
  <c r="B157" i="6"/>
  <c r="E158" i="1"/>
  <c r="B149" i="6"/>
  <c r="E150" i="1"/>
  <c r="B141" i="6"/>
  <c r="E142" i="1"/>
  <c r="B133" i="6"/>
  <c r="E134" i="1"/>
  <c r="B125" i="6"/>
  <c r="E126" i="1"/>
  <c r="B117" i="6"/>
  <c r="E118" i="1"/>
  <c r="B109" i="6"/>
  <c r="E110" i="1"/>
  <c r="B101" i="6"/>
  <c r="E102" i="1"/>
  <c r="B93" i="6"/>
  <c r="E94" i="1"/>
  <c r="B85" i="6"/>
  <c r="E86" i="1"/>
  <c r="B77" i="6"/>
  <c r="E78" i="1"/>
  <c r="B69" i="6"/>
  <c r="E70" i="1"/>
  <c r="B61" i="6"/>
  <c r="E62" i="1"/>
  <c r="B53" i="6"/>
  <c r="E54" i="1"/>
  <c r="B45" i="6"/>
  <c r="E46" i="1"/>
  <c r="B37" i="6"/>
  <c r="E38" i="1"/>
  <c r="B29" i="6"/>
  <c r="E30" i="1"/>
  <c r="B21" i="6"/>
  <c r="E22" i="1"/>
  <c r="B13" i="6"/>
  <c r="E14" i="1"/>
  <c r="B5" i="6"/>
  <c r="E6" i="1"/>
  <c r="B272" i="6"/>
  <c r="E273" i="1"/>
  <c r="B256" i="6"/>
  <c r="E257" i="1"/>
  <c r="B208" i="6"/>
  <c r="E209" i="1"/>
  <c r="B184" i="6"/>
  <c r="E185" i="1"/>
  <c r="B160" i="6"/>
  <c r="E161" i="1"/>
  <c r="B152" i="6"/>
  <c r="E153" i="1"/>
  <c r="B120" i="6"/>
  <c r="E121" i="1"/>
  <c r="B112" i="6"/>
  <c r="E113" i="1"/>
  <c r="B88" i="6"/>
  <c r="E89" i="1"/>
  <c r="B80" i="6"/>
  <c r="E81" i="1"/>
  <c r="B64" i="6"/>
  <c r="E65" i="1"/>
  <c r="B56" i="6"/>
  <c r="E57" i="1"/>
  <c r="B32" i="6"/>
  <c r="E33" i="1"/>
  <c r="B16" i="6"/>
  <c r="E17" i="1"/>
  <c r="B8" i="6"/>
  <c r="E9" i="1"/>
  <c r="N289" i="3"/>
  <c r="N291" i="6"/>
  <c r="B264" i="6"/>
  <c r="E265" i="1"/>
  <c r="B224" i="6"/>
  <c r="E225" i="1"/>
  <c r="B216" i="6"/>
  <c r="E217" i="1"/>
  <c r="B176" i="6"/>
  <c r="E177" i="1"/>
  <c r="B144" i="6"/>
  <c r="E145" i="1"/>
  <c r="B136" i="6"/>
  <c r="E137" i="1"/>
  <c r="B104" i="6"/>
  <c r="E105" i="1"/>
  <c r="B96" i="6"/>
  <c r="E97" i="1"/>
  <c r="AK277" i="1"/>
  <c r="K277" i="1" s="1"/>
  <c r="AN269" i="1"/>
  <c r="Q269" i="1" s="1"/>
  <c r="AK253" i="1"/>
  <c r="K253" i="1" s="1"/>
  <c r="AR237" i="1"/>
  <c r="Y237" i="1" s="1"/>
  <c r="AP221" i="1"/>
  <c r="U221" i="1" s="1"/>
  <c r="AT214" i="1"/>
  <c r="AC214" i="1" s="1"/>
  <c r="AN205" i="1"/>
  <c r="Q205" i="1" s="1"/>
  <c r="AM157" i="1"/>
  <c r="O157" i="1" s="1"/>
  <c r="AM142" i="1"/>
  <c r="O142" i="1" s="1"/>
  <c r="AM141" i="1"/>
  <c r="O141" i="1" s="1"/>
  <c r="AP133" i="1"/>
  <c r="U133" i="1" s="1"/>
  <c r="AR125" i="1"/>
  <c r="Y125" i="1" s="1"/>
  <c r="AK85" i="1"/>
  <c r="K85" i="1" s="1"/>
  <c r="AQ53" i="1"/>
  <c r="W53" i="1" s="1"/>
  <c r="AO21" i="1"/>
  <c r="S21" i="1" s="1"/>
  <c r="B275" i="6"/>
  <c r="E276" i="1"/>
  <c r="B267" i="6"/>
  <c r="E268" i="1"/>
  <c r="B259" i="6"/>
  <c r="E260" i="1"/>
  <c r="B251" i="6"/>
  <c r="E252" i="1"/>
  <c r="B243" i="6"/>
  <c r="E244" i="1"/>
  <c r="B235" i="6"/>
  <c r="E236" i="1"/>
  <c r="B227" i="6"/>
  <c r="E228" i="1"/>
  <c r="B219" i="6"/>
  <c r="E220" i="1"/>
  <c r="B211" i="6"/>
  <c r="E212" i="1"/>
  <c r="B203" i="6"/>
  <c r="E204" i="1"/>
  <c r="B195" i="6"/>
  <c r="E196" i="1"/>
  <c r="B187" i="6"/>
  <c r="E188" i="1"/>
  <c r="B179" i="6"/>
  <c r="E180" i="1"/>
  <c r="B171" i="6"/>
  <c r="E172" i="1"/>
  <c r="B163" i="6"/>
  <c r="E164" i="1"/>
  <c r="B155" i="6"/>
  <c r="E156" i="1"/>
  <c r="B147" i="6"/>
  <c r="E148" i="1"/>
  <c r="B139" i="6"/>
  <c r="E140" i="1"/>
  <c r="B131" i="6"/>
  <c r="E132" i="1"/>
  <c r="B123" i="6"/>
  <c r="E124" i="1"/>
  <c r="B115" i="6"/>
  <c r="E116" i="1"/>
  <c r="B107" i="6"/>
  <c r="E108" i="1"/>
  <c r="B99" i="6"/>
  <c r="E100" i="1"/>
  <c r="B91" i="6"/>
  <c r="E92" i="1"/>
  <c r="B83" i="6"/>
  <c r="E84" i="1"/>
  <c r="B75" i="6"/>
  <c r="E76" i="1"/>
  <c r="B67" i="6"/>
  <c r="E68" i="1"/>
  <c r="B59" i="6"/>
  <c r="E60" i="1"/>
  <c r="B51" i="6"/>
  <c r="E52" i="1"/>
  <c r="B43" i="6"/>
  <c r="E44" i="1"/>
  <c r="B35" i="6"/>
  <c r="E36" i="1"/>
  <c r="B27" i="6"/>
  <c r="E28" i="1"/>
  <c r="B19" i="6"/>
  <c r="E20" i="1"/>
  <c r="B11" i="6"/>
  <c r="E12" i="1"/>
  <c r="N278" i="3"/>
  <c r="N280" i="6"/>
  <c r="B248" i="6"/>
  <c r="E249" i="1"/>
  <c r="B240" i="6"/>
  <c r="E241" i="1"/>
  <c r="B232" i="6"/>
  <c r="E233" i="1"/>
  <c r="B200" i="6"/>
  <c r="E201" i="1"/>
  <c r="B192" i="6"/>
  <c r="E193" i="1"/>
  <c r="B168" i="6"/>
  <c r="E169" i="1"/>
  <c r="B128" i="6"/>
  <c r="E129" i="1"/>
  <c r="B72" i="6"/>
  <c r="E73" i="1"/>
  <c r="B48" i="6"/>
  <c r="E49" i="1"/>
  <c r="B40" i="6"/>
  <c r="E41" i="1"/>
  <c r="B24" i="6"/>
  <c r="E25" i="1"/>
  <c r="AS253" i="1"/>
  <c r="AA253" i="1" s="1"/>
  <c r="AR230" i="1"/>
  <c r="Y230" i="1" s="1"/>
  <c r="AN189" i="1"/>
  <c r="Q189" i="1" s="1"/>
  <c r="AT173" i="1"/>
  <c r="AC173" i="1" s="1"/>
  <c r="AL173" i="1"/>
  <c r="M173" i="1" s="1"/>
  <c r="AP149" i="1"/>
  <c r="U149" i="1" s="1"/>
  <c r="AO117" i="1"/>
  <c r="S117" i="1" s="1"/>
  <c r="AK110" i="1"/>
  <c r="K110" i="1" s="1"/>
  <c r="AM109" i="1"/>
  <c r="O109" i="1" s="1"/>
  <c r="AR101" i="1"/>
  <c r="Y101" i="1" s="1"/>
  <c r="AO93" i="1"/>
  <c r="S93" i="1" s="1"/>
  <c r="AS85" i="1"/>
  <c r="AA85" i="1" s="1"/>
  <c r="AT61" i="1"/>
  <c r="AC61" i="1" s="1"/>
  <c r="AL61" i="1"/>
  <c r="M61" i="1" s="1"/>
  <c r="AS45" i="1"/>
  <c r="AA45" i="1" s="1"/>
  <c r="AK45" i="1"/>
  <c r="K45" i="1" s="1"/>
  <c r="AN37" i="1"/>
  <c r="Q37" i="1" s="1"/>
  <c r="AR29" i="1"/>
  <c r="Y29" i="1" s="1"/>
  <c r="AP274" i="1"/>
  <c r="U274" i="1" s="1"/>
  <c r="AM269" i="1"/>
  <c r="O269" i="1" s="1"/>
  <c r="AR253" i="1"/>
  <c r="Y253" i="1" s="1"/>
  <c r="AQ237" i="1"/>
  <c r="W237" i="1" s="1"/>
  <c r="AM230" i="1"/>
  <c r="O230" i="1" s="1"/>
  <c r="AO221" i="1"/>
  <c r="S221" i="1" s="1"/>
  <c r="AM205" i="1"/>
  <c r="O205" i="1" s="1"/>
  <c r="AM189" i="1"/>
  <c r="O189" i="1" s="1"/>
  <c r="AS173" i="1"/>
  <c r="AA173" i="1" s="1"/>
  <c r="AK173" i="1"/>
  <c r="K173" i="1" s="1"/>
  <c r="AT157" i="1"/>
  <c r="AC157" i="1" s="1"/>
  <c r="AL157" i="1"/>
  <c r="M157" i="1" s="1"/>
  <c r="AO149" i="1"/>
  <c r="S149" i="1" s="1"/>
  <c r="AT141" i="1"/>
  <c r="AC141" i="1" s="1"/>
  <c r="AL141" i="1"/>
  <c r="M141" i="1" s="1"/>
  <c r="AO133" i="1"/>
  <c r="S133" i="1" s="1"/>
  <c r="AQ125" i="1"/>
  <c r="W125" i="1" s="1"/>
  <c r="AN117" i="1"/>
  <c r="Q117" i="1" s="1"/>
  <c r="AT109" i="1"/>
  <c r="AC109" i="1" s="1"/>
  <c r="AL109" i="1"/>
  <c r="M109" i="1" s="1"/>
  <c r="AQ101" i="1"/>
  <c r="W101" i="1" s="1"/>
  <c r="AN93" i="1"/>
  <c r="Q93" i="1" s="1"/>
  <c r="AR85" i="1"/>
  <c r="Y85" i="1" s="1"/>
  <c r="AR78" i="1"/>
  <c r="Y78" i="1" s="1"/>
  <c r="AS61" i="1"/>
  <c r="AA61" i="1" s="1"/>
  <c r="AK61" i="1"/>
  <c r="K61" i="1" s="1"/>
  <c r="AP53" i="1"/>
  <c r="U53" i="1" s="1"/>
  <c r="AR45" i="1"/>
  <c r="Y45" i="1" s="1"/>
  <c r="AM37" i="1"/>
  <c r="O37" i="1" s="1"/>
  <c r="AQ29" i="1"/>
  <c r="W29" i="1" s="1"/>
  <c r="AN21" i="1"/>
  <c r="Q21" i="1" s="1"/>
  <c r="E271" i="1"/>
  <c r="B270" i="6"/>
  <c r="E263" i="1"/>
  <c r="B262" i="6"/>
  <c r="E255" i="1"/>
  <c r="B254" i="6"/>
  <c r="E247" i="1"/>
  <c r="B246" i="6"/>
  <c r="E239" i="1"/>
  <c r="B238" i="6"/>
  <c r="E231" i="1"/>
  <c r="B230" i="6"/>
  <c r="B222" i="6"/>
  <c r="E223" i="1"/>
  <c r="B214" i="6"/>
  <c r="E215" i="1"/>
  <c r="B206" i="6"/>
  <c r="E207" i="1"/>
  <c r="B198" i="6"/>
  <c r="E199" i="1"/>
  <c r="B190" i="6"/>
  <c r="E191" i="1"/>
  <c r="B182" i="6"/>
  <c r="E183" i="1"/>
  <c r="B174" i="6"/>
  <c r="E175" i="1"/>
  <c r="B166" i="6"/>
  <c r="E167" i="1"/>
  <c r="B158" i="6"/>
  <c r="E159" i="1"/>
  <c r="B150" i="6"/>
  <c r="E151" i="1"/>
  <c r="B142" i="6"/>
  <c r="E143" i="1"/>
  <c r="B134" i="6"/>
  <c r="E135" i="1"/>
  <c r="B126" i="6"/>
  <c r="E127" i="1"/>
  <c r="B118" i="6"/>
  <c r="E119" i="1"/>
  <c r="B110" i="6"/>
  <c r="E111" i="1"/>
  <c r="B102" i="6"/>
  <c r="E103" i="1"/>
  <c r="B94" i="6"/>
  <c r="E95" i="1"/>
  <c r="B86" i="6"/>
  <c r="E87" i="1"/>
  <c r="B78" i="6"/>
  <c r="E79" i="1"/>
  <c r="B70" i="6"/>
  <c r="E71" i="1"/>
  <c r="B62" i="6"/>
  <c r="E63" i="1"/>
  <c r="B54" i="6"/>
  <c r="E55" i="1"/>
  <c r="B46" i="6"/>
  <c r="E47" i="1"/>
  <c r="B38" i="6"/>
  <c r="E39" i="1"/>
  <c r="B30" i="6"/>
  <c r="E31" i="1"/>
  <c r="B22" i="6"/>
  <c r="E23" i="1"/>
  <c r="B14" i="6"/>
  <c r="E15" i="1"/>
  <c r="B6" i="6"/>
  <c r="E7" i="1"/>
  <c r="N279" i="3"/>
  <c r="N287" i="3"/>
  <c r="N285" i="3"/>
  <c r="N284" i="3"/>
  <c r="AT265" i="1"/>
  <c r="AC265" i="1" s="1"/>
  <c r="AO239" i="1"/>
  <c r="S239" i="1" s="1"/>
  <c r="AQ215" i="1"/>
  <c r="W215" i="1" s="1"/>
  <c r="AP199" i="1"/>
  <c r="U199" i="1" s="1"/>
  <c r="AL178" i="1"/>
  <c r="M178" i="1" s="1"/>
  <c r="AN169" i="1"/>
  <c r="Q169" i="1" s="1"/>
  <c r="AL159" i="1"/>
  <c r="M159" i="1" s="1"/>
  <c r="AP138" i="1"/>
  <c r="U138" i="1" s="1"/>
  <c r="AR106" i="1"/>
  <c r="Y106" i="1" s="1"/>
  <c r="AP42" i="1"/>
  <c r="U42" i="1" s="1"/>
  <c r="AR15" i="1"/>
  <c r="Y15" i="1" s="1"/>
  <c r="AS265" i="1"/>
  <c r="AA265" i="1" s="1"/>
  <c r="AK177" i="1"/>
  <c r="K177" i="1" s="1"/>
  <c r="AO137" i="1"/>
  <c r="S137" i="1" s="1"/>
  <c r="AM81" i="1"/>
  <c r="O81" i="1" s="1"/>
  <c r="AL265" i="1"/>
  <c r="M265" i="1" s="1"/>
  <c r="AL145" i="1"/>
  <c r="M145" i="1" s="1"/>
  <c r="AS271" i="1"/>
  <c r="AA271" i="1" s="1"/>
  <c r="AN263" i="1"/>
  <c r="Q263" i="1" s="1"/>
  <c r="AK247" i="1"/>
  <c r="K247" i="1" s="1"/>
  <c r="AN234" i="1"/>
  <c r="Q234" i="1" s="1"/>
  <c r="AQ225" i="1"/>
  <c r="W225" i="1" s="1"/>
  <c r="AL210" i="1"/>
  <c r="M210" i="1" s="1"/>
  <c r="AQ185" i="1"/>
  <c r="W185" i="1" s="1"/>
  <c r="AL175" i="1"/>
  <c r="M175" i="1" s="1"/>
  <c r="AQ154" i="1"/>
  <c r="W154" i="1" s="1"/>
  <c r="AO143" i="1"/>
  <c r="S143" i="1" s="1"/>
  <c r="AN121" i="1"/>
  <c r="Q121" i="1" s="1"/>
  <c r="AM111" i="1"/>
  <c r="O111" i="1" s="1"/>
  <c r="AR50" i="1"/>
  <c r="Y50" i="1" s="1"/>
  <c r="AQ23" i="1"/>
  <c r="W23" i="1" s="1"/>
  <c r="AG302" i="1"/>
  <c r="AL271" i="1"/>
  <c r="M271" i="1" s="1"/>
  <c r="AT207" i="1"/>
  <c r="AC207" i="1" s="1"/>
  <c r="AK183" i="1"/>
  <c r="K183" i="1" s="1"/>
  <c r="AR119" i="1"/>
  <c r="Y119" i="1" s="1"/>
  <c r="AR73" i="1"/>
  <c r="Y73" i="1" s="1"/>
  <c r="AP47" i="1"/>
  <c r="U47" i="1" s="1"/>
  <c r="AM23" i="1"/>
  <c r="O23" i="1" s="1"/>
  <c r="AR258" i="1"/>
  <c r="Y258" i="1" s="1"/>
  <c r="AR231" i="1"/>
  <c r="Y231" i="1" s="1"/>
  <c r="AQ193" i="1"/>
  <c r="W193" i="1" s="1"/>
  <c r="AT161" i="1"/>
  <c r="AC161" i="1" s="1"/>
  <c r="AQ151" i="1"/>
  <c r="W151" i="1" s="1"/>
  <c r="AN130" i="1"/>
  <c r="Q130" i="1" s="1"/>
  <c r="AM119" i="1"/>
  <c r="O119" i="1" s="1"/>
  <c r="AK87" i="1"/>
  <c r="K87" i="1" s="1"/>
  <c r="AL71" i="1"/>
  <c r="M71" i="1" s="1"/>
  <c r="AL31" i="1"/>
  <c r="M31" i="1" s="1"/>
  <c r="AR225" i="1"/>
  <c r="Y225" i="1" s="1"/>
  <c r="AS175" i="1"/>
  <c r="AA175" i="1" s="1"/>
  <c r="AL233" i="1"/>
  <c r="M233" i="1" s="1"/>
  <c r="AT151" i="1"/>
  <c r="AC151" i="1" s="1"/>
  <c r="C1" i="3"/>
  <c r="AO257" i="1"/>
  <c r="S257" i="1" s="1"/>
  <c r="AR191" i="1"/>
  <c r="Y191" i="1" s="1"/>
  <c r="AQ159" i="1"/>
  <c r="W159" i="1" s="1"/>
  <c r="AR129" i="1"/>
  <c r="Y129" i="1" s="1"/>
  <c r="AK71" i="1"/>
  <c r="K71" i="1" s="1"/>
  <c r="AO274" i="1"/>
  <c r="S274" i="1" s="1"/>
  <c r="AK271" i="1"/>
  <c r="K271" i="1" s="1"/>
  <c r="AO266" i="1"/>
  <c r="S266" i="1" s="1"/>
  <c r="AO263" i="1"/>
  <c r="S263" i="1" s="1"/>
  <c r="AQ258" i="1"/>
  <c r="W258" i="1" s="1"/>
  <c r="AQ255" i="1"/>
  <c r="W255" i="1" s="1"/>
  <c r="AQ250" i="1"/>
  <c r="W250" i="1" s="1"/>
  <c r="AN242" i="1"/>
  <c r="Q242" i="1" s="1"/>
  <c r="AM234" i="1"/>
  <c r="O234" i="1" s="1"/>
  <c r="AM226" i="1"/>
  <c r="O226" i="1" s="1"/>
  <c r="AT218" i="1"/>
  <c r="AC218" i="1" s="1"/>
  <c r="AL218" i="1"/>
  <c r="M218" i="1" s="1"/>
  <c r="AS210" i="1"/>
  <c r="AA210" i="1" s="1"/>
  <c r="AK210" i="1"/>
  <c r="K210" i="1" s="1"/>
  <c r="AP202" i="1"/>
  <c r="U202" i="1" s="1"/>
  <c r="AN194" i="1"/>
  <c r="Q194" i="1" s="1"/>
  <c r="AM186" i="1"/>
  <c r="O186" i="1" s="1"/>
  <c r="AS178" i="1"/>
  <c r="AA178" i="1" s="1"/>
  <c r="AK178" i="1"/>
  <c r="K178" i="1" s="1"/>
  <c r="AR170" i="1"/>
  <c r="Y170" i="1" s="1"/>
  <c r="AP162" i="1"/>
  <c r="U162" i="1" s="1"/>
  <c r="AP154" i="1"/>
  <c r="U154" i="1" s="1"/>
  <c r="AO146" i="1"/>
  <c r="S146" i="1" s="1"/>
  <c r="AO138" i="1"/>
  <c r="S138" i="1" s="1"/>
  <c r="AM130" i="1"/>
  <c r="O130" i="1" s="1"/>
  <c r="AR122" i="1"/>
  <c r="Y122" i="1" s="1"/>
  <c r="AR114" i="1"/>
  <c r="Y114" i="1" s="1"/>
  <c r="AQ106" i="1"/>
  <c r="W106" i="1" s="1"/>
  <c r="AP98" i="1"/>
  <c r="U98" i="1" s="1"/>
  <c r="AO90" i="1"/>
  <c r="S90" i="1" s="1"/>
  <c r="AM66" i="1"/>
  <c r="O66" i="1" s="1"/>
  <c r="AT58" i="1"/>
  <c r="AC58" i="1" s="1"/>
  <c r="AL58" i="1"/>
  <c r="M58" i="1" s="1"/>
  <c r="AQ50" i="1"/>
  <c r="W50" i="1" s="1"/>
  <c r="AO42" i="1"/>
  <c r="S42" i="1" s="1"/>
  <c r="AT34" i="1"/>
  <c r="AC34" i="1" s="1"/>
  <c r="AL34" i="1"/>
  <c r="M34" i="1" s="1"/>
  <c r="AR26" i="1"/>
  <c r="Y26" i="1" s="1"/>
  <c r="AN266" i="1"/>
  <c r="Q266" i="1" s="1"/>
  <c r="AT234" i="1"/>
  <c r="AC234" i="1" s="1"/>
  <c r="AL226" i="1"/>
  <c r="M226" i="1" s="1"/>
  <c r="AO202" i="1"/>
  <c r="S202" i="1" s="1"/>
  <c r="AT186" i="1"/>
  <c r="AC186" i="1" s="1"/>
  <c r="AN146" i="1"/>
  <c r="Q146" i="1" s="1"/>
  <c r="AP106" i="1"/>
  <c r="U106" i="1" s="1"/>
  <c r="AN90" i="1"/>
  <c r="Q90" i="1" s="1"/>
  <c r="AP50" i="1"/>
  <c r="U50" i="1" s="1"/>
  <c r="B267" i="3"/>
  <c r="AM274" i="1"/>
  <c r="O274" i="1" s="1"/>
  <c r="AM266" i="1"/>
  <c r="O266" i="1" s="1"/>
  <c r="AL263" i="1"/>
  <c r="M263" i="1" s="1"/>
  <c r="AO258" i="1"/>
  <c r="S258" i="1" s="1"/>
  <c r="AN255" i="1"/>
  <c r="Q255" i="1" s="1"/>
  <c r="AO250" i="1"/>
  <c r="S250" i="1" s="1"/>
  <c r="AT242" i="1"/>
  <c r="AC242" i="1" s="1"/>
  <c r="AL242" i="1"/>
  <c r="M242" i="1" s="1"/>
  <c r="AS234" i="1"/>
  <c r="AA234" i="1" s="1"/>
  <c r="AK234" i="1"/>
  <c r="K234" i="1" s="1"/>
  <c r="AS226" i="1"/>
  <c r="AA226" i="1" s="1"/>
  <c r="AK226" i="1"/>
  <c r="K226" i="1" s="1"/>
  <c r="AR218" i="1"/>
  <c r="Y218" i="1" s="1"/>
  <c r="AQ210" i="1"/>
  <c r="W210" i="1" s="1"/>
  <c r="AN202" i="1"/>
  <c r="Q202" i="1" s="1"/>
  <c r="AT194" i="1"/>
  <c r="AC194" i="1" s="1"/>
  <c r="AL194" i="1"/>
  <c r="M194" i="1" s="1"/>
  <c r="AS186" i="1"/>
  <c r="AA186" i="1" s="1"/>
  <c r="AK186" i="1"/>
  <c r="K186" i="1" s="1"/>
  <c r="AQ178" i="1"/>
  <c r="W178" i="1" s="1"/>
  <c r="AP170" i="1"/>
  <c r="U170" i="1" s="1"/>
  <c r="AN162" i="1"/>
  <c r="Q162" i="1" s="1"/>
  <c r="AN154" i="1"/>
  <c r="Q154" i="1" s="1"/>
  <c r="AM146" i="1"/>
  <c r="O146" i="1" s="1"/>
  <c r="AM138" i="1"/>
  <c r="O138" i="1" s="1"/>
  <c r="AS130" i="1"/>
  <c r="AA130" i="1" s="1"/>
  <c r="AK130" i="1"/>
  <c r="K130" i="1" s="1"/>
  <c r="AP122" i="1"/>
  <c r="U122" i="1" s="1"/>
  <c r="AP114" i="1"/>
  <c r="U114" i="1" s="1"/>
  <c r="AO106" i="1"/>
  <c r="S106" i="1" s="1"/>
  <c r="AN98" i="1"/>
  <c r="Q98" i="1" s="1"/>
  <c r="AM90" i="1"/>
  <c r="O90" i="1" s="1"/>
  <c r="AS66" i="1"/>
  <c r="AA66" i="1" s="1"/>
  <c r="AK66" i="1"/>
  <c r="K66" i="1" s="1"/>
  <c r="AR58" i="1"/>
  <c r="Y58" i="1" s="1"/>
  <c r="AO50" i="1"/>
  <c r="S50" i="1" s="1"/>
  <c r="AM42" i="1"/>
  <c r="O42" i="1" s="1"/>
  <c r="AR34" i="1"/>
  <c r="Y34" i="1" s="1"/>
  <c r="AP26" i="1"/>
  <c r="U26" i="1" s="1"/>
  <c r="AP250" i="1"/>
  <c r="U250" i="1" s="1"/>
  <c r="AM242" i="1"/>
  <c r="O242" i="1" s="1"/>
  <c r="AT226" i="1"/>
  <c r="AC226" i="1" s="1"/>
  <c r="AM194" i="1"/>
  <c r="O194" i="1" s="1"/>
  <c r="AR178" i="1"/>
  <c r="Y178" i="1" s="1"/>
  <c r="AO154" i="1"/>
  <c r="S154" i="1" s="1"/>
  <c r="AN138" i="1"/>
  <c r="Q138" i="1" s="1"/>
  <c r="AT130" i="1"/>
  <c r="AC130" i="1" s="1"/>
  <c r="AL130" i="1"/>
  <c r="M130" i="1" s="1"/>
  <c r="AQ122" i="1"/>
  <c r="W122" i="1" s="1"/>
  <c r="AQ114" i="1"/>
  <c r="W114" i="1" s="1"/>
  <c r="AL66" i="1"/>
  <c r="M66" i="1" s="1"/>
  <c r="AN42" i="1"/>
  <c r="Q42" i="1" s="1"/>
  <c r="AK34" i="1"/>
  <c r="K34" i="1" s="1"/>
  <c r="AT274" i="1"/>
  <c r="AC274" i="1" s="1"/>
  <c r="AL274" i="1"/>
  <c r="M274" i="1" s="1"/>
  <c r="AT266" i="1"/>
  <c r="AC266" i="1" s="1"/>
  <c r="AL266" i="1"/>
  <c r="M266" i="1" s="1"/>
  <c r="AK263" i="1"/>
  <c r="K263" i="1" s="1"/>
  <c r="AN258" i="1"/>
  <c r="Q258" i="1" s="1"/>
  <c r="AN250" i="1"/>
  <c r="Q250" i="1" s="1"/>
  <c r="AS242" i="1"/>
  <c r="AA242" i="1" s="1"/>
  <c r="AK242" i="1"/>
  <c r="K242" i="1" s="1"/>
  <c r="AR234" i="1"/>
  <c r="Y234" i="1" s="1"/>
  <c r="AR226" i="1"/>
  <c r="Y226" i="1" s="1"/>
  <c r="AQ218" i="1"/>
  <c r="W218" i="1" s="1"/>
  <c r="AR215" i="1"/>
  <c r="Y215" i="1" s="1"/>
  <c r="AP210" i="1"/>
  <c r="U210" i="1" s="1"/>
  <c r="AM202" i="1"/>
  <c r="O202" i="1" s="1"/>
  <c r="AS194" i="1"/>
  <c r="AA194" i="1" s="1"/>
  <c r="AK194" i="1"/>
  <c r="K194" i="1" s="1"/>
  <c r="AR186" i="1"/>
  <c r="Y186" i="1" s="1"/>
  <c r="AP178" i="1"/>
  <c r="U178" i="1" s="1"/>
  <c r="AO170" i="1"/>
  <c r="S170" i="1" s="1"/>
  <c r="AM162" i="1"/>
  <c r="O162" i="1" s="1"/>
  <c r="AM154" i="1"/>
  <c r="O154" i="1" s="1"/>
  <c r="AT146" i="1"/>
  <c r="AC146" i="1" s="1"/>
  <c r="AL146" i="1"/>
  <c r="M146" i="1" s="1"/>
  <c r="AT138" i="1"/>
  <c r="AC138" i="1" s="1"/>
  <c r="AL138" i="1"/>
  <c r="M138" i="1" s="1"/>
  <c r="AR130" i="1"/>
  <c r="Y130" i="1" s="1"/>
  <c r="AO122" i="1"/>
  <c r="S122" i="1" s="1"/>
  <c r="AO114" i="1"/>
  <c r="S114" i="1" s="1"/>
  <c r="AN106" i="1"/>
  <c r="Q106" i="1" s="1"/>
  <c r="AM98" i="1"/>
  <c r="O98" i="1" s="1"/>
  <c r="AT90" i="1"/>
  <c r="AC90" i="1" s="1"/>
  <c r="AL90" i="1"/>
  <c r="M90" i="1" s="1"/>
  <c r="AR66" i="1"/>
  <c r="Y66" i="1" s="1"/>
  <c r="AQ58" i="1"/>
  <c r="W58" i="1" s="1"/>
  <c r="AN50" i="1"/>
  <c r="Q50" i="1" s="1"/>
  <c r="AT42" i="1"/>
  <c r="AC42" i="1" s="1"/>
  <c r="AL42" i="1"/>
  <c r="M42" i="1" s="1"/>
  <c r="AQ34" i="1"/>
  <c r="W34" i="1" s="1"/>
  <c r="AO26" i="1"/>
  <c r="S26" i="1" s="1"/>
  <c r="AP258" i="1"/>
  <c r="U258" i="1" s="1"/>
  <c r="AS218" i="1"/>
  <c r="AA218" i="1" s="1"/>
  <c r="AK218" i="1"/>
  <c r="K218" i="1" s="1"/>
  <c r="AR210" i="1"/>
  <c r="Y210" i="1" s="1"/>
  <c r="AT66" i="1"/>
  <c r="AC66" i="1" s="1"/>
  <c r="AS58" i="1"/>
  <c r="AA58" i="1" s="1"/>
  <c r="AS90" i="1"/>
  <c r="AA90" i="1" s="1"/>
  <c r="AK90" i="1"/>
  <c r="K90" i="1" s="1"/>
  <c r="AQ66" i="1"/>
  <c r="W66" i="1" s="1"/>
  <c r="AP58" i="1"/>
  <c r="U58" i="1" s="1"/>
  <c r="AM50" i="1"/>
  <c r="O50" i="1" s="1"/>
  <c r="AS42" i="1"/>
  <c r="AA42" i="1" s="1"/>
  <c r="AK42" i="1"/>
  <c r="K42" i="1" s="1"/>
  <c r="AP34" i="1"/>
  <c r="U34" i="1" s="1"/>
  <c r="AN26" i="1"/>
  <c r="Q26" i="1" s="1"/>
  <c r="AL234" i="1"/>
  <c r="M234" i="1" s="1"/>
  <c r="AL186" i="1"/>
  <c r="M186" i="1" s="1"/>
  <c r="AQ170" i="1"/>
  <c r="W170" i="1" s="1"/>
  <c r="AO162" i="1"/>
  <c r="S162" i="1" s="1"/>
  <c r="AK58" i="1"/>
  <c r="K58" i="1" s="1"/>
  <c r="AS34" i="1"/>
  <c r="AA34" i="1" s="1"/>
  <c r="AS274" i="1"/>
  <c r="AA274" i="1" s="1"/>
  <c r="AK274" i="1"/>
  <c r="K274" i="1" s="1"/>
  <c r="AS266" i="1"/>
  <c r="AA266" i="1" s="1"/>
  <c r="AK266" i="1"/>
  <c r="K266" i="1" s="1"/>
  <c r="AM258" i="1"/>
  <c r="O258" i="1" s="1"/>
  <c r="AM250" i="1"/>
  <c r="O250" i="1" s="1"/>
  <c r="AR242" i="1"/>
  <c r="Y242" i="1" s="1"/>
  <c r="AQ234" i="1"/>
  <c r="W234" i="1" s="1"/>
  <c r="AQ226" i="1"/>
  <c r="W226" i="1" s="1"/>
  <c r="AP218" i="1"/>
  <c r="U218" i="1" s="1"/>
  <c r="AO210" i="1"/>
  <c r="S210" i="1" s="1"/>
  <c r="AT202" i="1"/>
  <c r="AC202" i="1" s="1"/>
  <c r="AL202" i="1"/>
  <c r="M202" i="1" s="1"/>
  <c r="AR194" i="1"/>
  <c r="Y194" i="1" s="1"/>
  <c r="AQ186" i="1"/>
  <c r="W186" i="1" s="1"/>
  <c r="AO178" i="1"/>
  <c r="S178" i="1" s="1"/>
  <c r="AN170" i="1"/>
  <c r="Q170" i="1" s="1"/>
  <c r="AT162" i="1"/>
  <c r="AC162" i="1" s="1"/>
  <c r="AL162" i="1"/>
  <c r="M162" i="1" s="1"/>
  <c r="AT154" i="1"/>
  <c r="AC154" i="1" s="1"/>
  <c r="AL154" i="1"/>
  <c r="M154" i="1" s="1"/>
  <c r="AS146" i="1"/>
  <c r="AA146" i="1" s="1"/>
  <c r="AK146" i="1"/>
  <c r="K146" i="1" s="1"/>
  <c r="AS138" i="1"/>
  <c r="AA138" i="1" s="1"/>
  <c r="AK138" i="1"/>
  <c r="K138" i="1" s="1"/>
  <c r="AQ130" i="1"/>
  <c r="W130" i="1" s="1"/>
  <c r="AN122" i="1"/>
  <c r="Q122" i="1" s="1"/>
  <c r="AN114" i="1"/>
  <c r="Q114" i="1" s="1"/>
  <c r="AM106" i="1"/>
  <c r="O106" i="1" s="1"/>
  <c r="AT98" i="1"/>
  <c r="AC98" i="1" s="1"/>
  <c r="AL98" i="1"/>
  <c r="M98" i="1" s="1"/>
  <c r="AR274" i="1"/>
  <c r="Y274" i="1" s="1"/>
  <c r="AT271" i="1"/>
  <c r="AC271" i="1" s="1"/>
  <c r="AR266" i="1"/>
  <c r="Y266" i="1" s="1"/>
  <c r="AT258" i="1"/>
  <c r="AC258" i="1" s="1"/>
  <c r="AL258" i="1"/>
  <c r="M258" i="1" s="1"/>
  <c r="AT250" i="1"/>
  <c r="AC250" i="1" s="1"/>
  <c r="AL250" i="1"/>
  <c r="M250" i="1" s="1"/>
  <c r="AQ242" i="1"/>
  <c r="W242" i="1" s="1"/>
  <c r="AP239" i="1"/>
  <c r="U239" i="1" s="1"/>
  <c r="AP234" i="1"/>
  <c r="U234" i="1" s="1"/>
  <c r="AP226" i="1"/>
  <c r="U226" i="1" s="1"/>
  <c r="AP223" i="1"/>
  <c r="U223" i="1" s="1"/>
  <c r="AO218" i="1"/>
  <c r="S218" i="1" s="1"/>
  <c r="AM215" i="1"/>
  <c r="O215" i="1" s="1"/>
  <c r="AN210" i="1"/>
  <c r="Q210" i="1" s="1"/>
  <c r="AS202" i="1"/>
  <c r="AA202" i="1" s="1"/>
  <c r="AK202" i="1"/>
  <c r="K202" i="1" s="1"/>
  <c r="AQ194" i="1"/>
  <c r="W194" i="1" s="1"/>
  <c r="AP186" i="1"/>
  <c r="U186" i="1" s="1"/>
  <c r="AN178" i="1"/>
  <c r="Q178" i="1" s="1"/>
  <c r="AM170" i="1"/>
  <c r="O170" i="1" s="1"/>
  <c r="AS162" i="1"/>
  <c r="AA162" i="1" s="1"/>
  <c r="AK162" i="1"/>
  <c r="K162" i="1" s="1"/>
  <c r="AS154" i="1"/>
  <c r="AA154" i="1" s="1"/>
  <c r="AK154" i="1"/>
  <c r="K154" i="1" s="1"/>
  <c r="AR146" i="1"/>
  <c r="Y146" i="1" s="1"/>
  <c r="AR138" i="1"/>
  <c r="Y138" i="1" s="1"/>
  <c r="AP130" i="1"/>
  <c r="U130" i="1" s="1"/>
  <c r="AM122" i="1"/>
  <c r="O122" i="1" s="1"/>
  <c r="AM114" i="1"/>
  <c r="O114" i="1" s="1"/>
  <c r="AT106" i="1"/>
  <c r="AC106" i="1" s="1"/>
  <c r="AL106" i="1"/>
  <c r="M106" i="1" s="1"/>
  <c r="AS98" i="1"/>
  <c r="AA98" i="1" s="1"/>
  <c r="AK98" i="1"/>
  <c r="K98" i="1" s="1"/>
  <c r="AR90" i="1"/>
  <c r="Y90" i="1" s="1"/>
  <c r="AP66" i="1"/>
  <c r="U66" i="1" s="1"/>
  <c r="AO58" i="1"/>
  <c r="S58" i="1" s="1"/>
  <c r="AT50" i="1"/>
  <c r="AC50" i="1" s="1"/>
  <c r="AL50" i="1"/>
  <c r="M50" i="1" s="1"/>
  <c r="AR42" i="1"/>
  <c r="Y42" i="1" s="1"/>
  <c r="AO34" i="1"/>
  <c r="S34" i="1" s="1"/>
  <c r="AM26" i="1"/>
  <c r="O26" i="1" s="1"/>
  <c r="I180" i="1"/>
  <c r="AN274" i="1"/>
  <c r="Q274" i="1" s="1"/>
  <c r="AO98" i="1"/>
  <c r="S98" i="1" s="1"/>
  <c r="AQ26" i="1"/>
  <c r="W26" i="1" s="1"/>
  <c r="AQ274" i="1"/>
  <c r="W274" i="1" s="1"/>
  <c r="AQ266" i="1"/>
  <c r="W266" i="1" s="1"/>
  <c r="AS258" i="1"/>
  <c r="AA258" i="1" s="1"/>
  <c r="AK258" i="1"/>
  <c r="K258" i="1" s="1"/>
  <c r="AS250" i="1"/>
  <c r="AA250" i="1" s="1"/>
  <c r="AK250" i="1"/>
  <c r="K250" i="1" s="1"/>
  <c r="AP242" i="1"/>
  <c r="U242" i="1" s="1"/>
  <c r="AO234" i="1"/>
  <c r="S234" i="1" s="1"/>
  <c r="AO226" i="1"/>
  <c r="S226" i="1" s="1"/>
  <c r="AN218" i="1"/>
  <c r="Q218" i="1" s="1"/>
  <c r="AM210" i="1"/>
  <c r="O210" i="1" s="1"/>
  <c r="AR202" i="1"/>
  <c r="Y202" i="1" s="1"/>
  <c r="AP194" i="1"/>
  <c r="U194" i="1" s="1"/>
  <c r="AO186" i="1"/>
  <c r="S186" i="1" s="1"/>
  <c r="AM178" i="1"/>
  <c r="O178" i="1" s="1"/>
  <c r="AT170" i="1"/>
  <c r="AC170" i="1" s="1"/>
  <c r="AL170" i="1"/>
  <c r="M170" i="1" s="1"/>
  <c r="AR162" i="1"/>
  <c r="Y162" i="1" s="1"/>
  <c r="AR154" i="1"/>
  <c r="Y154" i="1" s="1"/>
  <c r="AQ146" i="1"/>
  <c r="W146" i="1" s="1"/>
  <c r="AQ138" i="1"/>
  <c r="W138" i="1" s="1"/>
  <c r="AO130" i="1"/>
  <c r="S130" i="1" s="1"/>
  <c r="AT122" i="1"/>
  <c r="AC122" i="1" s="1"/>
  <c r="AL122" i="1"/>
  <c r="M122" i="1" s="1"/>
  <c r="AT114" i="1"/>
  <c r="AC114" i="1" s="1"/>
  <c r="AL114" i="1"/>
  <c r="M114" i="1" s="1"/>
  <c r="AS106" i="1"/>
  <c r="AA106" i="1" s="1"/>
  <c r="AK106" i="1"/>
  <c r="K106" i="1" s="1"/>
  <c r="AR98" i="1"/>
  <c r="Y98" i="1" s="1"/>
  <c r="AQ90" i="1"/>
  <c r="W90" i="1" s="1"/>
  <c r="AO66" i="1"/>
  <c r="S66" i="1" s="1"/>
  <c r="AN58" i="1"/>
  <c r="Q58" i="1" s="1"/>
  <c r="AS50" i="1"/>
  <c r="AA50" i="1" s="1"/>
  <c r="AK50" i="1"/>
  <c r="K50" i="1" s="1"/>
  <c r="AQ42" i="1"/>
  <c r="W42" i="1" s="1"/>
  <c r="AN34" i="1"/>
  <c r="Q34" i="1" s="1"/>
  <c r="AT26" i="1"/>
  <c r="AC26" i="1" s="1"/>
  <c r="AL26" i="1"/>
  <c r="M26" i="1" s="1"/>
  <c r="I116" i="1"/>
  <c r="N115" i="6" s="1"/>
  <c r="I263" i="1"/>
  <c r="I150" i="1"/>
  <c r="AK230" i="1"/>
  <c r="K230" i="1" s="1"/>
  <c r="AP214" i="1"/>
  <c r="U214" i="1" s="1"/>
  <c r="AN198" i="1"/>
  <c r="Q198" i="1" s="1"/>
  <c r="AQ182" i="1"/>
  <c r="W182" i="1" s="1"/>
  <c r="AR166" i="1"/>
  <c r="Y166" i="1" s="1"/>
  <c r="AL142" i="1"/>
  <c r="M142" i="1" s="1"/>
  <c r="AO134" i="1"/>
  <c r="S134" i="1" s="1"/>
  <c r="AK102" i="1"/>
  <c r="K102" i="1" s="1"/>
  <c r="AP94" i="1"/>
  <c r="U94" i="1" s="1"/>
  <c r="AQ86" i="1"/>
  <c r="W86" i="1" s="1"/>
  <c r="AN78" i="1"/>
  <c r="Q78" i="1" s="1"/>
  <c r="AL70" i="1"/>
  <c r="M70" i="1" s="1"/>
  <c r="AO30" i="1"/>
  <c r="S30" i="1" s="1"/>
  <c r="AL22" i="1"/>
  <c r="M22" i="1" s="1"/>
  <c r="AT6" i="1"/>
  <c r="AC6" i="1" s="1"/>
  <c r="C155" i="3"/>
  <c r="I261" i="1"/>
  <c r="I175" i="1"/>
  <c r="I148" i="1"/>
  <c r="AG286" i="1"/>
  <c r="AQ262" i="1"/>
  <c r="W262" i="1" s="1"/>
  <c r="AO214" i="1"/>
  <c r="S214" i="1" s="1"/>
  <c r="AL198" i="1"/>
  <c r="M198" i="1" s="1"/>
  <c r="AM182" i="1"/>
  <c r="O182" i="1" s="1"/>
  <c r="AQ166" i="1"/>
  <c r="W166" i="1" s="1"/>
  <c r="AS150" i="1"/>
  <c r="AA150" i="1" s="1"/>
  <c r="AN134" i="1"/>
  <c r="Q134" i="1" s="1"/>
  <c r="AT126" i="1"/>
  <c r="AC126" i="1" s="1"/>
  <c r="AO94" i="1"/>
  <c r="S94" i="1" s="1"/>
  <c r="AP86" i="1"/>
  <c r="U86" i="1" s="1"/>
  <c r="AM78" i="1"/>
  <c r="O78" i="1" s="1"/>
  <c r="AK70" i="1"/>
  <c r="K70" i="1" s="1"/>
  <c r="AK22" i="1"/>
  <c r="K22" i="1" s="1"/>
  <c r="AS6" i="1"/>
  <c r="AA6" i="1" s="1"/>
  <c r="B158" i="3"/>
  <c r="B155" i="3"/>
  <c r="I103" i="1"/>
  <c r="I249" i="1"/>
  <c r="N248" i="6" s="1"/>
  <c r="AG278" i="1"/>
  <c r="AP262" i="1"/>
  <c r="U262" i="1" s="1"/>
  <c r="AT246" i="1"/>
  <c r="AC246" i="1" s="1"/>
  <c r="AM214" i="1"/>
  <c r="O214" i="1" s="1"/>
  <c r="AK198" i="1"/>
  <c r="K198" i="1" s="1"/>
  <c r="AL182" i="1"/>
  <c r="M182" i="1" s="1"/>
  <c r="AM166" i="1"/>
  <c r="O166" i="1" s="1"/>
  <c r="AR150" i="1"/>
  <c r="Y150" i="1" s="1"/>
  <c r="AL134" i="1"/>
  <c r="M134" i="1" s="1"/>
  <c r="AR126" i="1"/>
  <c r="Y126" i="1" s="1"/>
  <c r="AK86" i="1"/>
  <c r="K86" i="1" s="1"/>
  <c r="AM6" i="1"/>
  <c r="O6" i="1" s="1"/>
  <c r="I63" i="1"/>
  <c r="N62" i="6" s="1"/>
  <c r="I245" i="1"/>
  <c r="AR246" i="1"/>
  <c r="Y246" i="1" s="1"/>
  <c r="AL214" i="1"/>
  <c r="M214" i="1" s="1"/>
  <c r="AL166" i="1"/>
  <c r="M166" i="1" s="1"/>
  <c r="AP150" i="1"/>
  <c r="U150" i="1" s="1"/>
  <c r="AK134" i="1"/>
  <c r="K134" i="1" s="1"/>
  <c r="AO126" i="1"/>
  <c r="S126" i="1" s="1"/>
  <c r="AL6" i="1"/>
  <c r="M6" i="1" s="1"/>
  <c r="B91" i="3"/>
  <c r="I228" i="1"/>
  <c r="I167" i="1"/>
  <c r="AN262" i="1"/>
  <c r="Q262" i="1" s="1"/>
  <c r="AM262" i="1"/>
  <c r="O262" i="1" s="1"/>
  <c r="AQ246" i="1"/>
  <c r="W246" i="1" s="1"/>
  <c r="AS230" i="1"/>
  <c r="AA230" i="1" s="1"/>
  <c r="AO150" i="1"/>
  <c r="S150" i="1" s="1"/>
  <c r="AT142" i="1"/>
  <c r="AC142" i="1" s="1"/>
  <c r="AN126" i="1"/>
  <c r="Q126" i="1" s="1"/>
  <c r="AQ118" i="1"/>
  <c r="W118" i="1" s="1"/>
  <c r="AT110" i="1"/>
  <c r="AC110" i="1" s="1"/>
  <c r="B1" i="3"/>
  <c r="B3" i="6"/>
  <c r="B142" i="3"/>
  <c r="I166" i="1"/>
  <c r="N1" i="3"/>
  <c r="N3" i="6"/>
  <c r="I271" i="1"/>
  <c r="I200" i="1"/>
  <c r="N199" i="6" s="1"/>
  <c r="I163" i="1"/>
  <c r="I129" i="1"/>
  <c r="AL246" i="1"/>
  <c r="M246" i="1" s="1"/>
  <c r="AN230" i="1"/>
  <c r="Q230" i="1" s="1"/>
  <c r="AS198" i="1"/>
  <c r="AA198" i="1" s="1"/>
  <c r="AT182" i="1"/>
  <c r="AC182" i="1" s="1"/>
  <c r="AQ142" i="1"/>
  <c r="W142" i="1" s="1"/>
  <c r="AT134" i="1"/>
  <c r="AC134" i="1" s="1"/>
  <c r="AK118" i="1"/>
  <c r="K118" i="1" s="1"/>
  <c r="AP110" i="1"/>
  <c r="U110" i="1" s="1"/>
  <c r="AP102" i="1"/>
  <c r="U102" i="1" s="1"/>
  <c r="AS78" i="1"/>
  <c r="AA78" i="1" s="1"/>
  <c r="AP70" i="1"/>
  <c r="U70" i="1" s="1"/>
  <c r="AO62" i="1"/>
  <c r="S62" i="1" s="1"/>
  <c r="AR30" i="1"/>
  <c r="Y30" i="1" s="1"/>
  <c r="AS14" i="1"/>
  <c r="AA14" i="1" s="1"/>
  <c r="B219" i="3"/>
  <c r="I198" i="1"/>
  <c r="N197" i="6" s="1"/>
  <c r="I151" i="1"/>
  <c r="W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S217" i="1"/>
  <c r="AA217" i="1" s="1"/>
  <c r="AM169" i="1"/>
  <c r="O169" i="1" s="1"/>
  <c r="AQ129" i="1"/>
  <c r="W129" i="1" s="1"/>
  <c r="AT105" i="1"/>
  <c r="AC105" i="1" s="1"/>
  <c r="AO73" i="1"/>
  <c r="S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I131" i="1"/>
  <c r="N130" i="6" s="1"/>
  <c r="N110" i="3"/>
  <c r="AP275" i="1"/>
  <c r="U275" i="1" s="1"/>
  <c r="AM265" i="1"/>
  <c r="O265" i="1" s="1"/>
  <c r="AP257" i="1"/>
  <c r="U257" i="1" s="1"/>
  <c r="AT241" i="1"/>
  <c r="AC241" i="1" s="1"/>
  <c r="AN233" i="1"/>
  <c r="Q233" i="1" s="1"/>
  <c r="AO225" i="1"/>
  <c r="S225" i="1" s="1"/>
  <c r="AR211" i="1"/>
  <c r="Y211" i="1" s="1"/>
  <c r="AR193" i="1"/>
  <c r="Y193" i="1" s="1"/>
  <c r="AR185" i="1"/>
  <c r="Y185" i="1" s="1"/>
  <c r="AN129" i="1"/>
  <c r="Q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I265" i="1"/>
  <c r="N264" i="6" s="1"/>
  <c r="I243" i="1"/>
  <c r="N242" i="6" s="1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S161" i="1"/>
  <c r="AA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I177" i="1"/>
  <c r="N176" i="6" s="1"/>
  <c r="I124" i="1"/>
  <c r="N123" i="6" s="1"/>
  <c r="AR273" i="1"/>
  <c r="Y273" i="1" s="1"/>
  <c r="AO249" i="1"/>
  <c r="S249" i="1" s="1"/>
  <c r="AQ227" i="1"/>
  <c r="W227" i="1" s="1"/>
  <c r="AM209" i="1"/>
  <c r="O209" i="1" s="1"/>
  <c r="AP201" i="1"/>
  <c r="U201" i="1" s="1"/>
  <c r="AK137" i="1"/>
  <c r="K137" i="1" s="1"/>
  <c r="AK121" i="1"/>
  <c r="K121" i="1" s="1"/>
  <c r="AN97" i="1"/>
  <c r="Q97" i="1" s="1"/>
  <c r="AN83" i="1"/>
  <c r="Q83" i="1" s="1"/>
  <c r="AS43" i="1"/>
  <c r="AA43" i="1" s="1"/>
  <c r="AO17" i="1"/>
  <c r="S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I102" i="1"/>
  <c r="N101" i="6" s="1"/>
  <c r="I17" i="1"/>
  <c r="N16" i="6" s="1"/>
  <c r="I260" i="1"/>
  <c r="N259" i="6" s="1"/>
  <c r="I176" i="1"/>
  <c r="N175" i="6" s="1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I105" i="1"/>
  <c r="N104" i="6" s="1"/>
  <c r="N144" i="3"/>
  <c r="AK265" i="1"/>
  <c r="K265" i="1" s="1"/>
  <c r="AK233" i="1"/>
  <c r="K233" i="1" s="1"/>
  <c r="AS201" i="1"/>
  <c r="AA201" i="1" s="1"/>
  <c r="AQ97" i="1"/>
  <c r="W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Q273" i="1"/>
  <c r="W273" i="1" s="1"/>
  <c r="AT259" i="1"/>
  <c r="AC259" i="1" s="1"/>
  <c r="AN249" i="1"/>
  <c r="Q249" i="1" s="1"/>
  <c r="AO201" i="1"/>
  <c r="S201" i="1" s="1"/>
  <c r="AM177" i="1"/>
  <c r="O177" i="1" s="1"/>
  <c r="AP120" i="1"/>
  <c r="U120" i="1" s="1"/>
  <c r="AR81" i="1"/>
  <c r="Y81" i="1" s="1"/>
  <c r="AT75" i="1"/>
  <c r="AC75" i="1" s="1"/>
  <c r="AK51" i="1"/>
  <c r="K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I255" i="1"/>
  <c r="N254" i="6" s="1"/>
  <c r="N202" i="3"/>
  <c r="I153" i="1"/>
  <c r="N152" i="6" s="1"/>
  <c r="I143" i="1"/>
  <c r="N142" i="6" s="1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N257" i="1"/>
  <c r="Q257" i="1" s="1"/>
  <c r="AT153" i="1"/>
  <c r="AC153" i="1" s="1"/>
  <c r="AP17" i="1"/>
  <c r="U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143" i="3"/>
  <c r="N297" i="3"/>
  <c r="AP273" i="1"/>
  <c r="U273" i="1" s="1"/>
  <c r="AL259" i="1"/>
  <c r="M259" i="1" s="1"/>
  <c r="AP243" i="1"/>
  <c r="U243" i="1" s="1"/>
  <c r="AQ195" i="1"/>
  <c r="W195" i="1" s="1"/>
  <c r="AQ169" i="1"/>
  <c r="W169" i="1" s="1"/>
  <c r="AT73" i="1"/>
  <c r="AC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I201" i="1"/>
  <c r="N200" i="6" s="1"/>
  <c r="N169" i="3"/>
  <c r="N112" i="3"/>
  <c r="AG294" i="1"/>
  <c r="N291" i="3"/>
  <c r="N302" i="3"/>
  <c r="AG285" i="1"/>
  <c r="AG284" i="1"/>
  <c r="AG292" i="1"/>
  <c r="AG303" i="1"/>
  <c r="AG301" i="1"/>
  <c r="AG280" i="1"/>
  <c r="AG300" i="1"/>
  <c r="AO275" i="1"/>
  <c r="S275" i="1" s="1"/>
  <c r="AS259" i="1"/>
  <c r="AA259" i="1" s="1"/>
  <c r="AK259" i="1"/>
  <c r="K259" i="1" s="1"/>
  <c r="AO243" i="1"/>
  <c r="S243" i="1" s="1"/>
  <c r="AP227" i="1"/>
  <c r="U227" i="1" s="1"/>
  <c r="AQ211" i="1"/>
  <c r="W211" i="1" s="1"/>
  <c r="AP195" i="1"/>
  <c r="U195" i="1" s="1"/>
  <c r="AO179" i="1"/>
  <c r="S179" i="1" s="1"/>
  <c r="AN163" i="1"/>
  <c r="Q163" i="1" s="1"/>
  <c r="AL83" i="1"/>
  <c r="M83" i="1" s="1"/>
  <c r="AQ75" i="1"/>
  <c r="W75" i="1" s="1"/>
  <c r="AO67" i="1"/>
  <c r="S67" i="1" s="1"/>
  <c r="AN59" i="1"/>
  <c r="Q59" i="1" s="1"/>
  <c r="AR43" i="1"/>
  <c r="Y43" i="1" s="1"/>
  <c r="AP11" i="1"/>
  <c r="U11" i="1" s="1"/>
  <c r="AG293" i="1"/>
  <c r="AN275" i="1"/>
  <c r="Q275" i="1" s="1"/>
  <c r="AM263" i="1"/>
  <c r="O263" i="1" s="1"/>
  <c r="AO262" i="1"/>
  <c r="S262" i="1" s="1"/>
  <c r="AR259" i="1"/>
  <c r="Y259" i="1" s="1"/>
  <c r="AO255" i="1"/>
  <c r="S255" i="1" s="1"/>
  <c r="AS246" i="1"/>
  <c r="AA246" i="1" s="1"/>
  <c r="AK246" i="1"/>
  <c r="K246" i="1" s="1"/>
  <c r="AN243" i="1"/>
  <c r="Q243" i="1" s="1"/>
  <c r="AS239" i="1"/>
  <c r="AA239" i="1" s="1"/>
  <c r="AT230" i="1"/>
  <c r="AC230" i="1" s="1"/>
  <c r="AL230" i="1"/>
  <c r="M230" i="1" s="1"/>
  <c r="AO227" i="1"/>
  <c r="S227" i="1" s="1"/>
  <c r="AK219" i="1"/>
  <c r="K219" i="1" s="1"/>
  <c r="AN215" i="1"/>
  <c r="Q215" i="1" s="1"/>
  <c r="AN214" i="1"/>
  <c r="Q214" i="1" s="1"/>
  <c r="AP211" i="1"/>
  <c r="U211" i="1" s="1"/>
  <c r="AM198" i="1"/>
  <c r="O198" i="1" s="1"/>
  <c r="AO195" i="1"/>
  <c r="S195" i="1" s="1"/>
  <c r="AS182" i="1"/>
  <c r="AA182" i="1" s="1"/>
  <c r="AK182" i="1"/>
  <c r="K182" i="1" s="1"/>
  <c r="AN179" i="1"/>
  <c r="Q179" i="1" s="1"/>
  <c r="AS166" i="1"/>
  <c r="AA166" i="1" s="1"/>
  <c r="AK166" i="1"/>
  <c r="K166" i="1" s="1"/>
  <c r="AM163" i="1"/>
  <c r="O163" i="1" s="1"/>
  <c r="AP159" i="1"/>
  <c r="U159" i="1" s="1"/>
  <c r="AQ150" i="1"/>
  <c r="W150" i="1" s="1"/>
  <c r="AS142" i="1"/>
  <c r="AA142" i="1" s="1"/>
  <c r="AK142" i="1"/>
  <c r="K142" i="1" s="1"/>
  <c r="AQ135" i="1"/>
  <c r="W135" i="1" s="1"/>
  <c r="AM134" i="1"/>
  <c r="O134" i="1" s="1"/>
  <c r="AP126" i="1"/>
  <c r="U126" i="1" s="1"/>
  <c r="AR118" i="1"/>
  <c r="Y118" i="1" s="1"/>
  <c r="AR110" i="1"/>
  <c r="Y110" i="1" s="1"/>
  <c r="AR102" i="1"/>
  <c r="Y102" i="1" s="1"/>
  <c r="AQ94" i="1"/>
  <c r="W94" i="1" s="1"/>
  <c r="AS91" i="1"/>
  <c r="AA91" i="1" s="1"/>
  <c r="AR86" i="1"/>
  <c r="Y86" i="1" s="1"/>
  <c r="AK83" i="1"/>
  <c r="K83" i="1" s="1"/>
  <c r="AO78" i="1"/>
  <c r="S78" i="1" s="1"/>
  <c r="AP75" i="1"/>
  <c r="U75" i="1" s="1"/>
  <c r="AN70" i="1"/>
  <c r="Q70" i="1" s="1"/>
  <c r="AM67" i="1"/>
  <c r="O67" i="1" s="1"/>
  <c r="AL62" i="1"/>
  <c r="M62" i="1" s="1"/>
  <c r="AK59" i="1"/>
  <c r="K59" i="1" s="1"/>
  <c r="AQ43" i="1"/>
  <c r="W43" i="1" s="1"/>
  <c r="AN23" i="1"/>
  <c r="Q23" i="1" s="1"/>
  <c r="AN15" i="1"/>
  <c r="Q15" i="1" s="1"/>
  <c r="AO11" i="1"/>
  <c r="S11" i="1" s="1"/>
  <c r="AN6" i="1"/>
  <c r="Q6" i="1" s="1"/>
  <c r="AQ259" i="1"/>
  <c r="W259" i="1" s="1"/>
  <c r="AM243" i="1"/>
  <c r="O243" i="1" s="1"/>
  <c r="AM275" i="1"/>
  <c r="O275" i="1" s="1"/>
  <c r="AN227" i="1"/>
  <c r="Q227" i="1" s="1"/>
  <c r="AO211" i="1"/>
  <c r="S211" i="1" s="1"/>
  <c r="AN195" i="1"/>
  <c r="Q195" i="1" s="1"/>
  <c r="AM179" i="1"/>
  <c r="O179" i="1" s="1"/>
  <c r="AT163" i="1"/>
  <c r="AC163" i="1" s="1"/>
  <c r="AL163" i="1"/>
  <c r="M163" i="1" s="1"/>
  <c r="AT275" i="1"/>
  <c r="AC275" i="1" s="1"/>
  <c r="AL243" i="1"/>
  <c r="M243" i="1" s="1"/>
  <c r="AM195" i="1"/>
  <c r="O195" i="1" s="1"/>
  <c r="AL179" i="1"/>
  <c r="M179" i="1" s="1"/>
  <c r="AS163" i="1"/>
  <c r="AA163" i="1" s="1"/>
  <c r="AK163" i="1"/>
  <c r="K163" i="1" s="1"/>
  <c r="AN75" i="1"/>
  <c r="Q75" i="1" s="1"/>
  <c r="AP19" i="1"/>
  <c r="U19" i="1" s="1"/>
  <c r="AG288" i="1"/>
  <c r="AS275" i="1"/>
  <c r="AA275" i="1" s="1"/>
  <c r="AK275" i="1"/>
  <c r="K275" i="1" s="1"/>
  <c r="AR271" i="1"/>
  <c r="Y271" i="1" s="1"/>
  <c r="AS267" i="1"/>
  <c r="AA267" i="1" s="1"/>
  <c r="AT262" i="1"/>
  <c r="AC262" i="1" s="1"/>
  <c r="AL262" i="1"/>
  <c r="M262" i="1" s="1"/>
  <c r="AO259" i="1"/>
  <c r="S259" i="1" s="1"/>
  <c r="AT247" i="1"/>
  <c r="AC247" i="1" s="1"/>
  <c r="AP246" i="1"/>
  <c r="U246" i="1" s="1"/>
  <c r="AS243" i="1"/>
  <c r="AA243" i="1" s="1"/>
  <c r="AK243" i="1"/>
  <c r="K243" i="1" s="1"/>
  <c r="AN239" i="1"/>
  <c r="Q239" i="1" s="1"/>
  <c r="AQ230" i="1"/>
  <c r="W230" i="1" s="1"/>
  <c r="AT227" i="1"/>
  <c r="AC227" i="1" s="1"/>
  <c r="AL227" i="1"/>
  <c r="M227" i="1" s="1"/>
  <c r="AM223" i="1"/>
  <c r="O223" i="1" s="1"/>
  <c r="AS214" i="1"/>
  <c r="AA214" i="1" s="1"/>
  <c r="AK214" i="1"/>
  <c r="K214" i="1" s="1"/>
  <c r="AM211" i="1"/>
  <c r="O211" i="1" s="1"/>
  <c r="AP207" i="1"/>
  <c r="U207" i="1" s="1"/>
  <c r="AR198" i="1"/>
  <c r="Y198" i="1" s="1"/>
  <c r="AT195" i="1"/>
  <c r="AC195" i="1" s="1"/>
  <c r="AL195" i="1"/>
  <c r="M195" i="1" s="1"/>
  <c r="AO191" i="1"/>
  <c r="S191" i="1" s="1"/>
  <c r="AR183" i="1"/>
  <c r="Y183" i="1" s="1"/>
  <c r="AP182" i="1"/>
  <c r="U182" i="1" s="1"/>
  <c r="AS179" i="1"/>
  <c r="AA179" i="1" s="1"/>
  <c r="AK179" i="1"/>
  <c r="K179" i="1" s="1"/>
  <c r="AK175" i="1"/>
  <c r="K175" i="1" s="1"/>
  <c r="AT167" i="1"/>
  <c r="AC167" i="1" s="1"/>
  <c r="AP166" i="1"/>
  <c r="U166" i="1" s="1"/>
  <c r="AR163" i="1"/>
  <c r="Y163" i="1" s="1"/>
  <c r="AM158" i="1"/>
  <c r="O158" i="1" s="1"/>
  <c r="AP151" i="1"/>
  <c r="U151" i="1" s="1"/>
  <c r="AN150" i="1"/>
  <c r="Q150" i="1" s="1"/>
  <c r="AP142" i="1"/>
  <c r="U142" i="1" s="1"/>
  <c r="AR134" i="1"/>
  <c r="Y134" i="1" s="1"/>
  <c r="AS127" i="1"/>
  <c r="AA127" i="1" s="1"/>
  <c r="AM126" i="1"/>
  <c r="O126" i="1" s="1"/>
  <c r="AO118" i="1"/>
  <c r="S118" i="1" s="1"/>
  <c r="AT111" i="1"/>
  <c r="AC111" i="1" s="1"/>
  <c r="AN110" i="1"/>
  <c r="Q110" i="1" s="1"/>
  <c r="AN102" i="1"/>
  <c r="Q102" i="1" s="1"/>
  <c r="AN94" i="1"/>
  <c r="Q94" i="1" s="1"/>
  <c r="AS87" i="1"/>
  <c r="AA87" i="1" s="1"/>
  <c r="AO86" i="1"/>
  <c r="S86" i="1" s="1"/>
  <c r="AQ83" i="1"/>
  <c r="W83" i="1" s="1"/>
  <c r="AL78" i="1"/>
  <c r="M78" i="1" s="1"/>
  <c r="AM75" i="1"/>
  <c r="O75" i="1" s="1"/>
  <c r="AT70" i="1"/>
  <c r="AC70" i="1" s="1"/>
  <c r="AT67" i="1"/>
  <c r="AC67" i="1" s="1"/>
  <c r="AR54" i="1"/>
  <c r="Y54" i="1" s="1"/>
  <c r="AR51" i="1"/>
  <c r="Y51" i="1" s="1"/>
  <c r="AT31" i="1"/>
  <c r="AC31" i="1" s="1"/>
  <c r="AS22" i="1"/>
  <c r="AA22" i="1" s="1"/>
  <c r="AO19" i="1"/>
  <c r="S19" i="1" s="1"/>
  <c r="AN14" i="1"/>
  <c r="Q14" i="1" s="1"/>
  <c r="AT7" i="1"/>
  <c r="AC7" i="1" s="1"/>
  <c r="AG295" i="1"/>
  <c r="AT83" i="1"/>
  <c r="AC83" i="1" s="1"/>
  <c r="AL67" i="1"/>
  <c r="M67" i="1" s="1"/>
  <c r="AN11" i="1"/>
  <c r="Q11" i="1" s="1"/>
  <c r="AM227" i="1"/>
  <c r="O227" i="1" s="1"/>
  <c r="AN211" i="1"/>
  <c r="Q211" i="1" s="1"/>
  <c r="AT179" i="1"/>
  <c r="AC179" i="1" s="1"/>
  <c r="AK43" i="1"/>
  <c r="K43" i="1" s="1"/>
  <c r="AR275" i="1"/>
  <c r="Y275" i="1" s="1"/>
  <c r="AQ271" i="1"/>
  <c r="W271" i="1" s="1"/>
  <c r="AT263" i="1"/>
  <c r="AC263" i="1" s="1"/>
  <c r="AS262" i="1"/>
  <c r="AA262" i="1" s="1"/>
  <c r="AK262" i="1"/>
  <c r="K262" i="1" s="1"/>
  <c r="AN259" i="1"/>
  <c r="Q259" i="1" s="1"/>
  <c r="AS247" i="1"/>
  <c r="AA247" i="1" s="1"/>
  <c r="AO246" i="1"/>
  <c r="S246" i="1" s="1"/>
  <c r="AR243" i="1"/>
  <c r="Y243" i="1" s="1"/>
  <c r="AP230" i="1"/>
  <c r="U230" i="1" s="1"/>
  <c r="AS227" i="1"/>
  <c r="AA227" i="1" s="1"/>
  <c r="AK227" i="1"/>
  <c r="K227" i="1" s="1"/>
  <c r="AL223" i="1"/>
  <c r="M223" i="1" s="1"/>
  <c r="AR214" i="1"/>
  <c r="Y214" i="1" s="1"/>
  <c r="AT211" i="1"/>
  <c r="AC211" i="1" s="1"/>
  <c r="AL211" i="1"/>
  <c r="M211" i="1" s="1"/>
  <c r="AK207" i="1"/>
  <c r="K207" i="1" s="1"/>
  <c r="AQ198" i="1"/>
  <c r="W198" i="1" s="1"/>
  <c r="AS195" i="1"/>
  <c r="AA195" i="1" s="1"/>
  <c r="AK195" i="1"/>
  <c r="K195" i="1" s="1"/>
  <c r="AK191" i="1"/>
  <c r="K191" i="1" s="1"/>
  <c r="AP183" i="1"/>
  <c r="U183" i="1" s="1"/>
  <c r="AO182" i="1"/>
  <c r="S182" i="1" s="1"/>
  <c r="AR179" i="1"/>
  <c r="Y179" i="1" s="1"/>
  <c r="AN167" i="1"/>
  <c r="Q167" i="1" s="1"/>
  <c r="AO166" i="1"/>
  <c r="S166" i="1" s="1"/>
  <c r="AQ163" i="1"/>
  <c r="W163" i="1" s="1"/>
  <c r="AM151" i="1"/>
  <c r="O151" i="1" s="1"/>
  <c r="AM150" i="1"/>
  <c r="O150" i="1" s="1"/>
  <c r="AT143" i="1"/>
  <c r="AC143" i="1" s="1"/>
  <c r="AO142" i="1"/>
  <c r="S142" i="1" s="1"/>
  <c r="AQ134" i="1"/>
  <c r="W134" i="1" s="1"/>
  <c r="AN127" i="1"/>
  <c r="Q127" i="1" s="1"/>
  <c r="AL126" i="1"/>
  <c r="M126" i="1" s="1"/>
  <c r="AN118" i="1"/>
  <c r="Q118" i="1" s="1"/>
  <c r="AR111" i="1"/>
  <c r="Y111" i="1" s="1"/>
  <c r="AM110" i="1"/>
  <c r="O110" i="1" s="1"/>
  <c r="AR103" i="1"/>
  <c r="Y103" i="1" s="1"/>
  <c r="AM102" i="1"/>
  <c r="O102" i="1" s="1"/>
  <c r="AM94" i="1"/>
  <c r="O94" i="1" s="1"/>
  <c r="AP87" i="1"/>
  <c r="U87" i="1" s="1"/>
  <c r="AM86" i="1"/>
  <c r="O86" i="1" s="1"/>
  <c r="AP83" i="1"/>
  <c r="U83" i="1" s="1"/>
  <c r="AR79" i="1"/>
  <c r="Y79" i="1" s="1"/>
  <c r="AK78" i="1"/>
  <c r="K78" i="1" s="1"/>
  <c r="AL75" i="1"/>
  <c r="M75" i="1" s="1"/>
  <c r="AS70" i="1"/>
  <c r="AA70" i="1" s="1"/>
  <c r="AR67" i="1"/>
  <c r="Y67" i="1" s="1"/>
  <c r="AT62" i="1"/>
  <c r="AC62" i="1" s="1"/>
  <c r="AS59" i="1"/>
  <c r="AA59" i="1" s="1"/>
  <c r="AP54" i="1"/>
  <c r="U54" i="1" s="1"/>
  <c r="AQ51" i="1"/>
  <c r="W51" i="1" s="1"/>
  <c r="AQ31" i="1"/>
  <c r="W31" i="1" s="1"/>
  <c r="AR22" i="1"/>
  <c r="Y22" i="1" s="1"/>
  <c r="AN19" i="1"/>
  <c r="Q19" i="1" s="1"/>
  <c r="AM14" i="1"/>
  <c r="O14" i="1" s="1"/>
  <c r="AQ7" i="1"/>
  <c r="W7" i="1" s="1"/>
  <c r="I65" i="1"/>
  <c r="N64" i="6" s="1"/>
  <c r="AO75" i="1"/>
  <c r="S75" i="1" s="1"/>
  <c r="AT51" i="1"/>
  <c r="AC51" i="1" s="1"/>
  <c r="AL43" i="1"/>
  <c r="M43" i="1" s="1"/>
  <c r="AL275" i="1"/>
  <c r="M275" i="1" s="1"/>
  <c r="AP259" i="1"/>
  <c r="U259" i="1" s="1"/>
  <c r="AT243" i="1"/>
  <c r="AC243" i="1" s="1"/>
  <c r="AS83" i="1"/>
  <c r="AA83" i="1" s="1"/>
  <c r="AS51" i="1"/>
  <c r="AA51" i="1" s="1"/>
  <c r="AQ275" i="1"/>
  <c r="W275" i="1" s="1"/>
  <c r="AP271" i="1"/>
  <c r="U271" i="1" s="1"/>
  <c r="AS263" i="1"/>
  <c r="AA263" i="1" s="1"/>
  <c r="AR262" i="1"/>
  <c r="Y262" i="1" s="1"/>
  <c r="AM259" i="1"/>
  <c r="O259" i="1" s="1"/>
  <c r="AR255" i="1"/>
  <c r="Y255" i="1" s="1"/>
  <c r="AM251" i="1"/>
  <c r="O251" i="1" s="1"/>
  <c r="AL247" i="1"/>
  <c r="M247" i="1" s="1"/>
  <c r="AN246" i="1"/>
  <c r="Q246" i="1" s="1"/>
  <c r="AO230" i="1"/>
  <c r="S230" i="1" s="1"/>
  <c r="AR227" i="1"/>
  <c r="Y227" i="1" s="1"/>
  <c r="AK223" i="1"/>
  <c r="K223" i="1" s="1"/>
  <c r="AQ214" i="1"/>
  <c r="W214" i="1" s="1"/>
  <c r="AS211" i="1"/>
  <c r="AA211" i="1" s="1"/>
  <c r="AK211" i="1"/>
  <c r="K211" i="1" s="1"/>
  <c r="AR195" i="1"/>
  <c r="Y195" i="1" s="1"/>
  <c r="AO183" i="1"/>
  <c r="S183" i="1" s="1"/>
  <c r="AN182" i="1"/>
  <c r="Q182" i="1" s="1"/>
  <c r="AQ179" i="1"/>
  <c r="W179" i="1" s="1"/>
  <c r="AT150" i="1"/>
  <c r="AC150" i="1" s="1"/>
  <c r="AQ143" i="1"/>
  <c r="W143" i="1" s="1"/>
  <c r="AN142" i="1"/>
  <c r="Q142" i="1" s="1"/>
  <c r="AP134" i="1"/>
  <c r="U134" i="1" s="1"/>
  <c r="AK126" i="1"/>
  <c r="K126" i="1" s="1"/>
  <c r="AM118" i="1"/>
  <c r="O118" i="1" s="1"/>
  <c r="AQ111" i="1"/>
  <c r="W111" i="1" s="1"/>
  <c r="AL110" i="1"/>
  <c r="M110" i="1" s="1"/>
  <c r="AO103" i="1"/>
  <c r="S103" i="1" s="1"/>
  <c r="AL102" i="1"/>
  <c r="M102" i="1" s="1"/>
  <c r="AL94" i="1"/>
  <c r="M94" i="1" s="1"/>
  <c r="AO87" i="1"/>
  <c r="S87" i="1" s="1"/>
  <c r="AL86" i="1"/>
  <c r="M86" i="1" s="1"/>
  <c r="AO83" i="1"/>
  <c r="S83" i="1" s="1"/>
  <c r="AT78" i="1"/>
  <c r="AC78" i="1" s="1"/>
  <c r="AR70" i="1"/>
  <c r="Y70" i="1" s="1"/>
  <c r="AQ67" i="1"/>
  <c r="W67" i="1" s="1"/>
  <c r="AS62" i="1"/>
  <c r="AA62" i="1" s="1"/>
  <c r="AQ59" i="1"/>
  <c r="W59" i="1" s="1"/>
  <c r="AO54" i="1"/>
  <c r="S54" i="1" s="1"/>
  <c r="AL51" i="1"/>
  <c r="M51" i="1" s="1"/>
  <c r="AT39" i="1"/>
  <c r="AC39" i="1" s="1"/>
  <c r="AP31" i="1"/>
  <c r="U31" i="1" s="1"/>
  <c r="AM7" i="1"/>
  <c r="O7" i="1" s="1"/>
  <c r="AG296" i="1"/>
  <c r="AG298" i="1"/>
  <c r="AG281" i="1"/>
  <c r="AG279" i="1"/>
  <c r="AG282" i="1"/>
  <c r="AG287" i="1"/>
  <c r="AG289" i="1"/>
  <c r="AG305" i="1"/>
  <c r="AG299" i="1"/>
  <c r="AG283" i="1"/>
  <c r="AG304" i="1"/>
  <c r="AG290" i="1"/>
  <c r="AG297" i="1"/>
  <c r="AG291" i="1"/>
  <c r="AP185" i="1"/>
  <c r="U185" i="1" s="1"/>
  <c r="AT175" i="1"/>
  <c r="AC175" i="1" s="1"/>
  <c r="AS153" i="1"/>
  <c r="AA153" i="1" s="1"/>
  <c r="AO151" i="1"/>
  <c r="S151" i="1" s="1"/>
  <c r="AS65" i="1"/>
  <c r="AA65" i="1" s="1"/>
  <c r="AO241" i="1"/>
  <c r="S241" i="1" s="1"/>
  <c r="AP241" i="1"/>
  <c r="U241" i="1" s="1"/>
  <c r="AK241" i="1"/>
  <c r="K241" i="1" s="1"/>
  <c r="AS241" i="1"/>
  <c r="AA241" i="1" s="1"/>
  <c r="I193" i="1"/>
  <c r="N192" i="6" s="1"/>
  <c r="AK193" i="1"/>
  <c r="K193" i="1" s="1"/>
  <c r="AS193" i="1"/>
  <c r="AA193" i="1" s="1"/>
  <c r="AL193" i="1"/>
  <c r="M193" i="1" s="1"/>
  <c r="AT193" i="1"/>
  <c r="AC193" i="1" s="1"/>
  <c r="AO193" i="1"/>
  <c r="S193" i="1" s="1"/>
  <c r="AN177" i="1"/>
  <c r="Q177" i="1" s="1"/>
  <c r="AO177" i="1"/>
  <c r="S177" i="1" s="1"/>
  <c r="AR177" i="1"/>
  <c r="Y177" i="1" s="1"/>
  <c r="I169" i="1"/>
  <c r="N168" i="6" s="1"/>
  <c r="AO169" i="1"/>
  <c r="S169" i="1" s="1"/>
  <c r="AP169" i="1"/>
  <c r="U169" i="1" s="1"/>
  <c r="AK169" i="1"/>
  <c r="K169" i="1" s="1"/>
  <c r="AS169" i="1"/>
  <c r="AA169" i="1" s="1"/>
  <c r="I137" i="1"/>
  <c r="N136" i="6" s="1"/>
  <c r="AR137" i="1"/>
  <c r="Y137" i="1" s="1"/>
  <c r="AS137" i="1"/>
  <c r="AA137" i="1" s="1"/>
  <c r="AN137" i="1"/>
  <c r="Q137" i="1" s="1"/>
  <c r="AM129" i="1"/>
  <c r="O129" i="1" s="1"/>
  <c r="AT129" i="1"/>
  <c r="AC129" i="1" s="1"/>
  <c r="AK129" i="1"/>
  <c r="K129" i="1" s="1"/>
  <c r="AO129" i="1"/>
  <c r="S129" i="1" s="1"/>
  <c r="AP113" i="1"/>
  <c r="U113" i="1" s="1"/>
  <c r="AN113" i="1"/>
  <c r="Q113" i="1" s="1"/>
  <c r="AO113" i="1"/>
  <c r="S113" i="1" s="1"/>
  <c r="AT113" i="1"/>
  <c r="AC113" i="1" s="1"/>
  <c r="AM105" i="1"/>
  <c r="O105" i="1" s="1"/>
  <c r="AK105" i="1"/>
  <c r="K105" i="1" s="1"/>
  <c r="AL105" i="1"/>
  <c r="M105" i="1" s="1"/>
  <c r="AO105" i="1"/>
  <c r="S105" i="1" s="1"/>
  <c r="AQ105" i="1"/>
  <c r="W105" i="1" s="1"/>
  <c r="AO97" i="1"/>
  <c r="S97" i="1" s="1"/>
  <c r="AS97" i="1"/>
  <c r="AA97" i="1" s="1"/>
  <c r="AT97" i="1"/>
  <c r="AC97" i="1" s="1"/>
  <c r="AL97" i="1"/>
  <c r="M97" i="1" s="1"/>
  <c r="AM97" i="1"/>
  <c r="O97" i="1" s="1"/>
  <c r="AN81" i="1"/>
  <c r="Q81" i="1" s="1"/>
  <c r="AK81" i="1"/>
  <c r="K81" i="1" s="1"/>
  <c r="AO81" i="1"/>
  <c r="S81" i="1" s="1"/>
  <c r="AP81" i="1"/>
  <c r="U81" i="1" s="1"/>
  <c r="AQ9" i="1"/>
  <c r="W9" i="1" s="1"/>
  <c r="AR9" i="1"/>
  <c r="Y9" i="1" s="1"/>
  <c r="AM257" i="1"/>
  <c r="O257" i="1" s="1"/>
  <c r="AQ241" i="1"/>
  <c r="W241" i="1" s="1"/>
  <c r="AN185" i="1"/>
  <c r="Q185" i="1" s="1"/>
  <c r="I231" i="1"/>
  <c r="N230" i="6" s="1"/>
  <c r="AK231" i="1"/>
  <c r="K231" i="1" s="1"/>
  <c r="AS231" i="1"/>
  <c r="AA231" i="1" s="1"/>
  <c r="AL231" i="1"/>
  <c r="M231" i="1" s="1"/>
  <c r="AT231" i="1"/>
  <c r="AC231" i="1" s="1"/>
  <c r="AO231" i="1"/>
  <c r="S231" i="1" s="1"/>
  <c r="I215" i="1"/>
  <c r="N214" i="6" s="1"/>
  <c r="AO215" i="1"/>
  <c r="S215" i="1" s="1"/>
  <c r="AP215" i="1"/>
  <c r="U215" i="1" s="1"/>
  <c r="AK215" i="1"/>
  <c r="K215" i="1" s="1"/>
  <c r="AS215" i="1"/>
  <c r="AA215" i="1" s="1"/>
  <c r="AR143" i="1"/>
  <c r="Y143" i="1" s="1"/>
  <c r="AK143" i="1"/>
  <c r="K143" i="1" s="1"/>
  <c r="AS143" i="1"/>
  <c r="AA143" i="1" s="1"/>
  <c r="AN143" i="1"/>
  <c r="Q143" i="1" s="1"/>
  <c r="I135" i="1"/>
  <c r="N134" i="6" s="1"/>
  <c r="AK135" i="1"/>
  <c r="K135" i="1" s="1"/>
  <c r="AS135" i="1"/>
  <c r="AA135" i="1" s="1"/>
  <c r="AL135" i="1"/>
  <c r="M135" i="1" s="1"/>
  <c r="AT135" i="1"/>
  <c r="AC135" i="1" s="1"/>
  <c r="AO135" i="1"/>
  <c r="S135" i="1" s="1"/>
  <c r="I127" i="1"/>
  <c r="N126" i="6" s="1"/>
  <c r="AL127" i="1"/>
  <c r="M127" i="1" s="1"/>
  <c r="AT127" i="1"/>
  <c r="AC127" i="1" s="1"/>
  <c r="AM127" i="1"/>
  <c r="O127" i="1" s="1"/>
  <c r="AP127" i="1"/>
  <c r="U127" i="1" s="1"/>
  <c r="AK119" i="1"/>
  <c r="K119" i="1" s="1"/>
  <c r="AS119" i="1"/>
  <c r="AA119" i="1" s="1"/>
  <c r="AL119" i="1"/>
  <c r="M119" i="1" s="1"/>
  <c r="AT119" i="1"/>
  <c r="AC119" i="1" s="1"/>
  <c r="AO119" i="1"/>
  <c r="S119" i="1" s="1"/>
  <c r="AK95" i="1"/>
  <c r="K95" i="1" s="1"/>
  <c r="AS95" i="1"/>
  <c r="AA95" i="1" s="1"/>
  <c r="AL95" i="1"/>
  <c r="M95" i="1" s="1"/>
  <c r="AT95" i="1"/>
  <c r="AC95" i="1" s="1"/>
  <c r="I95" i="1"/>
  <c r="N94" i="6" s="1"/>
  <c r="AN95" i="1"/>
  <c r="Q95" i="1" s="1"/>
  <c r="AO95" i="1"/>
  <c r="S95" i="1" s="1"/>
  <c r="I79" i="1"/>
  <c r="N78" i="6" s="1"/>
  <c r="AL79" i="1"/>
  <c r="M79" i="1" s="1"/>
  <c r="AT79" i="1"/>
  <c r="AC79" i="1" s="1"/>
  <c r="AM79" i="1"/>
  <c r="O79" i="1" s="1"/>
  <c r="AO79" i="1"/>
  <c r="S79" i="1" s="1"/>
  <c r="AP79" i="1"/>
  <c r="U79" i="1" s="1"/>
  <c r="I71" i="1"/>
  <c r="N70" i="6" s="1"/>
  <c r="AN71" i="1"/>
  <c r="Q71" i="1" s="1"/>
  <c r="AO71" i="1"/>
  <c r="S71" i="1" s="1"/>
  <c r="AQ71" i="1"/>
  <c r="W71" i="1" s="1"/>
  <c r="AR71" i="1"/>
  <c r="Y71" i="1" s="1"/>
  <c r="I55" i="1"/>
  <c r="N54" i="6" s="1"/>
  <c r="AM55" i="1"/>
  <c r="O55" i="1" s="1"/>
  <c r="AP15" i="1"/>
  <c r="U15" i="1" s="1"/>
  <c r="AQ15" i="1"/>
  <c r="W15" i="1" s="1"/>
  <c r="AK15" i="1"/>
  <c r="K15" i="1" s="1"/>
  <c r="AS15" i="1"/>
  <c r="AA15" i="1" s="1"/>
  <c r="I15" i="1"/>
  <c r="N14" i="6" s="1"/>
  <c r="AL15" i="1"/>
  <c r="M15" i="1" s="1"/>
  <c r="AT15" i="1"/>
  <c r="AC15" i="1" s="1"/>
  <c r="I209" i="1"/>
  <c r="N208" i="6" s="1"/>
  <c r="AO209" i="1"/>
  <c r="S209" i="1" s="1"/>
  <c r="AP209" i="1"/>
  <c r="U209" i="1" s="1"/>
  <c r="AK209" i="1"/>
  <c r="K209" i="1" s="1"/>
  <c r="AS209" i="1"/>
  <c r="AA209" i="1" s="1"/>
  <c r="AQ201" i="1"/>
  <c r="W201" i="1" s="1"/>
  <c r="AR201" i="1"/>
  <c r="Y201" i="1" s="1"/>
  <c r="AM201" i="1"/>
  <c r="O201" i="1" s="1"/>
  <c r="I161" i="1"/>
  <c r="N160" i="6" s="1"/>
  <c r="AQ161" i="1"/>
  <c r="W161" i="1" s="1"/>
  <c r="AR161" i="1"/>
  <c r="Y161" i="1" s="1"/>
  <c r="AL161" i="1"/>
  <c r="M161" i="1" s="1"/>
  <c r="AK145" i="1"/>
  <c r="K145" i="1" s="1"/>
  <c r="AQ145" i="1"/>
  <c r="W145" i="1" s="1"/>
  <c r="AR145" i="1"/>
  <c r="Y145" i="1" s="1"/>
  <c r="AM145" i="1"/>
  <c r="O145" i="1" s="1"/>
  <c r="AO57" i="1"/>
  <c r="S57" i="1" s="1"/>
  <c r="AK57" i="1"/>
  <c r="K57" i="1" s="1"/>
  <c r="AM57" i="1"/>
  <c r="O57" i="1" s="1"/>
  <c r="AR57" i="1"/>
  <c r="Y57" i="1" s="1"/>
  <c r="AL257" i="1"/>
  <c r="M257" i="1" s="1"/>
  <c r="AN241" i="1"/>
  <c r="Q241" i="1" s="1"/>
  <c r="AP217" i="1"/>
  <c r="U217" i="1" s="1"/>
  <c r="AL201" i="1"/>
  <c r="M201" i="1" s="1"/>
  <c r="AN193" i="1"/>
  <c r="Q193" i="1" s="1"/>
  <c r="AN161" i="1"/>
  <c r="Q161" i="1" s="1"/>
  <c r="AO153" i="1"/>
  <c r="S153" i="1" s="1"/>
  <c r="AT145" i="1"/>
  <c r="AC145" i="1" s="1"/>
  <c r="AR113" i="1"/>
  <c r="Y113" i="1" s="1"/>
  <c r="AM65" i="1"/>
  <c r="O65" i="1" s="1"/>
  <c r="I239" i="1"/>
  <c r="N238" i="6" s="1"/>
  <c r="AQ239" i="1"/>
  <c r="W239" i="1" s="1"/>
  <c r="AR239" i="1"/>
  <c r="Y239" i="1" s="1"/>
  <c r="AM239" i="1"/>
  <c r="O239" i="1" s="1"/>
  <c r="I207" i="1"/>
  <c r="N206" i="6" s="1"/>
  <c r="AQ207" i="1"/>
  <c r="W207" i="1" s="1"/>
  <c r="AR207" i="1"/>
  <c r="Y207" i="1" s="1"/>
  <c r="AM207" i="1"/>
  <c r="O207" i="1" s="1"/>
  <c r="I191" i="1"/>
  <c r="N190" i="6" s="1"/>
  <c r="AM191" i="1"/>
  <c r="O191" i="1" s="1"/>
  <c r="AN191" i="1"/>
  <c r="Q191" i="1" s="1"/>
  <c r="AQ191" i="1"/>
  <c r="W191" i="1" s="1"/>
  <c r="I183" i="1"/>
  <c r="N182" i="6" s="1"/>
  <c r="AM183" i="1"/>
  <c r="O183" i="1" s="1"/>
  <c r="AN183" i="1"/>
  <c r="Q183" i="1" s="1"/>
  <c r="AQ183" i="1"/>
  <c r="W183" i="1" s="1"/>
  <c r="AQ167" i="1"/>
  <c r="W167" i="1" s="1"/>
  <c r="AR167" i="1"/>
  <c r="Y167" i="1" s="1"/>
  <c r="AM167" i="1"/>
  <c r="O167" i="1" s="1"/>
  <c r="I111" i="1"/>
  <c r="N110" i="6" s="1"/>
  <c r="AO111" i="1"/>
  <c r="S111" i="1" s="1"/>
  <c r="AP111" i="1"/>
  <c r="U111" i="1" s="1"/>
  <c r="AK111" i="1"/>
  <c r="K111" i="1" s="1"/>
  <c r="AS111" i="1"/>
  <c r="AA111" i="1" s="1"/>
  <c r="I7" i="1"/>
  <c r="N6" i="6" s="1"/>
  <c r="AO7" i="1"/>
  <c r="S7" i="1" s="1"/>
  <c r="AP7" i="1"/>
  <c r="U7" i="1" s="1"/>
  <c r="AR7" i="1"/>
  <c r="Y7" i="1" s="1"/>
  <c r="AK7" i="1"/>
  <c r="K7" i="1" s="1"/>
  <c r="AS7" i="1"/>
  <c r="AA7" i="1" s="1"/>
  <c r="AM273" i="1"/>
  <c r="O273" i="1" s="1"/>
  <c r="AO271" i="1"/>
  <c r="S271" i="1" s="1"/>
  <c r="AT223" i="1"/>
  <c r="AC223" i="1" s="1"/>
  <c r="AO217" i="1"/>
  <c r="S217" i="1" s="1"/>
  <c r="AR209" i="1"/>
  <c r="Y209" i="1" s="1"/>
  <c r="AK201" i="1"/>
  <c r="K201" i="1" s="1"/>
  <c r="AM193" i="1"/>
  <c r="O193" i="1" s="1"/>
  <c r="AS177" i="1"/>
  <c r="AA177" i="1" s="1"/>
  <c r="AS167" i="1"/>
  <c r="AA167" i="1" s="1"/>
  <c r="AM161" i="1"/>
  <c r="O161" i="1" s="1"/>
  <c r="AN153" i="1"/>
  <c r="Q153" i="1" s="1"/>
  <c r="AP145" i="1"/>
  <c r="U145" i="1" s="1"/>
  <c r="AM143" i="1"/>
  <c r="O143" i="1" s="1"/>
  <c r="AT137" i="1"/>
  <c r="AC137" i="1" s="1"/>
  <c r="AP135" i="1"/>
  <c r="U135" i="1" s="1"/>
  <c r="AR127" i="1"/>
  <c r="Y127" i="1" s="1"/>
  <c r="AQ119" i="1"/>
  <c r="W119" i="1" s="1"/>
  <c r="AQ113" i="1"/>
  <c r="W113" i="1" s="1"/>
  <c r="AL111" i="1"/>
  <c r="M111" i="1" s="1"/>
  <c r="AN105" i="1"/>
  <c r="Q105" i="1" s="1"/>
  <c r="AQ95" i="1"/>
  <c r="W95" i="1" s="1"/>
  <c r="AQ79" i="1"/>
  <c r="W79" i="1" s="1"/>
  <c r="AS71" i="1"/>
  <c r="AA71" i="1" s="1"/>
  <c r="AT57" i="1"/>
  <c r="AC57" i="1" s="1"/>
  <c r="AN25" i="1"/>
  <c r="Q25" i="1" s="1"/>
  <c r="AM15" i="1"/>
  <c r="O15" i="1" s="1"/>
  <c r="AL7" i="1"/>
  <c r="M7" i="1" s="1"/>
  <c r="AL249" i="1"/>
  <c r="M249" i="1" s="1"/>
  <c r="AT249" i="1"/>
  <c r="AC249" i="1" s="1"/>
  <c r="AM249" i="1"/>
  <c r="O249" i="1" s="1"/>
  <c r="AP249" i="1"/>
  <c r="U249" i="1" s="1"/>
  <c r="I233" i="1"/>
  <c r="N232" i="6" s="1"/>
  <c r="AQ233" i="1"/>
  <c r="W233" i="1" s="1"/>
  <c r="AR233" i="1"/>
  <c r="Y233" i="1" s="1"/>
  <c r="AM233" i="1"/>
  <c r="O233" i="1" s="1"/>
  <c r="I225" i="1"/>
  <c r="N224" i="6" s="1"/>
  <c r="AL225" i="1"/>
  <c r="M225" i="1" s="1"/>
  <c r="AT225" i="1"/>
  <c r="AC225" i="1" s="1"/>
  <c r="AM225" i="1"/>
  <c r="O225" i="1" s="1"/>
  <c r="AP225" i="1"/>
  <c r="U225" i="1" s="1"/>
  <c r="AP121" i="1"/>
  <c r="U121" i="1" s="1"/>
  <c r="AR121" i="1"/>
  <c r="Y121" i="1" s="1"/>
  <c r="AS121" i="1"/>
  <c r="AA121" i="1" s="1"/>
  <c r="AL121" i="1"/>
  <c r="M121" i="1" s="1"/>
  <c r="AO89" i="1"/>
  <c r="S89" i="1" s="1"/>
  <c r="AP89" i="1"/>
  <c r="U89" i="1" s="1"/>
  <c r="AQ89" i="1"/>
  <c r="W89" i="1" s="1"/>
  <c r="AT89" i="1"/>
  <c r="AC89" i="1" s="1"/>
  <c r="AK89" i="1"/>
  <c r="K89" i="1" s="1"/>
  <c r="I33" i="1"/>
  <c r="N32" i="6" s="1"/>
  <c r="AK33" i="1"/>
  <c r="K33" i="1" s="1"/>
  <c r="AL33" i="1"/>
  <c r="M33" i="1" s="1"/>
  <c r="AO273" i="1"/>
  <c r="S273" i="1" s="1"/>
  <c r="AN225" i="1"/>
  <c r="Q225" i="1" s="1"/>
  <c r="AN273" i="1"/>
  <c r="Q273" i="1" s="1"/>
  <c r="AT257" i="1"/>
  <c r="AC257" i="1" s="1"/>
  <c r="AT209" i="1"/>
  <c r="AC209" i="1" s="1"/>
  <c r="I199" i="1"/>
  <c r="N198" i="6" s="1"/>
  <c r="AK199" i="1"/>
  <c r="K199" i="1" s="1"/>
  <c r="AS199" i="1"/>
  <c r="AA199" i="1" s="1"/>
  <c r="AL199" i="1"/>
  <c r="M199" i="1" s="1"/>
  <c r="AT199" i="1"/>
  <c r="AC199" i="1" s="1"/>
  <c r="AO199" i="1"/>
  <c r="S199" i="1" s="1"/>
  <c r="AQ175" i="1"/>
  <c r="W175" i="1" s="1"/>
  <c r="AR175" i="1"/>
  <c r="Y175" i="1" s="1"/>
  <c r="AM175" i="1"/>
  <c r="O175" i="1" s="1"/>
  <c r="I159" i="1"/>
  <c r="N158" i="6" s="1"/>
  <c r="AR159" i="1"/>
  <c r="Y159" i="1" s="1"/>
  <c r="AK159" i="1"/>
  <c r="K159" i="1" s="1"/>
  <c r="AS159" i="1"/>
  <c r="AA159" i="1" s="1"/>
  <c r="AN159" i="1"/>
  <c r="Q159" i="1" s="1"/>
  <c r="AR151" i="1"/>
  <c r="Y151" i="1" s="1"/>
  <c r="AK151" i="1"/>
  <c r="K151" i="1" s="1"/>
  <c r="AS151" i="1"/>
  <c r="AA151" i="1" s="1"/>
  <c r="AN151" i="1"/>
  <c r="Q151" i="1" s="1"/>
  <c r="AM103" i="1"/>
  <c r="O103" i="1" s="1"/>
  <c r="AN103" i="1"/>
  <c r="Q103" i="1" s="1"/>
  <c r="AP103" i="1"/>
  <c r="U103" i="1" s="1"/>
  <c r="AQ103" i="1"/>
  <c r="W103" i="1" s="1"/>
  <c r="I87" i="1"/>
  <c r="N86" i="6" s="1"/>
  <c r="AQ87" i="1"/>
  <c r="W87" i="1" s="1"/>
  <c r="AR87" i="1"/>
  <c r="Y87" i="1" s="1"/>
  <c r="AL87" i="1"/>
  <c r="M87" i="1" s="1"/>
  <c r="AT87" i="1"/>
  <c r="AC87" i="1" s="1"/>
  <c r="AM87" i="1"/>
  <c r="O87" i="1" s="1"/>
  <c r="I47" i="1"/>
  <c r="N46" i="6" s="1"/>
  <c r="AK47" i="1"/>
  <c r="K47" i="1" s="1"/>
  <c r="AS47" i="1"/>
  <c r="AA47" i="1" s="1"/>
  <c r="AL47" i="1"/>
  <c r="M47" i="1" s="1"/>
  <c r="AT47" i="1"/>
  <c r="AC47" i="1" s="1"/>
  <c r="AN47" i="1"/>
  <c r="Q47" i="1" s="1"/>
  <c r="AO47" i="1"/>
  <c r="S47" i="1" s="1"/>
  <c r="I39" i="1"/>
  <c r="N38" i="6" s="1"/>
  <c r="AO39" i="1"/>
  <c r="S39" i="1" s="1"/>
  <c r="AP39" i="1"/>
  <c r="U39" i="1" s="1"/>
  <c r="AR39" i="1"/>
  <c r="Y39" i="1" s="1"/>
  <c r="AK39" i="1"/>
  <c r="K39" i="1" s="1"/>
  <c r="AS39" i="1"/>
  <c r="AA39" i="1" s="1"/>
  <c r="I31" i="1"/>
  <c r="N30" i="6" s="1"/>
  <c r="AR31" i="1"/>
  <c r="Y31" i="1" s="1"/>
  <c r="AK31" i="1"/>
  <c r="K31" i="1" s="1"/>
  <c r="AS31" i="1"/>
  <c r="AA31" i="1" s="1"/>
  <c r="AM31" i="1"/>
  <c r="O31" i="1" s="1"/>
  <c r="AN31" i="1"/>
  <c r="Q31" i="1" s="1"/>
  <c r="I23" i="1"/>
  <c r="N22" i="6" s="1"/>
  <c r="AO23" i="1"/>
  <c r="S23" i="1" s="1"/>
  <c r="AP23" i="1"/>
  <c r="U23" i="1" s="1"/>
  <c r="AR23" i="1"/>
  <c r="Y23" i="1" s="1"/>
  <c r="AK23" i="1"/>
  <c r="K23" i="1" s="1"/>
  <c r="AS23" i="1"/>
  <c r="AA23" i="1" s="1"/>
  <c r="AP265" i="1"/>
  <c r="U265" i="1" s="1"/>
  <c r="AR263" i="1"/>
  <c r="Y263" i="1" s="1"/>
  <c r="AS257" i="1"/>
  <c r="AA257" i="1" s="1"/>
  <c r="AK257" i="1"/>
  <c r="K257" i="1" s="1"/>
  <c r="AM255" i="1"/>
  <c r="O255" i="1" s="1"/>
  <c r="AS249" i="1"/>
  <c r="AA249" i="1" s="1"/>
  <c r="AQ247" i="1"/>
  <c r="W247" i="1" s="1"/>
  <c r="AM241" i="1"/>
  <c r="O241" i="1" s="1"/>
  <c r="AK239" i="1"/>
  <c r="K239" i="1" s="1"/>
  <c r="AS233" i="1"/>
  <c r="AA233" i="1" s="1"/>
  <c r="AP231" i="1"/>
  <c r="U231" i="1" s="1"/>
  <c r="AL215" i="1"/>
  <c r="M215" i="1" s="1"/>
  <c r="AO207" i="1"/>
  <c r="S207" i="1" s="1"/>
  <c r="AT273" i="1"/>
  <c r="AC273" i="1" s="1"/>
  <c r="AL273" i="1"/>
  <c r="M273" i="1" s="1"/>
  <c r="AN271" i="1"/>
  <c r="Q271" i="1" s="1"/>
  <c r="AO265" i="1"/>
  <c r="S265" i="1" s="1"/>
  <c r="AQ263" i="1"/>
  <c r="W263" i="1" s="1"/>
  <c r="AR257" i="1"/>
  <c r="Y257" i="1" s="1"/>
  <c r="AT255" i="1"/>
  <c r="AC255" i="1" s="1"/>
  <c r="AK255" i="1"/>
  <c r="K255" i="1" s="1"/>
  <c r="AR249" i="1"/>
  <c r="Y249" i="1" s="1"/>
  <c r="AL241" i="1"/>
  <c r="M241" i="1" s="1"/>
  <c r="AP233" i="1"/>
  <c r="U233" i="1" s="1"/>
  <c r="AN231" i="1"/>
  <c r="Q231" i="1" s="1"/>
  <c r="AQ209" i="1"/>
  <c r="W209" i="1" s="1"/>
  <c r="AN207" i="1"/>
  <c r="Q207" i="1" s="1"/>
  <c r="AR199" i="1"/>
  <c r="Y199" i="1" s="1"/>
  <c r="AT191" i="1"/>
  <c r="AC191" i="1" s="1"/>
  <c r="AT183" i="1"/>
  <c r="AC183" i="1" s="1"/>
  <c r="AQ177" i="1"/>
  <c r="W177" i="1" s="1"/>
  <c r="AO175" i="1"/>
  <c r="S175" i="1" s="1"/>
  <c r="AT169" i="1"/>
  <c r="AC169" i="1" s="1"/>
  <c r="AP167" i="1"/>
  <c r="U167" i="1" s="1"/>
  <c r="AK161" i="1"/>
  <c r="K161" i="1" s="1"/>
  <c r="AO145" i="1"/>
  <c r="S145" i="1" s="1"/>
  <c r="AL143" i="1"/>
  <c r="M143" i="1" s="1"/>
  <c r="AQ137" i="1"/>
  <c r="W137" i="1" s="1"/>
  <c r="AN135" i="1"/>
  <c r="Q135" i="1" s="1"/>
  <c r="AQ127" i="1"/>
  <c r="W127" i="1" s="1"/>
  <c r="AT121" i="1"/>
  <c r="AC121" i="1" s="1"/>
  <c r="AP119" i="1"/>
  <c r="U119" i="1" s="1"/>
  <c r="AM113" i="1"/>
  <c r="O113" i="1" s="1"/>
  <c r="AT103" i="1"/>
  <c r="AC103" i="1" s="1"/>
  <c r="AP95" i="1"/>
  <c r="U95" i="1" s="1"/>
  <c r="AM89" i="1"/>
  <c r="O89" i="1" s="1"/>
  <c r="AN79" i="1"/>
  <c r="Q79" i="1" s="1"/>
  <c r="AP71" i="1"/>
  <c r="U71" i="1" s="1"/>
  <c r="AS57" i="1"/>
  <c r="AA57" i="1" s="1"/>
  <c r="AR47" i="1"/>
  <c r="Y47" i="1" s="1"/>
  <c r="AN39" i="1"/>
  <c r="Q39" i="1" s="1"/>
  <c r="AN33" i="1"/>
  <c r="Q33" i="1" s="1"/>
  <c r="I264" i="1"/>
  <c r="N263" i="6" s="1"/>
  <c r="I217" i="1"/>
  <c r="N216" i="6" s="1"/>
  <c r="AM217" i="1"/>
  <c r="O217" i="1" s="1"/>
  <c r="AN217" i="1"/>
  <c r="Q217" i="1" s="1"/>
  <c r="AQ217" i="1"/>
  <c r="W217" i="1" s="1"/>
  <c r="I185" i="1"/>
  <c r="N184" i="6" s="1"/>
  <c r="AK185" i="1"/>
  <c r="K185" i="1" s="1"/>
  <c r="AS185" i="1"/>
  <c r="AA185" i="1" s="1"/>
  <c r="AL185" i="1"/>
  <c r="M185" i="1" s="1"/>
  <c r="AT185" i="1"/>
  <c r="AC185" i="1" s="1"/>
  <c r="AO185" i="1"/>
  <c r="S185" i="1" s="1"/>
  <c r="AQ153" i="1"/>
  <c r="W153" i="1" s="1"/>
  <c r="AP153" i="1"/>
  <c r="U153" i="1" s="1"/>
  <c r="AR153" i="1"/>
  <c r="Y153" i="1" s="1"/>
  <c r="AL153" i="1"/>
  <c r="M153" i="1" s="1"/>
  <c r="AS73" i="1"/>
  <c r="AA73" i="1" s="1"/>
  <c r="AL73" i="1"/>
  <c r="M73" i="1" s="1"/>
  <c r="AN73" i="1"/>
  <c r="Q73" i="1" s="1"/>
  <c r="AP73" i="1"/>
  <c r="U73" i="1" s="1"/>
  <c r="AQ73" i="1"/>
  <c r="W73" i="1" s="1"/>
  <c r="AQ65" i="1"/>
  <c r="W65" i="1" s="1"/>
  <c r="AP65" i="1"/>
  <c r="U65" i="1" s="1"/>
  <c r="AR65" i="1"/>
  <c r="Y65" i="1" s="1"/>
  <c r="AT65" i="1"/>
  <c r="AC65" i="1" s="1"/>
  <c r="AO25" i="1"/>
  <c r="S25" i="1" s="1"/>
  <c r="AP25" i="1"/>
  <c r="U25" i="1" s="1"/>
  <c r="AR265" i="1"/>
  <c r="Y265" i="1" s="1"/>
  <c r="AR217" i="1"/>
  <c r="Y217" i="1" s="1"/>
  <c r="AQ265" i="1"/>
  <c r="W265" i="1" s="1"/>
  <c r="AT177" i="1"/>
  <c r="AC177" i="1" s="1"/>
  <c r="AR105" i="1"/>
  <c r="Y105" i="1" s="1"/>
  <c r="AS89" i="1"/>
  <c r="AA89" i="1" s="1"/>
  <c r="I247" i="1"/>
  <c r="N246" i="6" s="1"/>
  <c r="AN247" i="1"/>
  <c r="Q247" i="1" s="1"/>
  <c r="AO247" i="1"/>
  <c r="S247" i="1" s="1"/>
  <c r="AR247" i="1"/>
  <c r="Y247" i="1" s="1"/>
  <c r="I223" i="1"/>
  <c r="N222" i="6" s="1"/>
  <c r="AN223" i="1"/>
  <c r="Q223" i="1" s="1"/>
  <c r="AO223" i="1"/>
  <c r="S223" i="1" s="1"/>
  <c r="AR223" i="1"/>
  <c r="Y223" i="1" s="1"/>
  <c r="AS273" i="1"/>
  <c r="AA273" i="1" s="1"/>
  <c r="AK273" i="1"/>
  <c r="K273" i="1" s="1"/>
  <c r="AQ257" i="1"/>
  <c r="W257" i="1" s="1"/>
  <c r="AS255" i="1"/>
  <c r="AA255" i="1" s="1"/>
  <c r="AQ249" i="1"/>
  <c r="W249" i="1" s="1"/>
  <c r="AM247" i="1"/>
  <c r="O247" i="1" s="1"/>
  <c r="AT239" i="1"/>
  <c r="AC239" i="1" s="1"/>
  <c r="AO233" i="1"/>
  <c r="S233" i="1" s="1"/>
  <c r="AM231" i="1"/>
  <c r="O231" i="1" s="1"/>
  <c r="AS225" i="1"/>
  <c r="AA225" i="1" s="1"/>
  <c r="AQ223" i="1"/>
  <c r="W223" i="1" s="1"/>
  <c r="AK217" i="1"/>
  <c r="K217" i="1" s="1"/>
  <c r="AN209" i="1"/>
  <c r="Q209" i="1" s="1"/>
  <c r="AL207" i="1"/>
  <c r="M207" i="1" s="1"/>
  <c r="AT201" i="1"/>
  <c r="AC201" i="1" s="1"/>
  <c r="AQ199" i="1"/>
  <c r="W199" i="1" s="1"/>
  <c r="AS191" i="1"/>
  <c r="AA191" i="1" s="1"/>
  <c r="AS183" i="1"/>
  <c r="AA183" i="1" s="1"/>
  <c r="AP177" i="1"/>
  <c r="U177" i="1" s="1"/>
  <c r="AN175" i="1"/>
  <c r="Q175" i="1" s="1"/>
  <c r="AR169" i="1"/>
  <c r="Y169" i="1" s="1"/>
  <c r="AO167" i="1"/>
  <c r="S167" i="1" s="1"/>
  <c r="AT159" i="1"/>
  <c r="AC159" i="1" s="1"/>
  <c r="AK153" i="1"/>
  <c r="K153" i="1" s="1"/>
  <c r="AN145" i="1"/>
  <c r="Q145" i="1" s="1"/>
  <c r="AP137" i="1"/>
  <c r="U137" i="1" s="1"/>
  <c r="AM135" i="1"/>
  <c r="O135" i="1" s="1"/>
  <c r="AS129" i="1"/>
  <c r="AA129" i="1" s="1"/>
  <c r="AO127" i="1"/>
  <c r="S127" i="1" s="1"/>
  <c r="AQ121" i="1"/>
  <c r="W121" i="1" s="1"/>
  <c r="AN119" i="1"/>
  <c r="Q119" i="1" s="1"/>
  <c r="AL113" i="1"/>
  <c r="M113" i="1" s="1"/>
  <c r="AS103" i="1"/>
  <c r="AA103" i="1" s="1"/>
  <c r="AM95" i="1"/>
  <c r="O95" i="1" s="1"/>
  <c r="AL89" i="1"/>
  <c r="M89" i="1" s="1"/>
  <c r="AS81" i="1"/>
  <c r="AA81" i="1" s="1"/>
  <c r="AK79" i="1"/>
  <c r="K79" i="1" s="1"/>
  <c r="AM71" i="1"/>
  <c r="O71" i="1" s="1"/>
  <c r="AL57" i="1"/>
  <c r="M57" i="1" s="1"/>
  <c r="AQ47" i="1"/>
  <c r="W47" i="1" s="1"/>
  <c r="AM39" i="1"/>
  <c r="O39" i="1" s="1"/>
  <c r="AM33" i="1"/>
  <c r="O33" i="1" s="1"/>
  <c r="AT23" i="1"/>
  <c r="AC23" i="1" s="1"/>
  <c r="AQ17" i="1"/>
  <c r="W17" i="1" s="1"/>
  <c r="AP9" i="1"/>
  <c r="U9" i="1" s="1"/>
  <c r="I139" i="1"/>
  <c r="N138" i="6" s="1"/>
  <c r="AQ268" i="1"/>
  <c r="W268" i="1" s="1"/>
  <c r="I268" i="1"/>
  <c r="N267" i="6" s="1"/>
  <c r="AQ252" i="1"/>
  <c r="W252" i="1" s="1"/>
  <c r="I252" i="1"/>
  <c r="N251" i="6" s="1"/>
  <c r="AR196" i="1"/>
  <c r="Y196" i="1" s="1"/>
  <c r="I196" i="1"/>
  <c r="N195" i="6" s="1"/>
  <c r="AP161" i="1"/>
  <c r="U161" i="1" s="1"/>
  <c r="AS145" i="1"/>
  <c r="AA145" i="1" s="1"/>
  <c r="AM137" i="1"/>
  <c r="O137" i="1" s="1"/>
  <c r="AP129" i="1"/>
  <c r="U129" i="1" s="1"/>
  <c r="AP105" i="1"/>
  <c r="U105" i="1" s="1"/>
  <c r="AS102" i="1"/>
  <c r="AA102" i="1" s="1"/>
  <c r="AP97" i="1"/>
  <c r="U97" i="1" s="1"/>
  <c r="AS33" i="1"/>
  <c r="AA33" i="1" s="1"/>
  <c r="I251" i="1"/>
  <c r="N250" i="6" s="1"/>
  <c r="AQ244" i="1"/>
  <c r="W244" i="1" s="1"/>
  <c r="I244" i="1"/>
  <c r="N243" i="6" s="1"/>
  <c r="AQ220" i="1"/>
  <c r="W220" i="1" s="1"/>
  <c r="I220" i="1"/>
  <c r="N219" i="6" s="1"/>
  <c r="AL188" i="1"/>
  <c r="M188" i="1" s="1"/>
  <c r="I188" i="1"/>
  <c r="N187" i="6" s="1"/>
  <c r="AQ267" i="1"/>
  <c r="W267" i="1" s="1"/>
  <c r="I267" i="1"/>
  <c r="N266" i="6" s="1"/>
  <c r="AK235" i="1"/>
  <c r="K235" i="1" s="1"/>
  <c r="I235" i="1"/>
  <c r="N234" i="6" s="1"/>
  <c r="AN203" i="1"/>
  <c r="Q203" i="1" s="1"/>
  <c r="I203" i="1"/>
  <c r="N202" i="6" s="1"/>
  <c r="I83" i="1"/>
  <c r="N82" i="6" s="1"/>
  <c r="AR83" i="1"/>
  <c r="Y83" i="1" s="1"/>
  <c r="I75" i="1"/>
  <c r="N74" i="6" s="1"/>
  <c r="AK75" i="1"/>
  <c r="K75" i="1" s="1"/>
  <c r="AS75" i="1"/>
  <c r="AA75" i="1" s="1"/>
  <c r="I67" i="1"/>
  <c r="N66" i="6" s="1"/>
  <c r="AK67" i="1"/>
  <c r="K67" i="1" s="1"/>
  <c r="AS67" i="1"/>
  <c r="AA67" i="1" s="1"/>
  <c r="I59" i="1"/>
  <c r="N58" i="6" s="1"/>
  <c r="AR59" i="1"/>
  <c r="Y59" i="1" s="1"/>
  <c r="AL59" i="1"/>
  <c r="M59" i="1" s="1"/>
  <c r="AT59" i="1"/>
  <c r="AC59" i="1" s="1"/>
  <c r="AM59" i="1"/>
  <c r="O59" i="1" s="1"/>
  <c r="I51" i="1"/>
  <c r="N50" i="6" s="1"/>
  <c r="AM51" i="1"/>
  <c r="O51" i="1" s="1"/>
  <c r="AO51" i="1"/>
  <c r="S51" i="1" s="1"/>
  <c r="AP51" i="1"/>
  <c r="U51" i="1" s="1"/>
  <c r="I43" i="1"/>
  <c r="N42" i="6" s="1"/>
  <c r="AM43" i="1"/>
  <c r="O43" i="1" s="1"/>
  <c r="AN43" i="1"/>
  <c r="Q43" i="1" s="1"/>
  <c r="AO43" i="1"/>
  <c r="S43" i="1" s="1"/>
  <c r="AP43" i="1"/>
  <c r="U43" i="1" s="1"/>
  <c r="I19" i="1"/>
  <c r="N18" i="6" s="1"/>
  <c r="AQ19" i="1"/>
  <c r="W19" i="1" s="1"/>
  <c r="AR19" i="1"/>
  <c r="Y19" i="1" s="1"/>
  <c r="AK19" i="1"/>
  <c r="K19" i="1" s="1"/>
  <c r="AS19" i="1"/>
  <c r="AA19" i="1" s="1"/>
  <c r="AL19" i="1"/>
  <c r="M19" i="1" s="1"/>
  <c r="AT19" i="1"/>
  <c r="AC19" i="1" s="1"/>
  <c r="I11" i="1"/>
  <c r="N10" i="6" s="1"/>
  <c r="AQ11" i="1"/>
  <c r="W11" i="1" s="1"/>
  <c r="AR11" i="1"/>
  <c r="Y11" i="1" s="1"/>
  <c r="AK11" i="1"/>
  <c r="K11" i="1" s="1"/>
  <c r="AS11" i="1"/>
  <c r="AA11" i="1" s="1"/>
  <c r="AL11" i="1"/>
  <c r="M11" i="1" s="1"/>
  <c r="AT11" i="1"/>
  <c r="AC11" i="1" s="1"/>
  <c r="I97" i="1"/>
  <c r="N96" i="6" s="1"/>
  <c r="AQ204" i="1"/>
  <c r="W204" i="1" s="1"/>
  <c r="I204" i="1"/>
  <c r="N203" i="6" s="1"/>
  <c r="AQ270" i="1"/>
  <c r="W270" i="1" s="1"/>
  <c r="I270" i="1"/>
  <c r="N269" i="6" s="1"/>
  <c r="AM254" i="1"/>
  <c r="O254" i="1" s="1"/>
  <c r="I254" i="1"/>
  <c r="N253" i="6" s="1"/>
  <c r="AK238" i="1"/>
  <c r="K238" i="1" s="1"/>
  <c r="I238" i="1"/>
  <c r="N237" i="6" s="1"/>
  <c r="AS222" i="1"/>
  <c r="AA222" i="1" s="1"/>
  <c r="I222" i="1"/>
  <c r="N221" i="6" s="1"/>
  <c r="AK206" i="1"/>
  <c r="K206" i="1" s="1"/>
  <c r="I206" i="1"/>
  <c r="N205" i="6" s="1"/>
  <c r="I126" i="1"/>
  <c r="N125" i="6" s="1"/>
  <c r="AQ126" i="1"/>
  <c r="W126" i="1" s="1"/>
  <c r="I118" i="1"/>
  <c r="N117" i="6" s="1"/>
  <c r="AL118" i="1"/>
  <c r="M118" i="1" s="1"/>
  <c r="AT118" i="1"/>
  <c r="AC118" i="1" s="1"/>
  <c r="I110" i="1"/>
  <c r="N109" i="6" s="1"/>
  <c r="AO110" i="1"/>
  <c r="S110" i="1" s="1"/>
  <c r="I94" i="1"/>
  <c r="N93" i="6" s="1"/>
  <c r="AK94" i="1"/>
  <c r="K94" i="1" s="1"/>
  <c r="AS94" i="1"/>
  <c r="AA94" i="1" s="1"/>
  <c r="I86" i="1"/>
  <c r="N85" i="6" s="1"/>
  <c r="AN86" i="1"/>
  <c r="Q86" i="1" s="1"/>
  <c r="I78" i="1"/>
  <c r="N77" i="6" s="1"/>
  <c r="AP78" i="1"/>
  <c r="U78" i="1" s="1"/>
  <c r="I70" i="1"/>
  <c r="N69" i="6" s="1"/>
  <c r="AQ70" i="1"/>
  <c r="W70" i="1" s="1"/>
  <c r="I62" i="1"/>
  <c r="N61" i="6" s="1"/>
  <c r="AN62" i="1"/>
  <c r="Q62" i="1" s="1"/>
  <c r="AP62" i="1"/>
  <c r="U62" i="1" s="1"/>
  <c r="AQ62" i="1"/>
  <c r="W62" i="1" s="1"/>
  <c r="I54" i="1"/>
  <c r="N53" i="6" s="1"/>
  <c r="AQ54" i="1"/>
  <c r="W54" i="1" s="1"/>
  <c r="AK54" i="1"/>
  <c r="K54" i="1" s="1"/>
  <c r="AS54" i="1"/>
  <c r="AA54" i="1" s="1"/>
  <c r="AL54" i="1"/>
  <c r="M54" i="1" s="1"/>
  <c r="AT54" i="1"/>
  <c r="AC54" i="1" s="1"/>
  <c r="I30" i="1"/>
  <c r="N29" i="6" s="1"/>
  <c r="AK30" i="1"/>
  <c r="K30" i="1" s="1"/>
  <c r="AS30" i="1"/>
  <c r="AA30" i="1" s="1"/>
  <c r="AL30" i="1"/>
  <c r="M30" i="1" s="1"/>
  <c r="AT30" i="1"/>
  <c r="AC30" i="1" s="1"/>
  <c r="AM30" i="1"/>
  <c r="O30" i="1" s="1"/>
  <c r="AN30" i="1"/>
  <c r="Q30" i="1" s="1"/>
  <c r="I22" i="1"/>
  <c r="N21" i="6" s="1"/>
  <c r="AM22" i="1"/>
  <c r="O22" i="1" s="1"/>
  <c r="AN22" i="1"/>
  <c r="Q22" i="1" s="1"/>
  <c r="AO22" i="1"/>
  <c r="S22" i="1" s="1"/>
  <c r="AP22" i="1"/>
  <c r="U22" i="1" s="1"/>
  <c r="I14" i="1"/>
  <c r="N13" i="6" s="1"/>
  <c r="AO14" i="1"/>
  <c r="S14" i="1" s="1"/>
  <c r="AP14" i="1"/>
  <c r="U14" i="1" s="1"/>
  <c r="AQ14" i="1"/>
  <c r="W14" i="1" s="1"/>
  <c r="AR14" i="1"/>
  <c r="Y14" i="1" s="1"/>
  <c r="I6" i="1"/>
  <c r="N5" i="6" s="1"/>
  <c r="AO6" i="1"/>
  <c r="S6" i="1" s="1"/>
  <c r="AP6" i="1"/>
  <c r="U6" i="1" s="1"/>
  <c r="AQ6" i="1"/>
  <c r="W6" i="1" s="1"/>
  <c r="AR6" i="1"/>
  <c r="Y6" i="1" s="1"/>
  <c r="AQ212" i="1"/>
  <c r="W212" i="1" s="1"/>
  <c r="I212" i="1"/>
  <c r="N211" i="6" s="1"/>
  <c r="AP188" i="1"/>
  <c r="U188" i="1" s="1"/>
  <c r="I121" i="1"/>
  <c r="N120" i="6" s="1"/>
  <c r="AO121" i="1"/>
  <c r="S121" i="1" s="1"/>
  <c r="AK113" i="1"/>
  <c r="K113" i="1" s="1"/>
  <c r="AS113" i="1"/>
  <c r="AA113" i="1" s="1"/>
  <c r="I89" i="1"/>
  <c r="N88" i="6" s="1"/>
  <c r="AR89" i="1"/>
  <c r="Y89" i="1" s="1"/>
  <c r="I81" i="1"/>
  <c r="N80" i="6" s="1"/>
  <c r="AL81" i="1"/>
  <c r="M81" i="1" s="1"/>
  <c r="AT81" i="1"/>
  <c r="AC81" i="1" s="1"/>
  <c r="I73" i="1"/>
  <c r="N72" i="6" s="1"/>
  <c r="AM73" i="1"/>
  <c r="O73" i="1" s="1"/>
  <c r="AL65" i="1"/>
  <c r="M65" i="1" s="1"/>
  <c r="AN65" i="1"/>
  <c r="Q65" i="1" s="1"/>
  <c r="AO65" i="1"/>
  <c r="S65" i="1" s="1"/>
  <c r="I57" i="1"/>
  <c r="N56" i="6" s="1"/>
  <c r="AN57" i="1"/>
  <c r="Q57" i="1" s="1"/>
  <c r="AP57" i="1"/>
  <c r="U57" i="1" s="1"/>
  <c r="AQ57" i="1"/>
  <c r="W57" i="1" s="1"/>
  <c r="AO33" i="1"/>
  <c r="S33" i="1" s="1"/>
  <c r="AP33" i="1"/>
  <c r="U33" i="1" s="1"/>
  <c r="AQ33" i="1"/>
  <c r="W33" i="1" s="1"/>
  <c r="AR33" i="1"/>
  <c r="Y33" i="1" s="1"/>
  <c r="I25" i="1"/>
  <c r="N24" i="6" s="1"/>
  <c r="AQ25" i="1"/>
  <c r="W25" i="1" s="1"/>
  <c r="AR25" i="1"/>
  <c r="Y25" i="1" s="1"/>
  <c r="AK25" i="1"/>
  <c r="K25" i="1" s="1"/>
  <c r="AS25" i="1"/>
  <c r="AA25" i="1" s="1"/>
  <c r="AL25" i="1"/>
  <c r="M25" i="1" s="1"/>
  <c r="AT25" i="1"/>
  <c r="AC25" i="1" s="1"/>
  <c r="AK17" i="1"/>
  <c r="K17" i="1" s="1"/>
  <c r="AS17" i="1"/>
  <c r="AA17" i="1" s="1"/>
  <c r="AL17" i="1"/>
  <c r="M17" i="1" s="1"/>
  <c r="AT17" i="1"/>
  <c r="AC17" i="1" s="1"/>
  <c r="AM17" i="1"/>
  <c r="O17" i="1" s="1"/>
  <c r="AN17" i="1"/>
  <c r="Q17" i="1" s="1"/>
  <c r="I9" i="1"/>
  <c r="N8" i="6" s="1"/>
  <c r="AK9" i="1"/>
  <c r="K9" i="1" s="1"/>
  <c r="AS9" i="1"/>
  <c r="AA9" i="1" s="1"/>
  <c r="AL9" i="1"/>
  <c r="M9" i="1" s="1"/>
  <c r="AT9" i="1"/>
  <c r="AC9" i="1" s="1"/>
  <c r="AM9" i="1"/>
  <c r="O9" i="1" s="1"/>
  <c r="AN9" i="1"/>
  <c r="Q9" i="1" s="1"/>
  <c r="I256" i="1"/>
  <c r="N255" i="6" s="1"/>
  <c r="AQ213" i="1"/>
  <c r="W213" i="1" s="1"/>
  <c r="I213" i="1"/>
  <c r="N212" i="6" s="1"/>
  <c r="AK5" i="1"/>
  <c r="K5" i="1" s="1"/>
  <c r="AS5" i="1"/>
  <c r="AA5" i="1" s="1"/>
  <c r="AL5" i="1"/>
  <c r="M5" i="1" s="1"/>
  <c r="AT5" i="1"/>
  <c r="AC5" i="1" s="1"/>
  <c r="AM5" i="1"/>
  <c r="O5" i="1" s="1"/>
  <c r="AN5" i="1"/>
  <c r="Q5" i="1" s="1"/>
  <c r="I5" i="1"/>
  <c r="N4" i="6" s="1"/>
  <c r="AO5" i="1"/>
  <c r="S5" i="1" s="1"/>
  <c r="AP5" i="1"/>
  <c r="U5" i="1" s="1"/>
  <c r="AQ5" i="1"/>
  <c r="W5" i="1" s="1"/>
  <c r="AR5" i="1"/>
  <c r="Y5" i="1" s="1"/>
  <c r="I240" i="1"/>
  <c r="N239" i="6" s="1"/>
  <c r="AM248" i="1"/>
  <c r="O248" i="1" s="1"/>
  <c r="I248" i="1"/>
  <c r="N247" i="6" s="1"/>
  <c r="AN232" i="1"/>
  <c r="Q232" i="1" s="1"/>
  <c r="I232" i="1"/>
  <c r="N231" i="6" s="1"/>
  <c r="AN208" i="1"/>
  <c r="Q208" i="1" s="1"/>
  <c r="I208" i="1"/>
  <c r="N207" i="6" s="1"/>
  <c r="Y309" i="1"/>
  <c r="Q309" i="1"/>
  <c r="S309" i="1"/>
  <c r="U309" i="1"/>
  <c r="AC309" i="1"/>
  <c r="AA309" i="1"/>
  <c r="M309" i="1"/>
  <c r="K309" i="1"/>
  <c r="O309" i="1"/>
  <c r="N116" i="3"/>
  <c r="N85" i="3"/>
  <c r="N105" i="3"/>
  <c r="AN277" i="1"/>
  <c r="Q277" i="1" s="1"/>
  <c r="AR277" i="1"/>
  <c r="Y277" i="1" s="1"/>
  <c r="AL277" i="1"/>
  <c r="M277" i="1" s="1"/>
  <c r="AP277" i="1"/>
  <c r="U277" i="1" s="1"/>
  <c r="AT277" i="1"/>
  <c r="AC277" i="1" s="1"/>
  <c r="AN229" i="1"/>
  <c r="Q229" i="1" s="1"/>
  <c r="AR229" i="1"/>
  <c r="Y229" i="1" s="1"/>
  <c r="AK229" i="1"/>
  <c r="K229" i="1" s="1"/>
  <c r="AO229" i="1"/>
  <c r="S229" i="1" s="1"/>
  <c r="AS229" i="1"/>
  <c r="AA229" i="1" s="1"/>
  <c r="AL229" i="1"/>
  <c r="M229" i="1" s="1"/>
  <c r="AP229" i="1"/>
  <c r="U229" i="1" s="1"/>
  <c r="AT229" i="1"/>
  <c r="AC229" i="1" s="1"/>
  <c r="AL197" i="1"/>
  <c r="M197" i="1" s="1"/>
  <c r="AP197" i="1"/>
  <c r="U197" i="1" s="1"/>
  <c r="AT197" i="1"/>
  <c r="AC197" i="1" s="1"/>
  <c r="AM197" i="1"/>
  <c r="O197" i="1" s="1"/>
  <c r="AQ197" i="1"/>
  <c r="W197" i="1" s="1"/>
  <c r="AN197" i="1"/>
  <c r="Q197" i="1" s="1"/>
  <c r="AR197" i="1"/>
  <c r="Y197" i="1" s="1"/>
  <c r="AS197" i="1"/>
  <c r="AA197" i="1" s="1"/>
  <c r="AK197" i="1"/>
  <c r="K197" i="1" s="1"/>
  <c r="AK187" i="1"/>
  <c r="K187" i="1" s="1"/>
  <c r="AO187" i="1"/>
  <c r="S187" i="1" s="1"/>
  <c r="AS187" i="1"/>
  <c r="AA187" i="1" s="1"/>
  <c r="AL187" i="1"/>
  <c r="M187" i="1" s="1"/>
  <c r="AP187" i="1"/>
  <c r="U187" i="1" s="1"/>
  <c r="AT187" i="1"/>
  <c r="AC187" i="1" s="1"/>
  <c r="AM187" i="1"/>
  <c r="O187" i="1" s="1"/>
  <c r="AQ187" i="1"/>
  <c r="W187" i="1" s="1"/>
  <c r="AR187" i="1"/>
  <c r="Y187" i="1" s="1"/>
  <c r="AN131" i="1"/>
  <c r="Q131" i="1" s="1"/>
  <c r="AR131" i="1"/>
  <c r="Y131" i="1" s="1"/>
  <c r="AK131" i="1"/>
  <c r="K131" i="1" s="1"/>
  <c r="AO131" i="1"/>
  <c r="S131" i="1" s="1"/>
  <c r="AS131" i="1"/>
  <c r="AA131" i="1" s="1"/>
  <c r="AL131" i="1"/>
  <c r="M131" i="1" s="1"/>
  <c r="AP131" i="1"/>
  <c r="U131" i="1" s="1"/>
  <c r="AT131" i="1"/>
  <c r="AC131" i="1" s="1"/>
  <c r="AQ131" i="1"/>
  <c r="W131" i="1" s="1"/>
  <c r="AL107" i="1"/>
  <c r="M107" i="1" s="1"/>
  <c r="AP107" i="1"/>
  <c r="U107" i="1" s="1"/>
  <c r="AT107" i="1"/>
  <c r="AC107" i="1" s="1"/>
  <c r="AM107" i="1"/>
  <c r="O107" i="1" s="1"/>
  <c r="AQ107" i="1"/>
  <c r="W107" i="1" s="1"/>
  <c r="AN107" i="1"/>
  <c r="Q107" i="1" s="1"/>
  <c r="AR107" i="1"/>
  <c r="Y107" i="1" s="1"/>
  <c r="AO107" i="1"/>
  <c r="S107" i="1" s="1"/>
  <c r="AS107" i="1"/>
  <c r="AA107" i="1" s="1"/>
  <c r="AL99" i="1"/>
  <c r="M99" i="1" s="1"/>
  <c r="AP99" i="1"/>
  <c r="U99" i="1" s="1"/>
  <c r="AT99" i="1"/>
  <c r="AC99" i="1" s="1"/>
  <c r="AM99" i="1"/>
  <c r="O99" i="1" s="1"/>
  <c r="AQ99" i="1"/>
  <c r="W99" i="1" s="1"/>
  <c r="AN99" i="1"/>
  <c r="Q99" i="1" s="1"/>
  <c r="AR99" i="1"/>
  <c r="Y99" i="1" s="1"/>
  <c r="AS99" i="1"/>
  <c r="AA99" i="1" s="1"/>
  <c r="AK99" i="1"/>
  <c r="K99" i="1" s="1"/>
  <c r="AL91" i="1"/>
  <c r="M91" i="1" s="1"/>
  <c r="AP91" i="1"/>
  <c r="U91" i="1" s="1"/>
  <c r="AT91" i="1"/>
  <c r="AC91" i="1" s="1"/>
  <c r="AM91" i="1"/>
  <c r="O91" i="1" s="1"/>
  <c r="AQ91" i="1"/>
  <c r="W91" i="1" s="1"/>
  <c r="AN91" i="1"/>
  <c r="Q91" i="1" s="1"/>
  <c r="AR91" i="1"/>
  <c r="Y91" i="1" s="1"/>
  <c r="AK91" i="1"/>
  <c r="K91" i="1" s="1"/>
  <c r="AO91" i="1"/>
  <c r="S91" i="1" s="1"/>
  <c r="AN82" i="1"/>
  <c r="Q82" i="1" s="1"/>
  <c r="AR82" i="1"/>
  <c r="Y82" i="1" s="1"/>
  <c r="AK82" i="1"/>
  <c r="K82" i="1" s="1"/>
  <c r="AO82" i="1"/>
  <c r="S82" i="1" s="1"/>
  <c r="AS82" i="1"/>
  <c r="AA82" i="1" s="1"/>
  <c r="AL82" i="1"/>
  <c r="M82" i="1" s="1"/>
  <c r="AP82" i="1"/>
  <c r="U82" i="1" s="1"/>
  <c r="AT82" i="1"/>
  <c r="AC82" i="1" s="1"/>
  <c r="AQ82" i="1"/>
  <c r="W82" i="1" s="1"/>
  <c r="AN69" i="1"/>
  <c r="Q69" i="1" s="1"/>
  <c r="AR69" i="1"/>
  <c r="Y69" i="1" s="1"/>
  <c r="AK69" i="1"/>
  <c r="K69" i="1" s="1"/>
  <c r="AO69" i="1"/>
  <c r="S69" i="1" s="1"/>
  <c r="AS69" i="1"/>
  <c r="AA69" i="1" s="1"/>
  <c r="AL69" i="1"/>
  <c r="M69" i="1" s="1"/>
  <c r="AP69" i="1"/>
  <c r="U69" i="1" s="1"/>
  <c r="AT69" i="1"/>
  <c r="AC69" i="1" s="1"/>
  <c r="AQ69" i="1"/>
  <c r="W69" i="1" s="1"/>
  <c r="AN55" i="1"/>
  <c r="Q55" i="1" s="1"/>
  <c r="AR55" i="1"/>
  <c r="Y55" i="1" s="1"/>
  <c r="AK55" i="1"/>
  <c r="K55" i="1" s="1"/>
  <c r="AO55" i="1"/>
  <c r="S55" i="1" s="1"/>
  <c r="AS55" i="1"/>
  <c r="AA55" i="1" s="1"/>
  <c r="AL55" i="1"/>
  <c r="M55" i="1" s="1"/>
  <c r="AP55" i="1"/>
  <c r="U55" i="1" s="1"/>
  <c r="AT55" i="1"/>
  <c r="AC55" i="1" s="1"/>
  <c r="AQ55" i="1"/>
  <c r="W55" i="1" s="1"/>
  <c r="AL49" i="1"/>
  <c r="M49" i="1" s="1"/>
  <c r="AP49" i="1"/>
  <c r="U49" i="1" s="1"/>
  <c r="AT49" i="1"/>
  <c r="AC49" i="1" s="1"/>
  <c r="AM49" i="1"/>
  <c r="O49" i="1" s="1"/>
  <c r="AQ49" i="1"/>
  <c r="W49" i="1" s="1"/>
  <c r="AN49" i="1"/>
  <c r="Q49" i="1" s="1"/>
  <c r="AR49" i="1"/>
  <c r="Y49" i="1" s="1"/>
  <c r="AK49" i="1"/>
  <c r="K49" i="1" s="1"/>
  <c r="AO49" i="1"/>
  <c r="S49" i="1" s="1"/>
  <c r="AS49" i="1"/>
  <c r="AA49" i="1" s="1"/>
  <c r="AL41" i="1"/>
  <c r="M41" i="1" s="1"/>
  <c r="AP41" i="1"/>
  <c r="U41" i="1" s="1"/>
  <c r="AT41" i="1"/>
  <c r="AC41" i="1" s="1"/>
  <c r="AM41" i="1"/>
  <c r="O41" i="1" s="1"/>
  <c r="AQ41" i="1"/>
  <c r="W41" i="1" s="1"/>
  <c r="AN41" i="1"/>
  <c r="Q41" i="1" s="1"/>
  <c r="AR41" i="1"/>
  <c r="Y41" i="1" s="1"/>
  <c r="AS41" i="1"/>
  <c r="AA41" i="1" s="1"/>
  <c r="AK41" i="1"/>
  <c r="K41" i="1" s="1"/>
  <c r="AL38" i="1"/>
  <c r="M38" i="1" s="1"/>
  <c r="AP38" i="1"/>
  <c r="U38" i="1" s="1"/>
  <c r="AT38" i="1"/>
  <c r="AC38" i="1" s="1"/>
  <c r="AM38" i="1"/>
  <c r="O38" i="1" s="1"/>
  <c r="AQ38" i="1"/>
  <c r="W38" i="1" s="1"/>
  <c r="AN38" i="1"/>
  <c r="Q38" i="1" s="1"/>
  <c r="AR38" i="1"/>
  <c r="Y38" i="1" s="1"/>
  <c r="AK38" i="1"/>
  <c r="K38" i="1" s="1"/>
  <c r="AO38" i="1"/>
  <c r="S38" i="1" s="1"/>
  <c r="AL27" i="1"/>
  <c r="M27" i="1" s="1"/>
  <c r="AP27" i="1"/>
  <c r="U27" i="1" s="1"/>
  <c r="AT27" i="1"/>
  <c r="AC27" i="1" s="1"/>
  <c r="AM27" i="1"/>
  <c r="O27" i="1" s="1"/>
  <c r="AQ27" i="1"/>
  <c r="W27" i="1" s="1"/>
  <c r="AN27" i="1"/>
  <c r="Q27" i="1" s="1"/>
  <c r="AR27" i="1"/>
  <c r="Y27" i="1" s="1"/>
  <c r="AO27" i="1"/>
  <c r="S27" i="1" s="1"/>
  <c r="AS27" i="1"/>
  <c r="AA27" i="1" s="1"/>
  <c r="AN18" i="1"/>
  <c r="Q18" i="1" s="1"/>
  <c r="AR18" i="1"/>
  <c r="Y18" i="1" s="1"/>
  <c r="AK18" i="1"/>
  <c r="K18" i="1" s="1"/>
  <c r="AO18" i="1"/>
  <c r="S18" i="1" s="1"/>
  <c r="AS18" i="1"/>
  <c r="AA18" i="1" s="1"/>
  <c r="AL18" i="1"/>
  <c r="M18" i="1" s="1"/>
  <c r="AP18" i="1"/>
  <c r="U18" i="1" s="1"/>
  <c r="AT18" i="1"/>
  <c r="AC18" i="1" s="1"/>
  <c r="AM18" i="1"/>
  <c r="O18" i="1" s="1"/>
  <c r="AQ18" i="1"/>
  <c r="W18" i="1" s="1"/>
  <c r="AN13" i="1"/>
  <c r="Q13" i="1" s="1"/>
  <c r="AR13" i="1"/>
  <c r="Y13" i="1" s="1"/>
  <c r="AK13" i="1"/>
  <c r="K13" i="1" s="1"/>
  <c r="AO13" i="1"/>
  <c r="S13" i="1" s="1"/>
  <c r="AS13" i="1"/>
  <c r="AA13" i="1" s="1"/>
  <c r="AL13" i="1"/>
  <c r="M13" i="1" s="1"/>
  <c r="AP13" i="1"/>
  <c r="U13" i="1" s="1"/>
  <c r="AT13" i="1"/>
  <c r="AC13" i="1" s="1"/>
  <c r="AM13" i="1"/>
  <c r="O13" i="1" s="1"/>
  <c r="AQ13" i="1"/>
  <c r="W13" i="1" s="1"/>
  <c r="AN10" i="1"/>
  <c r="Q10" i="1" s="1"/>
  <c r="AR10" i="1"/>
  <c r="Y10" i="1" s="1"/>
  <c r="AK10" i="1"/>
  <c r="K10" i="1" s="1"/>
  <c r="AO10" i="1"/>
  <c r="S10" i="1" s="1"/>
  <c r="AS10" i="1"/>
  <c r="AA10" i="1" s="1"/>
  <c r="AL10" i="1"/>
  <c r="M10" i="1" s="1"/>
  <c r="AP10" i="1"/>
  <c r="U10" i="1" s="1"/>
  <c r="AT10" i="1"/>
  <c r="AC10" i="1" s="1"/>
  <c r="AM10" i="1"/>
  <c r="O10" i="1" s="1"/>
  <c r="AQ10" i="1"/>
  <c r="W10" i="1" s="1"/>
  <c r="AQ277" i="1"/>
  <c r="W277" i="1" s="1"/>
  <c r="AS270" i="1"/>
  <c r="AA270" i="1" s="1"/>
  <c r="AK270" i="1"/>
  <c r="K270" i="1" s="1"/>
  <c r="AS261" i="1"/>
  <c r="AA261" i="1" s="1"/>
  <c r="AS251" i="1"/>
  <c r="AA251" i="1" s="1"/>
  <c r="AM245" i="1"/>
  <c r="O245" i="1" s="1"/>
  <c r="AO235" i="1"/>
  <c r="S235" i="1" s="1"/>
  <c r="AO99" i="1"/>
  <c r="S99" i="1" s="1"/>
  <c r="AM82" i="1"/>
  <c r="O82" i="1" s="1"/>
  <c r="AS38" i="1"/>
  <c r="AA38" i="1" s="1"/>
  <c r="AL267" i="1"/>
  <c r="M267" i="1" s="1"/>
  <c r="AP267" i="1"/>
  <c r="U267" i="1" s="1"/>
  <c r="AT267" i="1"/>
  <c r="AC267" i="1" s="1"/>
  <c r="AN267" i="1"/>
  <c r="Q267" i="1" s="1"/>
  <c r="AR267" i="1"/>
  <c r="Y267" i="1" s="1"/>
  <c r="AN261" i="1"/>
  <c r="Q261" i="1" s="1"/>
  <c r="AR261" i="1"/>
  <c r="Y261" i="1" s="1"/>
  <c r="AL261" i="1"/>
  <c r="M261" i="1" s="1"/>
  <c r="AP261" i="1"/>
  <c r="U261" i="1" s="1"/>
  <c r="AT261" i="1"/>
  <c r="AC261" i="1" s="1"/>
  <c r="AL254" i="1"/>
  <c r="M254" i="1" s="1"/>
  <c r="AP254" i="1"/>
  <c r="U254" i="1" s="1"/>
  <c r="AT254" i="1"/>
  <c r="AC254" i="1" s="1"/>
  <c r="AN254" i="1"/>
  <c r="Q254" i="1" s="1"/>
  <c r="AR254" i="1"/>
  <c r="Y254" i="1" s="1"/>
  <c r="AL251" i="1"/>
  <c r="M251" i="1" s="1"/>
  <c r="AP251" i="1"/>
  <c r="U251" i="1" s="1"/>
  <c r="AT251" i="1"/>
  <c r="AC251" i="1" s="1"/>
  <c r="AN251" i="1"/>
  <c r="Q251" i="1" s="1"/>
  <c r="AR251" i="1"/>
  <c r="Y251" i="1" s="1"/>
  <c r="AL222" i="1"/>
  <c r="M222" i="1" s="1"/>
  <c r="AP222" i="1"/>
  <c r="U222" i="1" s="1"/>
  <c r="AT222" i="1"/>
  <c r="AC222" i="1" s="1"/>
  <c r="AM222" i="1"/>
  <c r="O222" i="1" s="1"/>
  <c r="AQ222" i="1"/>
  <c r="W222" i="1" s="1"/>
  <c r="AN222" i="1"/>
  <c r="Q222" i="1" s="1"/>
  <c r="AR222" i="1"/>
  <c r="Y222" i="1" s="1"/>
  <c r="AL219" i="1"/>
  <c r="M219" i="1" s="1"/>
  <c r="AP219" i="1"/>
  <c r="U219" i="1" s="1"/>
  <c r="AT219" i="1"/>
  <c r="AC219" i="1" s="1"/>
  <c r="AM219" i="1"/>
  <c r="O219" i="1" s="1"/>
  <c r="AQ219" i="1"/>
  <c r="W219" i="1" s="1"/>
  <c r="AN219" i="1"/>
  <c r="Q219" i="1" s="1"/>
  <c r="AR219" i="1"/>
  <c r="Y219" i="1" s="1"/>
  <c r="AN213" i="1"/>
  <c r="Q213" i="1" s="1"/>
  <c r="AR213" i="1"/>
  <c r="Y213" i="1" s="1"/>
  <c r="AK213" i="1"/>
  <c r="K213" i="1" s="1"/>
  <c r="AO213" i="1"/>
  <c r="S213" i="1" s="1"/>
  <c r="AS213" i="1"/>
  <c r="AA213" i="1" s="1"/>
  <c r="AL213" i="1"/>
  <c r="M213" i="1" s="1"/>
  <c r="AP213" i="1"/>
  <c r="U213" i="1" s="1"/>
  <c r="AT213" i="1"/>
  <c r="AC213" i="1" s="1"/>
  <c r="AP184" i="1"/>
  <c r="U184" i="1" s="1"/>
  <c r="AL165" i="1"/>
  <c r="M165" i="1" s="1"/>
  <c r="AP165" i="1"/>
  <c r="U165" i="1" s="1"/>
  <c r="AT165" i="1"/>
  <c r="AC165" i="1" s="1"/>
  <c r="AM165" i="1"/>
  <c r="O165" i="1" s="1"/>
  <c r="AQ165" i="1"/>
  <c r="W165" i="1" s="1"/>
  <c r="AN165" i="1"/>
  <c r="Q165" i="1" s="1"/>
  <c r="AR165" i="1"/>
  <c r="Y165" i="1" s="1"/>
  <c r="AK165" i="1"/>
  <c r="K165" i="1" s="1"/>
  <c r="AO165" i="1"/>
  <c r="S165" i="1" s="1"/>
  <c r="AN158" i="1"/>
  <c r="Q158" i="1" s="1"/>
  <c r="AR158" i="1"/>
  <c r="Y158" i="1" s="1"/>
  <c r="AK158" i="1"/>
  <c r="K158" i="1" s="1"/>
  <c r="AO158" i="1"/>
  <c r="S158" i="1" s="1"/>
  <c r="AS158" i="1"/>
  <c r="AA158" i="1" s="1"/>
  <c r="AL158" i="1"/>
  <c r="M158" i="1" s="1"/>
  <c r="AP158" i="1"/>
  <c r="U158" i="1" s="1"/>
  <c r="AT158" i="1"/>
  <c r="AC158" i="1" s="1"/>
  <c r="AQ158" i="1"/>
  <c r="W158" i="1" s="1"/>
  <c r="AN147" i="1"/>
  <c r="Q147" i="1" s="1"/>
  <c r="AR147" i="1"/>
  <c r="Y147" i="1" s="1"/>
  <c r="AK147" i="1"/>
  <c r="K147" i="1" s="1"/>
  <c r="AO147" i="1"/>
  <c r="S147" i="1" s="1"/>
  <c r="AS147" i="1"/>
  <c r="AA147" i="1" s="1"/>
  <c r="AL147" i="1"/>
  <c r="M147" i="1" s="1"/>
  <c r="AP147" i="1"/>
  <c r="U147" i="1" s="1"/>
  <c r="AT147" i="1"/>
  <c r="AC147" i="1" s="1"/>
  <c r="AQ147" i="1"/>
  <c r="W147" i="1" s="1"/>
  <c r="AN139" i="1"/>
  <c r="Q139" i="1" s="1"/>
  <c r="AR139" i="1"/>
  <c r="Y139" i="1" s="1"/>
  <c r="AK139" i="1"/>
  <c r="K139" i="1" s="1"/>
  <c r="AO139" i="1"/>
  <c r="S139" i="1" s="1"/>
  <c r="AS139" i="1"/>
  <c r="AA139" i="1" s="1"/>
  <c r="AL139" i="1"/>
  <c r="M139" i="1" s="1"/>
  <c r="AP139" i="1"/>
  <c r="U139" i="1" s="1"/>
  <c r="AT139" i="1"/>
  <c r="AC139" i="1" s="1"/>
  <c r="AQ139" i="1"/>
  <c r="W139" i="1" s="1"/>
  <c r="AL115" i="1"/>
  <c r="M115" i="1" s="1"/>
  <c r="AP115" i="1"/>
  <c r="U115" i="1" s="1"/>
  <c r="AT115" i="1"/>
  <c r="AC115" i="1" s="1"/>
  <c r="AM115" i="1"/>
  <c r="O115" i="1" s="1"/>
  <c r="AQ115" i="1"/>
  <c r="W115" i="1" s="1"/>
  <c r="AN115" i="1"/>
  <c r="Q115" i="1" s="1"/>
  <c r="AR115" i="1"/>
  <c r="Y115" i="1" s="1"/>
  <c r="AK115" i="1"/>
  <c r="K115" i="1" s="1"/>
  <c r="AO115" i="1"/>
  <c r="S115" i="1" s="1"/>
  <c r="AS115" i="1"/>
  <c r="AA115" i="1" s="1"/>
  <c r="AN77" i="1"/>
  <c r="Q77" i="1" s="1"/>
  <c r="AR77" i="1"/>
  <c r="Y77" i="1" s="1"/>
  <c r="AK77" i="1"/>
  <c r="K77" i="1" s="1"/>
  <c r="AO77" i="1"/>
  <c r="S77" i="1" s="1"/>
  <c r="AS77" i="1"/>
  <c r="AA77" i="1" s="1"/>
  <c r="AL77" i="1"/>
  <c r="M77" i="1" s="1"/>
  <c r="AP77" i="1"/>
  <c r="U77" i="1" s="1"/>
  <c r="AT77" i="1"/>
  <c r="AC77" i="1" s="1"/>
  <c r="AQ77" i="1"/>
  <c r="W77" i="1" s="1"/>
  <c r="AL35" i="1"/>
  <c r="M35" i="1" s="1"/>
  <c r="AP35" i="1"/>
  <c r="U35" i="1" s="1"/>
  <c r="AT35" i="1"/>
  <c r="AC35" i="1" s="1"/>
  <c r="AM35" i="1"/>
  <c r="O35" i="1" s="1"/>
  <c r="AQ35" i="1"/>
  <c r="W35" i="1" s="1"/>
  <c r="AN35" i="1"/>
  <c r="Q35" i="1" s="1"/>
  <c r="AR35" i="1"/>
  <c r="Y35" i="1" s="1"/>
  <c r="AK35" i="1"/>
  <c r="K35" i="1" s="1"/>
  <c r="AO35" i="1"/>
  <c r="S35" i="1" s="1"/>
  <c r="AS35" i="1"/>
  <c r="AA35" i="1" s="1"/>
  <c r="AO277" i="1"/>
  <c r="S277" i="1" s="1"/>
  <c r="AO267" i="1"/>
  <c r="S267" i="1" s="1"/>
  <c r="AQ261" i="1"/>
  <c r="W261" i="1" s="1"/>
  <c r="AS254" i="1"/>
  <c r="AA254" i="1" s="1"/>
  <c r="AK254" i="1"/>
  <c r="K254" i="1" s="1"/>
  <c r="AQ251" i="1"/>
  <c r="W251" i="1" s="1"/>
  <c r="AS245" i="1"/>
  <c r="AA245" i="1" s="1"/>
  <c r="AO222" i="1"/>
  <c r="S222" i="1" s="1"/>
  <c r="AS219" i="1"/>
  <c r="AA219" i="1" s="1"/>
  <c r="AM213" i="1"/>
  <c r="O213" i="1" s="1"/>
  <c r="AO197" i="1"/>
  <c r="S197" i="1" s="1"/>
  <c r="AN187" i="1"/>
  <c r="Q187" i="1" s="1"/>
  <c r="AM147" i="1"/>
  <c r="O147" i="1" s="1"/>
  <c r="AK107" i="1"/>
  <c r="K107" i="1" s="1"/>
  <c r="AM69" i="1"/>
  <c r="O69" i="1" s="1"/>
  <c r="AO41" i="1"/>
  <c r="S41" i="1" s="1"/>
  <c r="AK27" i="1"/>
  <c r="K27" i="1" s="1"/>
  <c r="AL270" i="1"/>
  <c r="M270" i="1" s="1"/>
  <c r="AP270" i="1"/>
  <c r="U270" i="1" s="1"/>
  <c r="AT270" i="1"/>
  <c r="AC270" i="1" s="1"/>
  <c r="AN270" i="1"/>
  <c r="Q270" i="1" s="1"/>
  <c r="AR270" i="1"/>
  <c r="Y270" i="1" s="1"/>
  <c r="AN245" i="1"/>
  <c r="Q245" i="1" s="1"/>
  <c r="AR245" i="1"/>
  <c r="Y245" i="1" s="1"/>
  <c r="AL245" i="1"/>
  <c r="M245" i="1" s="1"/>
  <c r="AP245" i="1"/>
  <c r="U245" i="1" s="1"/>
  <c r="AT245" i="1"/>
  <c r="AC245" i="1" s="1"/>
  <c r="AL238" i="1"/>
  <c r="M238" i="1" s="1"/>
  <c r="AP238" i="1"/>
  <c r="U238" i="1" s="1"/>
  <c r="AT238" i="1"/>
  <c r="AC238" i="1" s="1"/>
  <c r="AM238" i="1"/>
  <c r="O238" i="1" s="1"/>
  <c r="AQ238" i="1"/>
  <c r="W238" i="1" s="1"/>
  <c r="AN238" i="1"/>
  <c r="Q238" i="1" s="1"/>
  <c r="AR238" i="1"/>
  <c r="Y238" i="1" s="1"/>
  <c r="AL235" i="1"/>
  <c r="M235" i="1" s="1"/>
  <c r="AP235" i="1"/>
  <c r="U235" i="1" s="1"/>
  <c r="AT235" i="1"/>
  <c r="AC235" i="1" s="1"/>
  <c r="AM235" i="1"/>
  <c r="O235" i="1" s="1"/>
  <c r="AQ235" i="1"/>
  <c r="W235" i="1" s="1"/>
  <c r="AN235" i="1"/>
  <c r="Q235" i="1" s="1"/>
  <c r="AR235" i="1"/>
  <c r="Y235" i="1" s="1"/>
  <c r="AL206" i="1"/>
  <c r="M206" i="1" s="1"/>
  <c r="AP206" i="1"/>
  <c r="U206" i="1" s="1"/>
  <c r="AT206" i="1"/>
  <c r="AC206" i="1" s="1"/>
  <c r="AM206" i="1"/>
  <c r="O206" i="1" s="1"/>
  <c r="AQ206" i="1"/>
  <c r="W206" i="1" s="1"/>
  <c r="AN206" i="1"/>
  <c r="Q206" i="1" s="1"/>
  <c r="AR206" i="1"/>
  <c r="Y206" i="1" s="1"/>
  <c r="AL203" i="1"/>
  <c r="M203" i="1" s="1"/>
  <c r="AP203" i="1"/>
  <c r="U203" i="1" s="1"/>
  <c r="AO203" i="1"/>
  <c r="S203" i="1" s="1"/>
  <c r="AT203" i="1"/>
  <c r="AC203" i="1" s="1"/>
  <c r="AK203" i="1"/>
  <c r="K203" i="1" s="1"/>
  <c r="AQ203" i="1"/>
  <c r="W203" i="1" s="1"/>
  <c r="AM203" i="1"/>
  <c r="O203" i="1" s="1"/>
  <c r="AR203" i="1"/>
  <c r="Y203" i="1" s="1"/>
  <c r="AN190" i="1"/>
  <c r="Q190" i="1" s="1"/>
  <c r="AR190" i="1"/>
  <c r="Y190" i="1" s="1"/>
  <c r="AK190" i="1"/>
  <c r="K190" i="1" s="1"/>
  <c r="AO190" i="1"/>
  <c r="S190" i="1" s="1"/>
  <c r="AS190" i="1"/>
  <c r="AA190" i="1" s="1"/>
  <c r="AL190" i="1"/>
  <c r="M190" i="1" s="1"/>
  <c r="AP190" i="1"/>
  <c r="U190" i="1" s="1"/>
  <c r="AT190" i="1"/>
  <c r="AC190" i="1" s="1"/>
  <c r="AM190" i="1"/>
  <c r="O190" i="1" s="1"/>
  <c r="AQ190" i="1"/>
  <c r="W190" i="1" s="1"/>
  <c r="AN181" i="1"/>
  <c r="Q181" i="1" s="1"/>
  <c r="AR181" i="1"/>
  <c r="Y181" i="1" s="1"/>
  <c r="AK181" i="1"/>
  <c r="K181" i="1" s="1"/>
  <c r="AO181" i="1"/>
  <c r="S181" i="1" s="1"/>
  <c r="AS181" i="1"/>
  <c r="AA181" i="1" s="1"/>
  <c r="AL181" i="1"/>
  <c r="M181" i="1" s="1"/>
  <c r="AP181" i="1"/>
  <c r="U181" i="1" s="1"/>
  <c r="AT181" i="1"/>
  <c r="AC181" i="1" s="1"/>
  <c r="AM181" i="1"/>
  <c r="O181" i="1" s="1"/>
  <c r="AQ181" i="1"/>
  <c r="W181" i="1" s="1"/>
  <c r="AN174" i="1"/>
  <c r="Q174" i="1" s="1"/>
  <c r="AR174" i="1"/>
  <c r="Y174" i="1" s="1"/>
  <c r="AK174" i="1"/>
  <c r="K174" i="1" s="1"/>
  <c r="AO174" i="1"/>
  <c r="S174" i="1" s="1"/>
  <c r="AS174" i="1"/>
  <c r="AA174" i="1" s="1"/>
  <c r="AL174" i="1"/>
  <c r="M174" i="1" s="1"/>
  <c r="AP174" i="1"/>
  <c r="U174" i="1" s="1"/>
  <c r="AT174" i="1"/>
  <c r="AC174" i="1" s="1"/>
  <c r="AM174" i="1"/>
  <c r="O174" i="1" s="1"/>
  <c r="AQ174" i="1"/>
  <c r="W174" i="1" s="1"/>
  <c r="AN171" i="1"/>
  <c r="Q171" i="1" s="1"/>
  <c r="AR171" i="1"/>
  <c r="Y171" i="1" s="1"/>
  <c r="AK171" i="1"/>
  <c r="K171" i="1" s="1"/>
  <c r="AO171" i="1"/>
  <c r="S171" i="1" s="1"/>
  <c r="AS171" i="1"/>
  <c r="AA171" i="1" s="1"/>
  <c r="AL171" i="1"/>
  <c r="M171" i="1" s="1"/>
  <c r="AP171" i="1"/>
  <c r="U171" i="1" s="1"/>
  <c r="AT171" i="1"/>
  <c r="AC171" i="1" s="1"/>
  <c r="AM171" i="1"/>
  <c r="O171" i="1" s="1"/>
  <c r="AQ171" i="1"/>
  <c r="W171" i="1" s="1"/>
  <c r="AN155" i="1"/>
  <c r="Q155" i="1" s="1"/>
  <c r="AR155" i="1"/>
  <c r="Y155" i="1" s="1"/>
  <c r="AK155" i="1"/>
  <c r="K155" i="1" s="1"/>
  <c r="AO155" i="1"/>
  <c r="S155" i="1" s="1"/>
  <c r="AS155" i="1"/>
  <c r="AA155" i="1" s="1"/>
  <c r="AL155" i="1"/>
  <c r="M155" i="1" s="1"/>
  <c r="AP155" i="1"/>
  <c r="U155" i="1" s="1"/>
  <c r="AT155" i="1"/>
  <c r="AC155" i="1" s="1"/>
  <c r="AQ155" i="1"/>
  <c r="W155" i="1" s="1"/>
  <c r="AN123" i="1"/>
  <c r="Q123" i="1" s="1"/>
  <c r="AR123" i="1"/>
  <c r="Y123" i="1" s="1"/>
  <c r="AK123" i="1"/>
  <c r="K123" i="1" s="1"/>
  <c r="AO123" i="1"/>
  <c r="S123" i="1" s="1"/>
  <c r="AS123" i="1"/>
  <c r="AA123" i="1" s="1"/>
  <c r="AL123" i="1"/>
  <c r="M123" i="1" s="1"/>
  <c r="AP123" i="1"/>
  <c r="U123" i="1" s="1"/>
  <c r="AT123" i="1"/>
  <c r="AC123" i="1" s="1"/>
  <c r="AQ123" i="1"/>
  <c r="W123" i="1" s="1"/>
  <c r="AN74" i="1"/>
  <c r="Q74" i="1" s="1"/>
  <c r="AR74" i="1"/>
  <c r="Y74" i="1" s="1"/>
  <c r="AK74" i="1"/>
  <c r="K74" i="1" s="1"/>
  <c r="AO74" i="1"/>
  <c r="S74" i="1" s="1"/>
  <c r="AS74" i="1"/>
  <c r="AA74" i="1" s="1"/>
  <c r="AL74" i="1"/>
  <c r="M74" i="1" s="1"/>
  <c r="AP74" i="1"/>
  <c r="U74" i="1" s="1"/>
  <c r="AT74" i="1"/>
  <c r="AC74" i="1" s="1"/>
  <c r="AQ74" i="1"/>
  <c r="W74" i="1" s="1"/>
  <c r="AN63" i="1"/>
  <c r="Q63" i="1" s="1"/>
  <c r="AR63" i="1"/>
  <c r="Y63" i="1" s="1"/>
  <c r="AK63" i="1"/>
  <c r="K63" i="1" s="1"/>
  <c r="AO63" i="1"/>
  <c r="S63" i="1" s="1"/>
  <c r="AS63" i="1"/>
  <c r="AA63" i="1" s="1"/>
  <c r="AL63" i="1"/>
  <c r="M63" i="1" s="1"/>
  <c r="AP63" i="1"/>
  <c r="U63" i="1" s="1"/>
  <c r="AT63" i="1"/>
  <c r="AC63" i="1" s="1"/>
  <c r="AQ63" i="1"/>
  <c r="W63" i="1" s="1"/>
  <c r="AL46" i="1"/>
  <c r="M46" i="1" s="1"/>
  <c r="AP46" i="1"/>
  <c r="U46" i="1" s="1"/>
  <c r="AT46" i="1"/>
  <c r="AC46" i="1" s="1"/>
  <c r="AM46" i="1"/>
  <c r="O46" i="1" s="1"/>
  <c r="AQ46" i="1"/>
  <c r="W46" i="1" s="1"/>
  <c r="AN46" i="1"/>
  <c r="Q46" i="1" s="1"/>
  <c r="AR46" i="1"/>
  <c r="Y46" i="1" s="1"/>
  <c r="AO46" i="1"/>
  <c r="S46" i="1" s="1"/>
  <c r="AS46" i="1"/>
  <c r="AA46" i="1" s="1"/>
  <c r="AM277" i="1"/>
  <c r="O277" i="1" s="1"/>
  <c r="AO270" i="1"/>
  <c r="S270" i="1" s="1"/>
  <c r="AM267" i="1"/>
  <c r="O267" i="1" s="1"/>
  <c r="AO261" i="1"/>
  <c r="S261" i="1" s="1"/>
  <c r="AQ254" i="1"/>
  <c r="W254" i="1" s="1"/>
  <c r="AO251" i="1"/>
  <c r="S251" i="1" s="1"/>
  <c r="AQ245" i="1"/>
  <c r="W245" i="1" s="1"/>
  <c r="AS238" i="1"/>
  <c r="AA238" i="1" s="1"/>
  <c r="AQ229" i="1"/>
  <c r="W229" i="1" s="1"/>
  <c r="AK222" i="1"/>
  <c r="K222" i="1" s="1"/>
  <c r="AO219" i="1"/>
  <c r="S219" i="1" s="1"/>
  <c r="AS206" i="1"/>
  <c r="AA206" i="1" s="1"/>
  <c r="AS165" i="1"/>
  <c r="AA165" i="1" s="1"/>
  <c r="AM155" i="1"/>
  <c r="O155" i="1" s="1"/>
  <c r="AM123" i="1"/>
  <c r="O123" i="1" s="1"/>
  <c r="AM74" i="1"/>
  <c r="O74" i="1" s="1"/>
  <c r="AK46" i="1"/>
  <c r="K46" i="1" s="1"/>
  <c r="AK276" i="1"/>
  <c r="K276" i="1" s="1"/>
  <c r="AO276" i="1"/>
  <c r="S276" i="1" s="1"/>
  <c r="AS276" i="1"/>
  <c r="AA276" i="1" s="1"/>
  <c r="AL276" i="1"/>
  <c r="M276" i="1" s="1"/>
  <c r="AP276" i="1"/>
  <c r="U276" i="1" s="1"/>
  <c r="AT276" i="1"/>
  <c r="AC276" i="1" s="1"/>
  <c r="AM276" i="1"/>
  <c r="O276" i="1" s="1"/>
  <c r="AN276" i="1"/>
  <c r="Q276" i="1" s="1"/>
  <c r="AK272" i="1"/>
  <c r="K272" i="1" s="1"/>
  <c r="AO272" i="1"/>
  <c r="S272" i="1" s="1"/>
  <c r="AS272" i="1"/>
  <c r="AA272" i="1" s="1"/>
  <c r="AL272" i="1"/>
  <c r="M272" i="1" s="1"/>
  <c r="AP272" i="1"/>
  <c r="U272" i="1" s="1"/>
  <c r="AT272" i="1"/>
  <c r="AC272" i="1" s="1"/>
  <c r="AQ272" i="1"/>
  <c r="W272" i="1" s="1"/>
  <c r="AR272" i="1"/>
  <c r="Y272" i="1" s="1"/>
  <c r="AK236" i="1"/>
  <c r="K236" i="1" s="1"/>
  <c r="AO236" i="1"/>
  <c r="S236" i="1" s="1"/>
  <c r="AS236" i="1"/>
  <c r="AA236" i="1" s="1"/>
  <c r="AL236" i="1"/>
  <c r="M236" i="1" s="1"/>
  <c r="AP236" i="1"/>
  <c r="U236" i="1" s="1"/>
  <c r="AT236" i="1"/>
  <c r="AC236" i="1" s="1"/>
  <c r="AM236" i="1"/>
  <c r="O236" i="1" s="1"/>
  <c r="AN236" i="1"/>
  <c r="Q236" i="1" s="1"/>
  <c r="AK224" i="1"/>
  <c r="K224" i="1" s="1"/>
  <c r="AO224" i="1"/>
  <c r="S224" i="1" s="1"/>
  <c r="AS224" i="1"/>
  <c r="AA224" i="1" s="1"/>
  <c r="AL224" i="1"/>
  <c r="M224" i="1" s="1"/>
  <c r="AP224" i="1"/>
  <c r="U224" i="1" s="1"/>
  <c r="AT224" i="1"/>
  <c r="AC224" i="1" s="1"/>
  <c r="AQ224" i="1"/>
  <c r="W224" i="1" s="1"/>
  <c r="AR224" i="1"/>
  <c r="Y224" i="1" s="1"/>
  <c r="AK216" i="1"/>
  <c r="K216" i="1" s="1"/>
  <c r="AO216" i="1"/>
  <c r="S216" i="1" s="1"/>
  <c r="AS216" i="1"/>
  <c r="AA216" i="1" s="1"/>
  <c r="AL216" i="1"/>
  <c r="M216" i="1" s="1"/>
  <c r="AP216" i="1"/>
  <c r="U216" i="1" s="1"/>
  <c r="AT216" i="1"/>
  <c r="AC216" i="1" s="1"/>
  <c r="AQ216" i="1"/>
  <c r="W216" i="1" s="1"/>
  <c r="AR216" i="1"/>
  <c r="Y216" i="1" s="1"/>
  <c r="AK192" i="1"/>
  <c r="K192" i="1" s="1"/>
  <c r="AO192" i="1"/>
  <c r="S192" i="1" s="1"/>
  <c r="AS192" i="1"/>
  <c r="AA192" i="1" s="1"/>
  <c r="AL192" i="1"/>
  <c r="M192" i="1" s="1"/>
  <c r="AQ192" i="1"/>
  <c r="W192" i="1" s="1"/>
  <c r="AM192" i="1"/>
  <c r="O192" i="1" s="1"/>
  <c r="AR192" i="1"/>
  <c r="Y192" i="1" s="1"/>
  <c r="AP192" i="1"/>
  <c r="U192" i="1" s="1"/>
  <c r="AT192" i="1"/>
  <c r="AC192" i="1" s="1"/>
  <c r="AM180" i="1"/>
  <c r="O180" i="1" s="1"/>
  <c r="AQ180" i="1"/>
  <c r="W180" i="1" s="1"/>
  <c r="AN180" i="1"/>
  <c r="Q180" i="1" s="1"/>
  <c r="AR180" i="1"/>
  <c r="Y180" i="1" s="1"/>
  <c r="AK180" i="1"/>
  <c r="K180" i="1" s="1"/>
  <c r="AO180" i="1"/>
  <c r="S180" i="1" s="1"/>
  <c r="AS180" i="1"/>
  <c r="AA180" i="1" s="1"/>
  <c r="AL180" i="1"/>
  <c r="M180" i="1" s="1"/>
  <c r="AM172" i="1"/>
  <c r="O172" i="1" s="1"/>
  <c r="AQ172" i="1"/>
  <c r="W172" i="1" s="1"/>
  <c r="AN172" i="1"/>
  <c r="Q172" i="1" s="1"/>
  <c r="AR172" i="1"/>
  <c r="Y172" i="1" s="1"/>
  <c r="AK172" i="1"/>
  <c r="K172" i="1" s="1"/>
  <c r="AO172" i="1"/>
  <c r="S172" i="1" s="1"/>
  <c r="AS172" i="1"/>
  <c r="AA172" i="1" s="1"/>
  <c r="AP172" i="1"/>
  <c r="U172" i="1" s="1"/>
  <c r="AT172" i="1"/>
  <c r="AC172" i="1" s="1"/>
  <c r="AL172" i="1"/>
  <c r="M172" i="1" s="1"/>
  <c r="AM136" i="1"/>
  <c r="O136" i="1" s="1"/>
  <c r="AQ136" i="1"/>
  <c r="W136" i="1" s="1"/>
  <c r="AN136" i="1"/>
  <c r="Q136" i="1" s="1"/>
  <c r="AR136" i="1"/>
  <c r="Y136" i="1" s="1"/>
  <c r="AK136" i="1"/>
  <c r="K136" i="1" s="1"/>
  <c r="AO136" i="1"/>
  <c r="S136" i="1" s="1"/>
  <c r="AS136" i="1"/>
  <c r="AA136" i="1" s="1"/>
  <c r="AT136" i="1"/>
  <c r="AC136" i="1" s="1"/>
  <c r="AL136" i="1"/>
  <c r="M136" i="1" s="1"/>
  <c r="AP136" i="1"/>
  <c r="U136" i="1" s="1"/>
  <c r="AM132" i="1"/>
  <c r="O132" i="1" s="1"/>
  <c r="AQ132" i="1"/>
  <c r="W132" i="1" s="1"/>
  <c r="AN132" i="1"/>
  <c r="Q132" i="1" s="1"/>
  <c r="AR132" i="1"/>
  <c r="Y132" i="1" s="1"/>
  <c r="AK132" i="1"/>
  <c r="K132" i="1" s="1"/>
  <c r="AO132" i="1"/>
  <c r="S132" i="1" s="1"/>
  <c r="AS132" i="1"/>
  <c r="AA132" i="1" s="1"/>
  <c r="AL132" i="1"/>
  <c r="M132" i="1" s="1"/>
  <c r="AP132" i="1"/>
  <c r="U132" i="1" s="1"/>
  <c r="AT132" i="1"/>
  <c r="AC132" i="1" s="1"/>
  <c r="AK120" i="1"/>
  <c r="K120" i="1" s="1"/>
  <c r="AM120" i="1"/>
  <c r="O120" i="1" s="1"/>
  <c r="AQ120" i="1"/>
  <c r="W120" i="1" s="1"/>
  <c r="AN120" i="1"/>
  <c r="Q120" i="1" s="1"/>
  <c r="AR120" i="1"/>
  <c r="Y120" i="1" s="1"/>
  <c r="AO120" i="1"/>
  <c r="S120" i="1" s="1"/>
  <c r="AS120" i="1"/>
  <c r="AA120" i="1" s="1"/>
  <c r="AT120" i="1"/>
  <c r="AC120" i="1" s="1"/>
  <c r="AN108" i="1"/>
  <c r="Q108" i="1" s="1"/>
  <c r="AR108" i="1"/>
  <c r="Y108" i="1" s="1"/>
  <c r="AK108" i="1"/>
  <c r="K108" i="1" s="1"/>
  <c r="AO108" i="1"/>
  <c r="S108" i="1" s="1"/>
  <c r="AS108" i="1"/>
  <c r="AA108" i="1" s="1"/>
  <c r="AL108" i="1"/>
  <c r="M108" i="1" s="1"/>
  <c r="AP108" i="1"/>
  <c r="U108" i="1" s="1"/>
  <c r="AT108" i="1"/>
  <c r="AC108" i="1" s="1"/>
  <c r="AM108" i="1"/>
  <c r="O108" i="1" s="1"/>
  <c r="AQ108" i="1"/>
  <c r="W108" i="1" s="1"/>
  <c r="AN100" i="1"/>
  <c r="Q100" i="1" s="1"/>
  <c r="AR100" i="1"/>
  <c r="Y100" i="1" s="1"/>
  <c r="AK100" i="1"/>
  <c r="K100" i="1" s="1"/>
  <c r="AO100" i="1"/>
  <c r="S100" i="1" s="1"/>
  <c r="AS100" i="1"/>
  <c r="AA100" i="1" s="1"/>
  <c r="AL100" i="1"/>
  <c r="M100" i="1" s="1"/>
  <c r="AP100" i="1"/>
  <c r="U100" i="1" s="1"/>
  <c r="AT100" i="1"/>
  <c r="AC100" i="1" s="1"/>
  <c r="AM100" i="1"/>
  <c r="O100" i="1" s="1"/>
  <c r="AQ100" i="1"/>
  <c r="W100" i="1" s="1"/>
  <c r="AN92" i="1"/>
  <c r="Q92" i="1" s="1"/>
  <c r="AR92" i="1"/>
  <c r="Y92" i="1" s="1"/>
  <c r="AK92" i="1"/>
  <c r="K92" i="1" s="1"/>
  <c r="AO92" i="1"/>
  <c r="S92" i="1" s="1"/>
  <c r="AS92" i="1"/>
  <c r="AA92" i="1" s="1"/>
  <c r="AL92" i="1"/>
  <c r="M92" i="1" s="1"/>
  <c r="AP92" i="1"/>
  <c r="U92" i="1" s="1"/>
  <c r="AT92" i="1"/>
  <c r="AC92" i="1" s="1"/>
  <c r="AM92" i="1"/>
  <c r="O92" i="1" s="1"/>
  <c r="AQ92" i="1"/>
  <c r="W92" i="1" s="1"/>
  <c r="AN88" i="1"/>
  <c r="Q88" i="1" s="1"/>
  <c r="AR88" i="1"/>
  <c r="Y88" i="1" s="1"/>
  <c r="AK88" i="1"/>
  <c r="K88" i="1" s="1"/>
  <c r="AO88" i="1"/>
  <c r="S88" i="1" s="1"/>
  <c r="AS88" i="1"/>
  <c r="AA88" i="1" s="1"/>
  <c r="AL88" i="1"/>
  <c r="M88" i="1" s="1"/>
  <c r="AP88" i="1"/>
  <c r="U88" i="1" s="1"/>
  <c r="AT88" i="1"/>
  <c r="AC88" i="1" s="1"/>
  <c r="AM88" i="1"/>
  <c r="O88" i="1" s="1"/>
  <c r="AQ88" i="1"/>
  <c r="W88" i="1" s="1"/>
  <c r="AN40" i="1"/>
  <c r="Q40" i="1" s="1"/>
  <c r="AR40" i="1"/>
  <c r="Y40" i="1" s="1"/>
  <c r="AK40" i="1"/>
  <c r="K40" i="1" s="1"/>
  <c r="AO40" i="1"/>
  <c r="S40" i="1" s="1"/>
  <c r="AS40" i="1"/>
  <c r="AA40" i="1" s="1"/>
  <c r="AL40" i="1"/>
  <c r="M40" i="1" s="1"/>
  <c r="AP40" i="1"/>
  <c r="U40" i="1" s="1"/>
  <c r="AT40" i="1"/>
  <c r="AC40" i="1" s="1"/>
  <c r="AM40" i="1"/>
  <c r="O40" i="1" s="1"/>
  <c r="AQ40" i="1"/>
  <c r="W40" i="1" s="1"/>
  <c r="AN36" i="1"/>
  <c r="Q36" i="1" s="1"/>
  <c r="AR36" i="1"/>
  <c r="Y36" i="1" s="1"/>
  <c r="AK36" i="1"/>
  <c r="K36" i="1" s="1"/>
  <c r="AO36" i="1"/>
  <c r="S36" i="1" s="1"/>
  <c r="AS36" i="1"/>
  <c r="AA36" i="1" s="1"/>
  <c r="AL36" i="1"/>
  <c r="M36" i="1" s="1"/>
  <c r="AP36" i="1"/>
  <c r="U36" i="1" s="1"/>
  <c r="AT36" i="1"/>
  <c r="AC36" i="1" s="1"/>
  <c r="AM36" i="1"/>
  <c r="O36" i="1" s="1"/>
  <c r="AQ36" i="1"/>
  <c r="W36" i="1" s="1"/>
  <c r="AN32" i="1"/>
  <c r="Q32" i="1" s="1"/>
  <c r="AR32" i="1"/>
  <c r="Y32" i="1" s="1"/>
  <c r="AK32" i="1"/>
  <c r="K32" i="1" s="1"/>
  <c r="AO32" i="1"/>
  <c r="S32" i="1" s="1"/>
  <c r="AS32" i="1"/>
  <c r="AA32" i="1" s="1"/>
  <c r="AL32" i="1"/>
  <c r="M32" i="1" s="1"/>
  <c r="AP32" i="1"/>
  <c r="U32" i="1" s="1"/>
  <c r="AT32" i="1"/>
  <c r="AC32" i="1" s="1"/>
  <c r="AM32" i="1"/>
  <c r="O32" i="1" s="1"/>
  <c r="AQ32" i="1"/>
  <c r="W32" i="1" s="1"/>
  <c r="AN24" i="1"/>
  <c r="Q24" i="1" s="1"/>
  <c r="AR24" i="1"/>
  <c r="Y24" i="1" s="1"/>
  <c r="AK24" i="1"/>
  <c r="K24" i="1" s="1"/>
  <c r="AO24" i="1"/>
  <c r="S24" i="1" s="1"/>
  <c r="AS24" i="1"/>
  <c r="AA24" i="1" s="1"/>
  <c r="AL24" i="1"/>
  <c r="M24" i="1" s="1"/>
  <c r="AP24" i="1"/>
  <c r="U24" i="1" s="1"/>
  <c r="AT24" i="1"/>
  <c r="AC24" i="1" s="1"/>
  <c r="AM24" i="1"/>
  <c r="O24" i="1" s="1"/>
  <c r="AQ24" i="1"/>
  <c r="W24" i="1" s="1"/>
  <c r="AN8" i="1"/>
  <c r="Q8" i="1" s="1"/>
  <c r="AR8" i="1"/>
  <c r="Y8" i="1" s="1"/>
  <c r="AK8" i="1"/>
  <c r="K8" i="1" s="1"/>
  <c r="AO8" i="1"/>
  <c r="S8" i="1" s="1"/>
  <c r="AS8" i="1"/>
  <c r="AA8" i="1" s="1"/>
  <c r="AL8" i="1"/>
  <c r="M8" i="1" s="1"/>
  <c r="AP8" i="1"/>
  <c r="U8" i="1" s="1"/>
  <c r="AT8" i="1"/>
  <c r="AC8" i="1" s="1"/>
  <c r="AM8" i="1"/>
  <c r="O8" i="1" s="1"/>
  <c r="AQ8" i="1"/>
  <c r="W8" i="1" s="1"/>
  <c r="AR276" i="1"/>
  <c r="Y276" i="1" s="1"/>
  <c r="AN272" i="1"/>
  <c r="Q272" i="1" s="1"/>
  <c r="AR268" i="1"/>
  <c r="Y268" i="1" s="1"/>
  <c r="AN264" i="1"/>
  <c r="Q264" i="1" s="1"/>
  <c r="AR260" i="1"/>
  <c r="Y260" i="1" s="1"/>
  <c r="AR252" i="1"/>
  <c r="Y252" i="1" s="1"/>
  <c r="AN248" i="1"/>
  <c r="Q248" i="1" s="1"/>
  <c r="AR244" i="1"/>
  <c r="Y244" i="1" s="1"/>
  <c r="AR236" i="1"/>
  <c r="Y236" i="1" s="1"/>
  <c r="AN224" i="1"/>
  <c r="Q224" i="1" s="1"/>
  <c r="AR220" i="1"/>
  <c r="Y220" i="1" s="1"/>
  <c r="AN216" i="1"/>
  <c r="Q216" i="1" s="1"/>
  <c r="AR212" i="1"/>
  <c r="Y212" i="1" s="1"/>
  <c r="AR204" i="1"/>
  <c r="Y204" i="1" s="1"/>
  <c r="AN192" i="1"/>
  <c r="Q192" i="1" s="1"/>
  <c r="AL184" i="1"/>
  <c r="M184" i="1" s="1"/>
  <c r="AP180" i="1"/>
  <c r="U180" i="1" s="1"/>
  <c r="AL120" i="1"/>
  <c r="M120" i="1" s="1"/>
  <c r="AK256" i="1"/>
  <c r="K256" i="1" s="1"/>
  <c r="AO256" i="1"/>
  <c r="S256" i="1" s="1"/>
  <c r="AS256" i="1"/>
  <c r="AA256" i="1" s="1"/>
  <c r="AL256" i="1"/>
  <c r="M256" i="1" s="1"/>
  <c r="AP256" i="1"/>
  <c r="U256" i="1" s="1"/>
  <c r="AT256" i="1"/>
  <c r="AC256" i="1" s="1"/>
  <c r="AQ256" i="1"/>
  <c r="W256" i="1" s="1"/>
  <c r="AR256" i="1"/>
  <c r="Y256" i="1" s="1"/>
  <c r="AK240" i="1"/>
  <c r="K240" i="1" s="1"/>
  <c r="AO240" i="1"/>
  <c r="S240" i="1" s="1"/>
  <c r="AS240" i="1"/>
  <c r="AA240" i="1" s="1"/>
  <c r="AL240" i="1"/>
  <c r="M240" i="1" s="1"/>
  <c r="AP240" i="1"/>
  <c r="U240" i="1" s="1"/>
  <c r="AT240" i="1"/>
  <c r="AC240" i="1" s="1"/>
  <c r="AQ240" i="1"/>
  <c r="W240" i="1" s="1"/>
  <c r="AR240" i="1"/>
  <c r="Y240" i="1" s="1"/>
  <c r="AK232" i="1"/>
  <c r="K232" i="1" s="1"/>
  <c r="AO232" i="1"/>
  <c r="S232" i="1" s="1"/>
  <c r="AS232" i="1"/>
  <c r="AA232" i="1" s="1"/>
  <c r="AL232" i="1"/>
  <c r="M232" i="1" s="1"/>
  <c r="AP232" i="1"/>
  <c r="U232" i="1" s="1"/>
  <c r="AT232" i="1"/>
  <c r="AC232" i="1" s="1"/>
  <c r="AQ232" i="1"/>
  <c r="W232" i="1" s="1"/>
  <c r="AR232" i="1"/>
  <c r="Y232" i="1" s="1"/>
  <c r="AK228" i="1"/>
  <c r="K228" i="1" s="1"/>
  <c r="AO228" i="1"/>
  <c r="S228" i="1" s="1"/>
  <c r="AS228" i="1"/>
  <c r="AA228" i="1" s="1"/>
  <c r="AL228" i="1"/>
  <c r="M228" i="1" s="1"/>
  <c r="AP228" i="1"/>
  <c r="U228" i="1" s="1"/>
  <c r="AT228" i="1"/>
  <c r="AC228" i="1" s="1"/>
  <c r="AM228" i="1"/>
  <c r="O228" i="1" s="1"/>
  <c r="AN228" i="1"/>
  <c r="Q228" i="1" s="1"/>
  <c r="AK208" i="1"/>
  <c r="K208" i="1" s="1"/>
  <c r="AO208" i="1"/>
  <c r="S208" i="1" s="1"/>
  <c r="AS208" i="1"/>
  <c r="AA208" i="1" s="1"/>
  <c r="AL208" i="1"/>
  <c r="M208" i="1" s="1"/>
  <c r="AP208" i="1"/>
  <c r="U208" i="1" s="1"/>
  <c r="AT208" i="1"/>
  <c r="AC208" i="1" s="1"/>
  <c r="AQ208" i="1"/>
  <c r="W208" i="1" s="1"/>
  <c r="AR208" i="1"/>
  <c r="Y208" i="1" s="1"/>
  <c r="AK200" i="1"/>
  <c r="K200" i="1" s="1"/>
  <c r="AO200" i="1"/>
  <c r="S200" i="1" s="1"/>
  <c r="AS200" i="1"/>
  <c r="AA200" i="1" s="1"/>
  <c r="AL200" i="1"/>
  <c r="M200" i="1" s="1"/>
  <c r="AP200" i="1"/>
  <c r="U200" i="1" s="1"/>
  <c r="AT200" i="1"/>
  <c r="AC200" i="1" s="1"/>
  <c r="AQ200" i="1"/>
  <c r="W200" i="1" s="1"/>
  <c r="AR200" i="1"/>
  <c r="Y200" i="1" s="1"/>
  <c r="AK196" i="1"/>
  <c r="K196" i="1" s="1"/>
  <c r="AO196" i="1"/>
  <c r="S196" i="1" s="1"/>
  <c r="AS196" i="1"/>
  <c r="AA196" i="1" s="1"/>
  <c r="AL196" i="1"/>
  <c r="M196" i="1" s="1"/>
  <c r="AP196" i="1"/>
  <c r="U196" i="1" s="1"/>
  <c r="AT196" i="1"/>
  <c r="AC196" i="1" s="1"/>
  <c r="AM196" i="1"/>
  <c r="O196" i="1" s="1"/>
  <c r="AN196" i="1"/>
  <c r="Q196" i="1" s="1"/>
  <c r="AK188" i="1"/>
  <c r="K188" i="1" s="1"/>
  <c r="AO188" i="1"/>
  <c r="S188" i="1" s="1"/>
  <c r="AS188" i="1"/>
  <c r="AA188" i="1" s="1"/>
  <c r="AM188" i="1"/>
  <c r="O188" i="1" s="1"/>
  <c r="AR188" i="1"/>
  <c r="Y188" i="1" s="1"/>
  <c r="AN188" i="1"/>
  <c r="Q188" i="1" s="1"/>
  <c r="AT188" i="1"/>
  <c r="AC188" i="1" s="1"/>
  <c r="AQ188" i="1"/>
  <c r="W188" i="1" s="1"/>
  <c r="AM176" i="1"/>
  <c r="O176" i="1" s="1"/>
  <c r="AQ176" i="1"/>
  <c r="W176" i="1" s="1"/>
  <c r="AN176" i="1"/>
  <c r="Q176" i="1" s="1"/>
  <c r="AR176" i="1"/>
  <c r="Y176" i="1" s="1"/>
  <c r="AK176" i="1"/>
  <c r="K176" i="1" s="1"/>
  <c r="AO176" i="1"/>
  <c r="S176" i="1" s="1"/>
  <c r="AS176" i="1"/>
  <c r="AA176" i="1" s="1"/>
  <c r="AL176" i="1"/>
  <c r="M176" i="1" s="1"/>
  <c r="AP176" i="1"/>
  <c r="U176" i="1" s="1"/>
  <c r="AM164" i="1"/>
  <c r="O164" i="1" s="1"/>
  <c r="AQ164" i="1"/>
  <c r="W164" i="1" s="1"/>
  <c r="AN164" i="1"/>
  <c r="Q164" i="1" s="1"/>
  <c r="AR164" i="1"/>
  <c r="Y164" i="1" s="1"/>
  <c r="AK164" i="1"/>
  <c r="K164" i="1" s="1"/>
  <c r="AO164" i="1"/>
  <c r="S164" i="1" s="1"/>
  <c r="AS164" i="1"/>
  <c r="AA164" i="1" s="1"/>
  <c r="AL164" i="1"/>
  <c r="M164" i="1" s="1"/>
  <c r="AP164" i="1"/>
  <c r="U164" i="1" s="1"/>
  <c r="AT164" i="1"/>
  <c r="AC164" i="1" s="1"/>
  <c r="AM160" i="1"/>
  <c r="O160" i="1" s="1"/>
  <c r="AQ160" i="1"/>
  <c r="W160" i="1" s="1"/>
  <c r="AN160" i="1"/>
  <c r="Q160" i="1" s="1"/>
  <c r="AR160" i="1"/>
  <c r="Y160" i="1" s="1"/>
  <c r="AK160" i="1"/>
  <c r="K160" i="1" s="1"/>
  <c r="AO160" i="1"/>
  <c r="S160" i="1" s="1"/>
  <c r="AS160" i="1"/>
  <c r="AA160" i="1" s="1"/>
  <c r="AL160" i="1"/>
  <c r="M160" i="1" s="1"/>
  <c r="AP160" i="1"/>
  <c r="U160" i="1" s="1"/>
  <c r="AT160" i="1"/>
  <c r="AC160" i="1" s="1"/>
  <c r="AM156" i="1"/>
  <c r="O156" i="1" s="1"/>
  <c r="AQ156" i="1"/>
  <c r="W156" i="1" s="1"/>
  <c r="AN156" i="1"/>
  <c r="Q156" i="1" s="1"/>
  <c r="AR156" i="1"/>
  <c r="Y156" i="1" s="1"/>
  <c r="AK156" i="1"/>
  <c r="K156" i="1" s="1"/>
  <c r="AO156" i="1"/>
  <c r="S156" i="1" s="1"/>
  <c r="AS156" i="1"/>
  <c r="AA156" i="1" s="1"/>
  <c r="AP156" i="1"/>
  <c r="U156" i="1" s="1"/>
  <c r="AT156" i="1"/>
  <c r="AC156" i="1" s="1"/>
  <c r="AM152" i="1"/>
  <c r="O152" i="1" s="1"/>
  <c r="AQ152" i="1"/>
  <c r="W152" i="1" s="1"/>
  <c r="AN152" i="1"/>
  <c r="Q152" i="1" s="1"/>
  <c r="AR152" i="1"/>
  <c r="Y152" i="1" s="1"/>
  <c r="AK152" i="1"/>
  <c r="K152" i="1" s="1"/>
  <c r="AO152" i="1"/>
  <c r="S152" i="1" s="1"/>
  <c r="AS152" i="1"/>
  <c r="AA152" i="1" s="1"/>
  <c r="AT152" i="1"/>
  <c r="AC152" i="1" s="1"/>
  <c r="AM144" i="1"/>
  <c r="O144" i="1" s="1"/>
  <c r="AQ144" i="1"/>
  <c r="W144" i="1" s="1"/>
  <c r="AN144" i="1"/>
  <c r="Q144" i="1" s="1"/>
  <c r="AR144" i="1"/>
  <c r="Y144" i="1" s="1"/>
  <c r="AK144" i="1"/>
  <c r="K144" i="1" s="1"/>
  <c r="AO144" i="1"/>
  <c r="S144" i="1" s="1"/>
  <c r="AS144" i="1"/>
  <c r="AA144" i="1" s="1"/>
  <c r="AL144" i="1"/>
  <c r="M144" i="1" s="1"/>
  <c r="AP144" i="1"/>
  <c r="U144" i="1" s="1"/>
  <c r="AM128" i="1"/>
  <c r="O128" i="1" s="1"/>
  <c r="AQ128" i="1"/>
  <c r="W128" i="1" s="1"/>
  <c r="AN128" i="1"/>
  <c r="Q128" i="1" s="1"/>
  <c r="AR128" i="1"/>
  <c r="Y128" i="1" s="1"/>
  <c r="AK128" i="1"/>
  <c r="K128" i="1" s="1"/>
  <c r="AO128" i="1"/>
  <c r="S128" i="1" s="1"/>
  <c r="AS128" i="1"/>
  <c r="AA128" i="1" s="1"/>
  <c r="AL128" i="1"/>
  <c r="M128" i="1" s="1"/>
  <c r="AP128" i="1"/>
  <c r="U128" i="1" s="1"/>
  <c r="AT128" i="1"/>
  <c r="AC128" i="1" s="1"/>
  <c r="AK116" i="1"/>
  <c r="K116" i="1" s="1"/>
  <c r="AO116" i="1"/>
  <c r="S116" i="1" s="1"/>
  <c r="AS116" i="1"/>
  <c r="AA116" i="1" s="1"/>
  <c r="AL116" i="1"/>
  <c r="M116" i="1" s="1"/>
  <c r="AP116" i="1"/>
  <c r="U116" i="1" s="1"/>
  <c r="AT116" i="1"/>
  <c r="AC116" i="1" s="1"/>
  <c r="AR116" i="1"/>
  <c r="Y116" i="1" s="1"/>
  <c r="AM116" i="1"/>
  <c r="O116" i="1" s="1"/>
  <c r="AN116" i="1"/>
  <c r="Q116" i="1" s="1"/>
  <c r="AN104" i="1"/>
  <c r="Q104" i="1" s="1"/>
  <c r="AR104" i="1"/>
  <c r="Y104" i="1" s="1"/>
  <c r="AK104" i="1"/>
  <c r="K104" i="1" s="1"/>
  <c r="AO104" i="1"/>
  <c r="S104" i="1" s="1"/>
  <c r="AS104" i="1"/>
  <c r="AA104" i="1" s="1"/>
  <c r="AL104" i="1"/>
  <c r="M104" i="1" s="1"/>
  <c r="AP104" i="1"/>
  <c r="U104" i="1" s="1"/>
  <c r="AT104" i="1"/>
  <c r="AC104" i="1" s="1"/>
  <c r="AM104" i="1"/>
  <c r="O104" i="1" s="1"/>
  <c r="AQ104" i="1"/>
  <c r="W104" i="1" s="1"/>
  <c r="AN84" i="1"/>
  <c r="Q84" i="1" s="1"/>
  <c r="AR84" i="1"/>
  <c r="Y84" i="1" s="1"/>
  <c r="AK84" i="1"/>
  <c r="K84" i="1" s="1"/>
  <c r="AO84" i="1"/>
  <c r="S84" i="1" s="1"/>
  <c r="AS84" i="1"/>
  <c r="AA84" i="1" s="1"/>
  <c r="AL84" i="1"/>
  <c r="M84" i="1" s="1"/>
  <c r="AP84" i="1"/>
  <c r="U84" i="1" s="1"/>
  <c r="AT84" i="1"/>
  <c r="AC84" i="1" s="1"/>
  <c r="AM84" i="1"/>
  <c r="O84" i="1" s="1"/>
  <c r="AQ84" i="1"/>
  <c r="W84" i="1" s="1"/>
  <c r="AN80" i="1"/>
  <c r="Q80" i="1" s="1"/>
  <c r="AR80" i="1"/>
  <c r="Y80" i="1" s="1"/>
  <c r="AK80" i="1"/>
  <c r="K80" i="1" s="1"/>
  <c r="AO80" i="1"/>
  <c r="S80" i="1" s="1"/>
  <c r="AS80" i="1"/>
  <c r="AA80" i="1" s="1"/>
  <c r="AL80" i="1"/>
  <c r="M80" i="1" s="1"/>
  <c r="AP80" i="1"/>
  <c r="U80" i="1" s="1"/>
  <c r="AT80" i="1"/>
  <c r="AC80" i="1" s="1"/>
  <c r="AM80" i="1"/>
  <c r="O80" i="1" s="1"/>
  <c r="AQ80" i="1"/>
  <c r="W80" i="1" s="1"/>
  <c r="AN76" i="1"/>
  <c r="Q76" i="1" s="1"/>
  <c r="AR76" i="1"/>
  <c r="Y76" i="1" s="1"/>
  <c r="AK76" i="1"/>
  <c r="K76" i="1" s="1"/>
  <c r="AO76" i="1"/>
  <c r="S76" i="1" s="1"/>
  <c r="AS76" i="1"/>
  <c r="AA76" i="1" s="1"/>
  <c r="AL76" i="1"/>
  <c r="M76" i="1" s="1"/>
  <c r="AP76" i="1"/>
  <c r="U76" i="1" s="1"/>
  <c r="AT76" i="1"/>
  <c r="AC76" i="1" s="1"/>
  <c r="AM76" i="1"/>
  <c r="O76" i="1" s="1"/>
  <c r="AQ76" i="1"/>
  <c r="W76" i="1" s="1"/>
  <c r="AN72" i="1"/>
  <c r="Q72" i="1" s="1"/>
  <c r="AR72" i="1"/>
  <c r="Y72" i="1" s="1"/>
  <c r="AK72" i="1"/>
  <c r="K72" i="1" s="1"/>
  <c r="AO72" i="1"/>
  <c r="S72" i="1" s="1"/>
  <c r="AS72" i="1"/>
  <c r="AA72" i="1" s="1"/>
  <c r="AL72" i="1"/>
  <c r="M72" i="1" s="1"/>
  <c r="AP72" i="1"/>
  <c r="U72" i="1" s="1"/>
  <c r="AT72" i="1"/>
  <c r="AC72" i="1" s="1"/>
  <c r="AM72" i="1"/>
  <c r="O72" i="1" s="1"/>
  <c r="AQ72" i="1"/>
  <c r="W72" i="1" s="1"/>
  <c r="AN68" i="1"/>
  <c r="Q68" i="1" s="1"/>
  <c r="AR68" i="1"/>
  <c r="Y68" i="1" s="1"/>
  <c r="AK68" i="1"/>
  <c r="K68" i="1" s="1"/>
  <c r="AO68" i="1"/>
  <c r="S68" i="1" s="1"/>
  <c r="AS68" i="1"/>
  <c r="AA68" i="1" s="1"/>
  <c r="AL68" i="1"/>
  <c r="M68" i="1" s="1"/>
  <c r="AP68" i="1"/>
  <c r="U68" i="1" s="1"/>
  <c r="AT68" i="1"/>
  <c r="AC68" i="1" s="1"/>
  <c r="AM68" i="1"/>
  <c r="O68" i="1" s="1"/>
  <c r="AQ68" i="1"/>
  <c r="W68" i="1" s="1"/>
  <c r="AN64" i="1"/>
  <c r="Q64" i="1" s="1"/>
  <c r="AR64" i="1"/>
  <c r="Y64" i="1" s="1"/>
  <c r="AK64" i="1"/>
  <c r="K64" i="1" s="1"/>
  <c r="AO64" i="1"/>
  <c r="S64" i="1" s="1"/>
  <c r="AS64" i="1"/>
  <c r="AA64" i="1" s="1"/>
  <c r="AL64" i="1"/>
  <c r="M64" i="1" s="1"/>
  <c r="AP64" i="1"/>
  <c r="U64" i="1" s="1"/>
  <c r="AT64" i="1"/>
  <c r="AC64" i="1" s="1"/>
  <c r="AM64" i="1"/>
  <c r="O64" i="1" s="1"/>
  <c r="AQ64" i="1"/>
  <c r="W64" i="1" s="1"/>
  <c r="AN60" i="1"/>
  <c r="Q60" i="1" s="1"/>
  <c r="AR60" i="1"/>
  <c r="Y60" i="1" s="1"/>
  <c r="AK60" i="1"/>
  <c r="K60" i="1" s="1"/>
  <c r="AO60" i="1"/>
  <c r="S60" i="1" s="1"/>
  <c r="AS60" i="1"/>
  <c r="AA60" i="1" s="1"/>
  <c r="AL60" i="1"/>
  <c r="M60" i="1" s="1"/>
  <c r="AP60" i="1"/>
  <c r="U60" i="1" s="1"/>
  <c r="AT60" i="1"/>
  <c r="AC60" i="1" s="1"/>
  <c r="AM60" i="1"/>
  <c r="O60" i="1" s="1"/>
  <c r="AQ60" i="1"/>
  <c r="W60" i="1" s="1"/>
  <c r="AN56" i="1"/>
  <c r="Q56" i="1" s="1"/>
  <c r="AR56" i="1"/>
  <c r="Y56" i="1" s="1"/>
  <c r="AK56" i="1"/>
  <c r="K56" i="1" s="1"/>
  <c r="AO56" i="1"/>
  <c r="S56" i="1" s="1"/>
  <c r="AS56" i="1"/>
  <c r="AA56" i="1" s="1"/>
  <c r="AL56" i="1"/>
  <c r="M56" i="1" s="1"/>
  <c r="AP56" i="1"/>
  <c r="U56" i="1" s="1"/>
  <c r="AT56" i="1"/>
  <c r="AC56" i="1" s="1"/>
  <c r="AM56" i="1"/>
  <c r="O56" i="1" s="1"/>
  <c r="AQ56" i="1"/>
  <c r="W56" i="1" s="1"/>
  <c r="AN52" i="1"/>
  <c r="Q52" i="1" s="1"/>
  <c r="AR52" i="1"/>
  <c r="Y52" i="1" s="1"/>
  <c r="AK52" i="1"/>
  <c r="K52" i="1" s="1"/>
  <c r="AO52" i="1"/>
  <c r="S52" i="1" s="1"/>
  <c r="AS52" i="1"/>
  <c r="AA52" i="1" s="1"/>
  <c r="AL52" i="1"/>
  <c r="M52" i="1" s="1"/>
  <c r="AP52" i="1"/>
  <c r="U52" i="1" s="1"/>
  <c r="AT52" i="1"/>
  <c r="AC52" i="1" s="1"/>
  <c r="AM52" i="1"/>
  <c r="O52" i="1" s="1"/>
  <c r="AQ52" i="1"/>
  <c r="W52" i="1" s="1"/>
  <c r="AN48" i="1"/>
  <c r="Q48" i="1" s="1"/>
  <c r="AR48" i="1"/>
  <c r="Y48" i="1" s="1"/>
  <c r="AK48" i="1"/>
  <c r="K48" i="1" s="1"/>
  <c r="AO48" i="1"/>
  <c r="S48" i="1" s="1"/>
  <c r="AS48" i="1"/>
  <c r="AA48" i="1" s="1"/>
  <c r="AL48" i="1"/>
  <c r="M48" i="1" s="1"/>
  <c r="AP48" i="1"/>
  <c r="U48" i="1" s="1"/>
  <c r="AT48" i="1"/>
  <c r="AC48" i="1" s="1"/>
  <c r="AM48" i="1"/>
  <c r="O48" i="1" s="1"/>
  <c r="AQ48" i="1"/>
  <c r="W48" i="1" s="1"/>
  <c r="AN44" i="1"/>
  <c r="Q44" i="1" s="1"/>
  <c r="AR44" i="1"/>
  <c r="Y44" i="1" s="1"/>
  <c r="AK44" i="1"/>
  <c r="K44" i="1" s="1"/>
  <c r="AO44" i="1"/>
  <c r="S44" i="1" s="1"/>
  <c r="AS44" i="1"/>
  <c r="AA44" i="1" s="1"/>
  <c r="AL44" i="1"/>
  <c r="M44" i="1" s="1"/>
  <c r="AP44" i="1"/>
  <c r="U44" i="1" s="1"/>
  <c r="AT44" i="1"/>
  <c r="AC44" i="1" s="1"/>
  <c r="AM44" i="1"/>
  <c r="O44" i="1" s="1"/>
  <c r="AQ44" i="1"/>
  <c r="W44" i="1" s="1"/>
  <c r="AN28" i="1"/>
  <c r="Q28" i="1" s="1"/>
  <c r="AR28" i="1"/>
  <c r="Y28" i="1" s="1"/>
  <c r="AK28" i="1"/>
  <c r="K28" i="1" s="1"/>
  <c r="AO28" i="1"/>
  <c r="S28" i="1" s="1"/>
  <c r="AS28" i="1"/>
  <c r="AA28" i="1" s="1"/>
  <c r="AL28" i="1"/>
  <c r="M28" i="1" s="1"/>
  <c r="AP28" i="1"/>
  <c r="U28" i="1" s="1"/>
  <c r="AT28" i="1"/>
  <c r="AC28" i="1" s="1"/>
  <c r="AM28" i="1"/>
  <c r="O28" i="1" s="1"/>
  <c r="AQ28" i="1"/>
  <c r="W28" i="1" s="1"/>
  <c r="AN20" i="1"/>
  <c r="Q20" i="1" s="1"/>
  <c r="AR20" i="1"/>
  <c r="Y20" i="1" s="1"/>
  <c r="AK20" i="1"/>
  <c r="K20" i="1" s="1"/>
  <c r="AO20" i="1"/>
  <c r="S20" i="1" s="1"/>
  <c r="AS20" i="1"/>
  <c r="AA20" i="1" s="1"/>
  <c r="AL20" i="1"/>
  <c r="M20" i="1" s="1"/>
  <c r="AP20" i="1"/>
  <c r="U20" i="1" s="1"/>
  <c r="AT20" i="1"/>
  <c r="AC20" i="1" s="1"/>
  <c r="AM20" i="1"/>
  <c r="O20" i="1" s="1"/>
  <c r="AQ20" i="1"/>
  <c r="W20" i="1" s="1"/>
  <c r="AN16" i="1"/>
  <c r="Q16" i="1" s="1"/>
  <c r="AR16" i="1"/>
  <c r="Y16" i="1" s="1"/>
  <c r="AK16" i="1"/>
  <c r="K16" i="1" s="1"/>
  <c r="AO16" i="1"/>
  <c r="S16" i="1" s="1"/>
  <c r="AS16" i="1"/>
  <c r="AA16" i="1" s="1"/>
  <c r="AL16" i="1"/>
  <c r="M16" i="1" s="1"/>
  <c r="AP16" i="1"/>
  <c r="U16" i="1" s="1"/>
  <c r="AT16" i="1"/>
  <c r="AC16" i="1" s="1"/>
  <c r="AM16" i="1"/>
  <c r="O16" i="1" s="1"/>
  <c r="AQ16" i="1"/>
  <c r="W16" i="1" s="1"/>
  <c r="AN12" i="1"/>
  <c r="Q12" i="1" s="1"/>
  <c r="AR12" i="1"/>
  <c r="Y12" i="1" s="1"/>
  <c r="AK12" i="1"/>
  <c r="K12" i="1" s="1"/>
  <c r="AO12" i="1"/>
  <c r="S12" i="1" s="1"/>
  <c r="AS12" i="1"/>
  <c r="AA12" i="1" s="1"/>
  <c r="AL12" i="1"/>
  <c r="M12" i="1" s="1"/>
  <c r="AP12" i="1"/>
  <c r="U12" i="1" s="1"/>
  <c r="AT12" i="1"/>
  <c r="AC12" i="1" s="1"/>
  <c r="AM12" i="1"/>
  <c r="O12" i="1" s="1"/>
  <c r="AQ12" i="1"/>
  <c r="W12" i="1" s="1"/>
  <c r="AQ276" i="1"/>
  <c r="W276" i="1" s="1"/>
  <c r="AM272" i="1"/>
  <c r="O272" i="1" s="1"/>
  <c r="AM256" i="1"/>
  <c r="O256" i="1" s="1"/>
  <c r="AM240" i="1"/>
  <c r="O240" i="1" s="1"/>
  <c r="AQ236" i="1"/>
  <c r="W236" i="1" s="1"/>
  <c r="AM232" i="1"/>
  <c r="O232" i="1" s="1"/>
  <c r="AQ228" i="1"/>
  <c r="W228" i="1" s="1"/>
  <c r="AM224" i="1"/>
  <c r="O224" i="1" s="1"/>
  <c r="AM216" i="1"/>
  <c r="O216" i="1" s="1"/>
  <c r="AM208" i="1"/>
  <c r="O208" i="1" s="1"/>
  <c r="AM200" i="1"/>
  <c r="O200" i="1" s="1"/>
  <c r="AQ196" i="1"/>
  <c r="W196" i="1" s="1"/>
  <c r="AP152" i="1"/>
  <c r="U152" i="1" s="1"/>
  <c r="AT144" i="1"/>
  <c r="AC144" i="1" s="1"/>
  <c r="AK268" i="1"/>
  <c r="K268" i="1" s="1"/>
  <c r="AO268" i="1"/>
  <c r="S268" i="1" s="1"/>
  <c r="AS268" i="1"/>
  <c r="AA268" i="1" s="1"/>
  <c r="AL268" i="1"/>
  <c r="M268" i="1" s="1"/>
  <c r="AP268" i="1"/>
  <c r="U268" i="1" s="1"/>
  <c r="AT268" i="1"/>
  <c r="AC268" i="1" s="1"/>
  <c r="AM268" i="1"/>
  <c r="O268" i="1" s="1"/>
  <c r="AN268" i="1"/>
  <c r="Q268" i="1" s="1"/>
  <c r="AK264" i="1"/>
  <c r="K264" i="1" s="1"/>
  <c r="AO264" i="1"/>
  <c r="S264" i="1" s="1"/>
  <c r="AS264" i="1"/>
  <c r="AA264" i="1" s="1"/>
  <c r="AL264" i="1"/>
  <c r="M264" i="1" s="1"/>
  <c r="AP264" i="1"/>
  <c r="U264" i="1" s="1"/>
  <c r="AT264" i="1"/>
  <c r="AC264" i="1" s="1"/>
  <c r="AQ264" i="1"/>
  <c r="W264" i="1" s="1"/>
  <c r="AR264" i="1"/>
  <c r="Y264" i="1" s="1"/>
  <c r="AK260" i="1"/>
  <c r="K260" i="1" s="1"/>
  <c r="AO260" i="1"/>
  <c r="S260" i="1" s="1"/>
  <c r="AS260" i="1"/>
  <c r="AA260" i="1" s="1"/>
  <c r="AL260" i="1"/>
  <c r="M260" i="1" s="1"/>
  <c r="AP260" i="1"/>
  <c r="U260" i="1" s="1"/>
  <c r="AT260" i="1"/>
  <c r="AC260" i="1" s="1"/>
  <c r="AM260" i="1"/>
  <c r="O260" i="1" s="1"/>
  <c r="AN260" i="1"/>
  <c r="Q260" i="1" s="1"/>
  <c r="AK252" i="1"/>
  <c r="K252" i="1" s="1"/>
  <c r="AO252" i="1"/>
  <c r="S252" i="1" s="1"/>
  <c r="AS252" i="1"/>
  <c r="AA252" i="1" s="1"/>
  <c r="AL252" i="1"/>
  <c r="M252" i="1" s="1"/>
  <c r="AP252" i="1"/>
  <c r="U252" i="1" s="1"/>
  <c r="AT252" i="1"/>
  <c r="AC252" i="1" s="1"/>
  <c r="AM252" i="1"/>
  <c r="O252" i="1" s="1"/>
  <c r="AN252" i="1"/>
  <c r="Q252" i="1" s="1"/>
  <c r="AK248" i="1"/>
  <c r="K248" i="1" s="1"/>
  <c r="AO248" i="1"/>
  <c r="S248" i="1" s="1"/>
  <c r="AS248" i="1"/>
  <c r="AA248" i="1" s="1"/>
  <c r="AL248" i="1"/>
  <c r="M248" i="1" s="1"/>
  <c r="AP248" i="1"/>
  <c r="U248" i="1" s="1"/>
  <c r="AT248" i="1"/>
  <c r="AC248" i="1" s="1"/>
  <c r="AQ248" i="1"/>
  <c r="W248" i="1" s="1"/>
  <c r="AR248" i="1"/>
  <c r="Y248" i="1" s="1"/>
  <c r="AK244" i="1"/>
  <c r="K244" i="1" s="1"/>
  <c r="AO244" i="1"/>
  <c r="S244" i="1" s="1"/>
  <c r="AS244" i="1"/>
  <c r="AA244" i="1" s="1"/>
  <c r="AL244" i="1"/>
  <c r="M244" i="1" s="1"/>
  <c r="AP244" i="1"/>
  <c r="U244" i="1" s="1"/>
  <c r="AT244" i="1"/>
  <c r="AC244" i="1" s="1"/>
  <c r="AM244" i="1"/>
  <c r="O244" i="1" s="1"/>
  <c r="AN244" i="1"/>
  <c r="Q244" i="1" s="1"/>
  <c r="AK220" i="1"/>
  <c r="K220" i="1" s="1"/>
  <c r="AO220" i="1"/>
  <c r="S220" i="1" s="1"/>
  <c r="AS220" i="1"/>
  <c r="AA220" i="1" s="1"/>
  <c r="AL220" i="1"/>
  <c r="M220" i="1" s="1"/>
  <c r="AP220" i="1"/>
  <c r="U220" i="1" s="1"/>
  <c r="AT220" i="1"/>
  <c r="AC220" i="1" s="1"/>
  <c r="AM220" i="1"/>
  <c r="O220" i="1" s="1"/>
  <c r="AN220" i="1"/>
  <c r="Q220" i="1" s="1"/>
  <c r="AK212" i="1"/>
  <c r="K212" i="1" s="1"/>
  <c r="AO212" i="1"/>
  <c r="S212" i="1" s="1"/>
  <c r="AS212" i="1"/>
  <c r="AA212" i="1" s="1"/>
  <c r="AL212" i="1"/>
  <c r="M212" i="1" s="1"/>
  <c r="AP212" i="1"/>
  <c r="U212" i="1" s="1"/>
  <c r="AT212" i="1"/>
  <c r="AC212" i="1" s="1"/>
  <c r="AM212" i="1"/>
  <c r="O212" i="1" s="1"/>
  <c r="AN212" i="1"/>
  <c r="Q212" i="1" s="1"/>
  <c r="AK204" i="1"/>
  <c r="K204" i="1" s="1"/>
  <c r="AO204" i="1"/>
  <c r="S204" i="1" s="1"/>
  <c r="AS204" i="1"/>
  <c r="AA204" i="1" s="1"/>
  <c r="AL204" i="1"/>
  <c r="M204" i="1" s="1"/>
  <c r="AP204" i="1"/>
  <c r="U204" i="1" s="1"/>
  <c r="AT204" i="1"/>
  <c r="AC204" i="1" s="1"/>
  <c r="AM204" i="1"/>
  <c r="O204" i="1" s="1"/>
  <c r="AN204" i="1"/>
  <c r="Q204" i="1" s="1"/>
  <c r="AM184" i="1"/>
  <c r="O184" i="1" s="1"/>
  <c r="AQ184" i="1"/>
  <c r="W184" i="1" s="1"/>
  <c r="AN184" i="1"/>
  <c r="Q184" i="1" s="1"/>
  <c r="AR184" i="1"/>
  <c r="Y184" i="1" s="1"/>
  <c r="AK184" i="1"/>
  <c r="K184" i="1" s="1"/>
  <c r="AO184" i="1"/>
  <c r="S184" i="1" s="1"/>
  <c r="AS184" i="1"/>
  <c r="AA184" i="1" s="1"/>
  <c r="AT184" i="1"/>
  <c r="AC184" i="1" s="1"/>
  <c r="AM168" i="1"/>
  <c r="O168" i="1" s="1"/>
  <c r="AQ168" i="1"/>
  <c r="W168" i="1" s="1"/>
  <c r="AN168" i="1"/>
  <c r="Q168" i="1" s="1"/>
  <c r="AR168" i="1"/>
  <c r="Y168" i="1" s="1"/>
  <c r="AK168" i="1"/>
  <c r="K168" i="1" s="1"/>
  <c r="AO168" i="1"/>
  <c r="S168" i="1" s="1"/>
  <c r="AS168" i="1"/>
  <c r="AA168" i="1" s="1"/>
  <c r="AT168" i="1"/>
  <c r="AC168" i="1" s="1"/>
  <c r="AL168" i="1"/>
  <c r="M168" i="1" s="1"/>
  <c r="AP168" i="1"/>
  <c r="U168" i="1" s="1"/>
  <c r="AM148" i="1"/>
  <c r="O148" i="1" s="1"/>
  <c r="AQ148" i="1"/>
  <c r="W148" i="1" s="1"/>
  <c r="AN148" i="1"/>
  <c r="Q148" i="1" s="1"/>
  <c r="AR148" i="1"/>
  <c r="Y148" i="1" s="1"/>
  <c r="AK148" i="1"/>
  <c r="K148" i="1" s="1"/>
  <c r="AO148" i="1"/>
  <c r="S148" i="1" s="1"/>
  <c r="AS148" i="1"/>
  <c r="AA148" i="1" s="1"/>
  <c r="AL148" i="1"/>
  <c r="M148" i="1" s="1"/>
  <c r="AM140" i="1"/>
  <c r="O140" i="1" s="1"/>
  <c r="AQ140" i="1"/>
  <c r="W140" i="1" s="1"/>
  <c r="AN140" i="1"/>
  <c r="Q140" i="1" s="1"/>
  <c r="AR140" i="1"/>
  <c r="Y140" i="1" s="1"/>
  <c r="AK140" i="1"/>
  <c r="K140" i="1" s="1"/>
  <c r="AO140" i="1"/>
  <c r="S140" i="1" s="1"/>
  <c r="AS140" i="1"/>
  <c r="AA140" i="1" s="1"/>
  <c r="AP140" i="1"/>
  <c r="U140" i="1" s="1"/>
  <c r="AT140" i="1"/>
  <c r="AC140" i="1" s="1"/>
  <c r="AL140" i="1"/>
  <c r="M140" i="1" s="1"/>
  <c r="AM124" i="1"/>
  <c r="O124" i="1" s="1"/>
  <c r="AQ124" i="1"/>
  <c r="W124" i="1" s="1"/>
  <c r="AN124" i="1"/>
  <c r="Q124" i="1" s="1"/>
  <c r="AR124" i="1"/>
  <c r="Y124" i="1" s="1"/>
  <c r="AK124" i="1"/>
  <c r="K124" i="1" s="1"/>
  <c r="AO124" i="1"/>
  <c r="S124" i="1" s="1"/>
  <c r="AS124" i="1"/>
  <c r="AA124" i="1" s="1"/>
  <c r="AP124" i="1"/>
  <c r="U124" i="1" s="1"/>
  <c r="AT124" i="1"/>
  <c r="AC124" i="1" s="1"/>
  <c r="AN112" i="1"/>
  <c r="Q112" i="1" s="1"/>
  <c r="AR112" i="1"/>
  <c r="Y112" i="1" s="1"/>
  <c r="AK112" i="1"/>
  <c r="K112" i="1" s="1"/>
  <c r="AO112" i="1"/>
  <c r="S112" i="1" s="1"/>
  <c r="AS112" i="1"/>
  <c r="AA112" i="1" s="1"/>
  <c r="AL112" i="1"/>
  <c r="M112" i="1" s="1"/>
  <c r="AP112" i="1"/>
  <c r="U112" i="1" s="1"/>
  <c r="AT112" i="1"/>
  <c r="AC112" i="1" s="1"/>
  <c r="AM112" i="1"/>
  <c r="O112" i="1" s="1"/>
  <c r="AQ112" i="1"/>
  <c r="W112" i="1" s="1"/>
  <c r="AN96" i="1"/>
  <c r="Q96" i="1" s="1"/>
  <c r="AR96" i="1"/>
  <c r="Y96" i="1" s="1"/>
  <c r="AK96" i="1"/>
  <c r="K96" i="1" s="1"/>
  <c r="AO96" i="1"/>
  <c r="S96" i="1" s="1"/>
  <c r="AS96" i="1"/>
  <c r="AA96" i="1" s="1"/>
  <c r="AL96" i="1"/>
  <c r="M96" i="1" s="1"/>
  <c r="AP96" i="1"/>
  <c r="U96" i="1" s="1"/>
  <c r="AT96" i="1"/>
  <c r="AC96" i="1" s="1"/>
  <c r="AM96" i="1"/>
  <c r="O96" i="1" s="1"/>
  <c r="AQ96" i="1"/>
  <c r="W96" i="1" s="1"/>
  <c r="AL156" i="1"/>
  <c r="M156" i="1" s="1"/>
  <c r="AL152" i="1"/>
  <c r="M152" i="1" s="1"/>
  <c r="AP148" i="1"/>
  <c r="U148" i="1" s="1"/>
  <c r="AG237" i="1" l="1"/>
  <c r="AG45" i="1"/>
  <c r="AG189" i="1"/>
  <c r="AG205" i="1"/>
  <c r="AG253" i="1"/>
  <c r="AG61" i="1"/>
  <c r="AG149" i="1"/>
  <c r="AG37" i="1"/>
  <c r="AG85" i="1"/>
  <c r="AG141" i="1"/>
  <c r="AG269" i="1"/>
  <c r="AG29" i="1"/>
  <c r="AG53" i="1"/>
  <c r="AG109" i="1"/>
  <c r="AG101" i="1"/>
  <c r="AG21" i="1"/>
  <c r="N60" i="3"/>
  <c r="AG157" i="1"/>
  <c r="AG221" i="1"/>
  <c r="AG173" i="1"/>
  <c r="AG93" i="1"/>
  <c r="AG125" i="1"/>
  <c r="AG133" i="1"/>
  <c r="AG117" i="1"/>
  <c r="N126" i="3"/>
  <c r="N128" i="6"/>
  <c r="N258" i="3"/>
  <c r="N260" i="6"/>
  <c r="N160" i="3"/>
  <c r="N162" i="6"/>
  <c r="N147" i="3"/>
  <c r="N149" i="6"/>
  <c r="N260" i="3"/>
  <c r="N262" i="6"/>
  <c r="N268" i="3"/>
  <c r="N270" i="6"/>
  <c r="N164" i="3"/>
  <c r="N166" i="6"/>
  <c r="N225" i="3"/>
  <c r="N227" i="6"/>
  <c r="N100" i="3"/>
  <c r="N102" i="6"/>
  <c r="N242" i="3"/>
  <c r="N244" i="6"/>
  <c r="N177" i="3"/>
  <c r="N179" i="6"/>
  <c r="N163" i="3"/>
  <c r="N165" i="6"/>
  <c r="N145" i="3"/>
  <c r="N147" i="6"/>
  <c r="N148" i="3"/>
  <c r="N150" i="6"/>
  <c r="N172" i="3"/>
  <c r="N174" i="6"/>
  <c r="N246" i="3"/>
  <c r="N113" i="3"/>
  <c r="AG202" i="1"/>
  <c r="AG122" i="1"/>
  <c r="AG42" i="1"/>
  <c r="N195" i="3"/>
  <c r="AG114" i="1"/>
  <c r="AG170" i="1"/>
  <c r="AG226" i="1"/>
  <c r="AG274" i="1"/>
  <c r="AG106" i="1"/>
  <c r="AG162" i="1"/>
  <c r="AG210" i="1"/>
  <c r="AG250" i="1"/>
  <c r="AG98" i="1"/>
  <c r="AG218" i="1"/>
  <c r="AG58" i="1"/>
  <c r="AG178" i="1"/>
  <c r="AG90" i="1"/>
  <c r="AG234" i="1"/>
  <c r="AG138" i="1"/>
  <c r="N197" i="3"/>
  <c r="AG50" i="1"/>
  <c r="AG66" i="1"/>
  <c r="AG258" i="1"/>
  <c r="AG266" i="1"/>
  <c r="AG186" i="1"/>
  <c r="AG34" i="1"/>
  <c r="AG26" i="1"/>
  <c r="AG154" i="1"/>
  <c r="AG130" i="1"/>
  <c r="AG194" i="1"/>
  <c r="AG146" i="1"/>
  <c r="AG24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U308" i="1"/>
  <c r="U310" i="1" s="1"/>
  <c r="AG243" i="1"/>
  <c r="AG95" i="1"/>
  <c r="AG207" i="1"/>
  <c r="AG215" i="1"/>
  <c r="AG246" i="1"/>
  <c r="AG87" i="1"/>
  <c r="AG167" i="1"/>
  <c r="AG177" i="1"/>
  <c r="AG198" i="1"/>
  <c r="AG151" i="1"/>
  <c r="AG79" i="1"/>
  <c r="AG265" i="1"/>
  <c r="AG217" i="1"/>
  <c r="AG153" i="1"/>
  <c r="AG271" i="1"/>
  <c r="AG39" i="1"/>
  <c r="AG103" i="1"/>
  <c r="AG249" i="1"/>
  <c r="AG239" i="1"/>
  <c r="AG78" i="1"/>
  <c r="AG150" i="1"/>
  <c r="AG262" i="1"/>
  <c r="AG83" i="1"/>
  <c r="AG126" i="1"/>
  <c r="AG195" i="1"/>
  <c r="AG163" i="1"/>
  <c r="AG263" i="1"/>
  <c r="AG86" i="1"/>
  <c r="AG275" i="1"/>
  <c r="AG214" i="1"/>
  <c r="AG211" i="1"/>
  <c r="AG142" i="1"/>
  <c r="AG182" i="1"/>
  <c r="AG231" i="1"/>
  <c r="AG7" i="1"/>
  <c r="AG94" i="1"/>
  <c r="AG97" i="1"/>
  <c r="AG135" i="1"/>
  <c r="AG223" i="1"/>
  <c r="AG23" i="1"/>
  <c r="AG31" i="1"/>
  <c r="AG199" i="1"/>
  <c r="AG191" i="1"/>
  <c r="AG193" i="1"/>
  <c r="AG230" i="1"/>
  <c r="M308" i="1"/>
  <c r="M310" i="1" s="1"/>
  <c r="AG11" i="1"/>
  <c r="AG179" i="1"/>
  <c r="K308" i="1"/>
  <c r="K310" i="1" s="1"/>
  <c r="AG110" i="1"/>
  <c r="AG255" i="1"/>
  <c r="AG166" i="1"/>
  <c r="AA308" i="1"/>
  <c r="AA310" i="1" s="1"/>
  <c r="S308" i="1"/>
  <c r="S310" i="1" s="1"/>
  <c r="W308" i="1"/>
  <c r="W310" i="1" s="1"/>
  <c r="Y308" i="1"/>
  <c r="Y310" i="1" s="1"/>
  <c r="AG67" i="1"/>
  <c r="AG113" i="1"/>
  <c r="AG169" i="1"/>
  <c r="AG134" i="1"/>
  <c r="Q308" i="1"/>
  <c r="Q310" i="1" s="1"/>
  <c r="O308" i="1"/>
  <c r="O310" i="1" s="1"/>
  <c r="AC308" i="1"/>
  <c r="AC310" i="1" s="1"/>
  <c r="AG118" i="1"/>
  <c r="AG209" i="1"/>
  <c r="AG15" i="1"/>
  <c r="AG257" i="1"/>
  <c r="AG227" i="1"/>
  <c r="AG259" i="1"/>
  <c r="AG241" i="1"/>
  <c r="AG201" i="1"/>
  <c r="AG175" i="1"/>
  <c r="AG145" i="1"/>
  <c r="AG127" i="1"/>
  <c r="AG143" i="1"/>
  <c r="AG102" i="1"/>
  <c r="AG111" i="1"/>
  <c r="AG105" i="1"/>
  <c r="AG51" i="1"/>
  <c r="AG57" i="1"/>
  <c r="AG9" i="1"/>
  <c r="AG65" i="1"/>
  <c r="AG6" i="1"/>
  <c r="AG14" i="1"/>
  <c r="AG54" i="1"/>
  <c r="AG70" i="1"/>
  <c r="AG33" i="1"/>
  <c r="AG183" i="1"/>
  <c r="AG225" i="1"/>
  <c r="AG273" i="1"/>
  <c r="AG247" i="1"/>
  <c r="AG89" i="1"/>
  <c r="AG73" i="1"/>
  <c r="AG129" i="1"/>
  <c r="AG47" i="1"/>
  <c r="AG233" i="1"/>
  <c r="AG185" i="1"/>
  <c r="AG121" i="1"/>
  <c r="AG137" i="1"/>
  <c r="AG119" i="1"/>
  <c r="AG159" i="1"/>
  <c r="AG43" i="1"/>
  <c r="AG59" i="1"/>
  <c r="AG71" i="1"/>
  <c r="AG161" i="1"/>
  <c r="AG5" i="1"/>
  <c r="AG30" i="1"/>
  <c r="AG17" i="1"/>
  <c r="AG25" i="1"/>
  <c r="AG81" i="1"/>
  <c r="AG22" i="1"/>
  <c r="AG19" i="1"/>
  <c r="AG75" i="1"/>
  <c r="AG62" i="1"/>
  <c r="AE309" i="1"/>
  <c r="AG219" i="1"/>
  <c r="AG222" i="1"/>
  <c r="AG245" i="1"/>
  <c r="AG238" i="1"/>
  <c r="AG251" i="1"/>
  <c r="AG261" i="1"/>
  <c r="AG277" i="1"/>
  <c r="AG235" i="1"/>
  <c r="AG46" i="1"/>
  <c r="AG206" i="1"/>
  <c r="AG35" i="1"/>
  <c r="AG38" i="1"/>
  <c r="AG41" i="1"/>
  <c r="AG267" i="1"/>
  <c r="AG96" i="1"/>
  <c r="AG156" i="1"/>
  <c r="AG164" i="1"/>
  <c r="AG192" i="1"/>
  <c r="AG216" i="1"/>
  <c r="AG224" i="1"/>
  <c r="AG236" i="1"/>
  <c r="AG272" i="1"/>
  <c r="AG276" i="1"/>
  <c r="AG155" i="1"/>
  <c r="AG174" i="1"/>
  <c r="AG190" i="1"/>
  <c r="AG115" i="1"/>
  <c r="AG158" i="1"/>
  <c r="AG165" i="1"/>
  <c r="AG10" i="1"/>
  <c r="AG18" i="1"/>
  <c r="AG49" i="1"/>
  <c r="AG82" i="1"/>
  <c r="AG91" i="1"/>
  <c r="AG99" i="1"/>
  <c r="AG131" i="1"/>
  <c r="AG197" i="1"/>
  <c r="AG168" i="1"/>
  <c r="AG212" i="1"/>
  <c r="AG248" i="1"/>
  <c r="AG260" i="1"/>
  <c r="AG268" i="1"/>
  <c r="AG28" i="1"/>
  <c r="AG56" i="1"/>
  <c r="AG72" i="1"/>
  <c r="N103" i="3"/>
  <c r="AG104" i="1"/>
  <c r="AG176" i="1"/>
  <c r="AG188" i="1"/>
  <c r="AG196" i="1"/>
  <c r="AG200" i="1"/>
  <c r="AG208" i="1"/>
  <c r="AG228" i="1"/>
  <c r="AG232" i="1"/>
  <c r="AG240" i="1"/>
  <c r="AG256" i="1"/>
  <c r="AG24" i="1"/>
  <c r="AG36" i="1"/>
  <c r="AG88" i="1"/>
  <c r="N99" i="3"/>
  <c r="AG100" i="1"/>
  <c r="AG120" i="1"/>
  <c r="AG136" i="1"/>
  <c r="AG63" i="1"/>
  <c r="N106" i="3"/>
  <c r="AG107" i="1"/>
  <c r="AG116" i="1"/>
  <c r="AG124" i="1"/>
  <c r="AG220" i="1"/>
  <c r="AG252" i="1"/>
  <c r="AG264" i="1"/>
  <c r="AG64" i="1"/>
  <c r="AG80" i="1"/>
  <c r="AG112" i="1"/>
  <c r="AG128" i="1"/>
  <c r="AG160" i="1"/>
  <c r="AG74" i="1"/>
  <c r="AG171" i="1"/>
  <c r="AG181" i="1"/>
  <c r="AG203" i="1"/>
  <c r="AG27" i="1"/>
  <c r="AG254" i="1"/>
  <c r="AG139" i="1"/>
  <c r="AG213" i="1"/>
  <c r="AG270" i="1"/>
  <c r="AG13" i="1"/>
  <c r="AG55" i="1"/>
  <c r="AG229" i="1"/>
  <c r="AG184" i="1"/>
  <c r="AG204" i="1"/>
  <c r="AG244" i="1"/>
  <c r="AG16" i="1"/>
  <c r="AG48" i="1"/>
  <c r="AG140" i="1"/>
  <c r="AG148" i="1"/>
  <c r="AG12" i="1"/>
  <c r="AG20" i="1"/>
  <c r="AG44" i="1"/>
  <c r="AG52" i="1"/>
  <c r="AG60" i="1"/>
  <c r="AG68" i="1"/>
  <c r="AG76" i="1"/>
  <c r="AG84" i="1"/>
  <c r="AG144" i="1"/>
  <c r="AG152" i="1"/>
  <c r="AG8" i="1"/>
  <c r="AG32" i="1"/>
  <c r="AG40" i="1"/>
  <c r="AG92" i="1"/>
  <c r="AG108" i="1"/>
  <c r="AG132" i="1"/>
  <c r="AG172" i="1"/>
  <c r="AG180" i="1"/>
  <c r="AG123" i="1"/>
  <c r="AG77" i="1"/>
  <c r="AG147" i="1"/>
  <c r="AG69" i="1"/>
  <c r="AG187" i="1"/>
  <c r="AF310" i="1" l="1"/>
  <c r="AE308" i="1"/>
  <c r="AE310" i="1" s="1"/>
</calcChain>
</file>

<file path=xl/sharedStrings.xml><?xml version="1.0" encoding="utf-8"?>
<sst xmlns="http://schemas.openxmlformats.org/spreadsheetml/2006/main" count="2929" uniqueCount="140">
  <si>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</si>
  <si>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</si>
  <si>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</si>
  <si>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</si>
  <si>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</si>
  <si>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</si>
  <si>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</si>
  <si>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</si>
  <si>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</si>
  <si>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</si>
  <si>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</si>
  <si>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</si>
  <si>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</si>
  <si>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</si>
  <si>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</si>
  <si>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</si>
  <si>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</si>
  <si>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</si>
  <si>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</si>
  <si>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</si>
  <si>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</si>
  <si>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</si>
  <si>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</si>
  <si>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</si>
  <si>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</si>
  <si>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</si>
  <si>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</si>
  <si>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</si>
  <si>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</si>
  <si>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</si>
  <si>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</si>
  <si>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</si>
  <si>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</si>
  <si>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</si>
  <si>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</si>
  <si>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</si>
  <si>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</si>
  <si>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</si>
  <si>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</si>
  <si>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</si>
  <si>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</si>
  <si>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</si>
  <si>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</si>
  <si>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</si>
  <si>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</si>
  <si>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</si>
  <si>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</si>
  <si>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Country (final)</t>
  </si>
  <si>
    <t>POL (SD 21-24)</t>
  </si>
  <si>
    <t>EST (SD 25-32)</t>
  </si>
  <si>
    <t>Allocated number of hauls</t>
  </si>
  <si>
    <t>BITS</t>
  </si>
  <si>
    <t>GFR</t>
  </si>
  <si>
    <t>21-24</t>
  </si>
  <si>
    <t>37G1</t>
  </si>
  <si>
    <t>38G0</t>
  </si>
  <si>
    <t>38G1</t>
  </si>
  <si>
    <t>DEN</t>
  </si>
  <si>
    <t>39G0</t>
  </si>
  <si>
    <t>39G1</t>
  </si>
  <si>
    <t>39F9</t>
  </si>
  <si>
    <t>40G0</t>
  </si>
  <si>
    <t>40G1</t>
  </si>
  <si>
    <t>38F9</t>
  </si>
  <si>
    <t>37G2</t>
  </si>
  <si>
    <t>38G2</t>
  </si>
  <si>
    <t>39G3</t>
  </si>
  <si>
    <t>SWE</t>
  </si>
  <si>
    <t>38G3</t>
  </si>
  <si>
    <t>37G4</t>
  </si>
  <si>
    <t>POL</t>
  </si>
  <si>
    <t>38G4</t>
  </si>
  <si>
    <t>39G2</t>
  </si>
  <si>
    <t>39G4</t>
  </si>
  <si>
    <t>38G5</t>
  </si>
  <si>
    <t>38G6</t>
  </si>
  <si>
    <t>25-32</t>
  </si>
  <si>
    <t>37G5</t>
  </si>
  <si>
    <t>37G6</t>
  </si>
  <si>
    <t>38G7</t>
  </si>
  <si>
    <t>39G7</t>
  </si>
  <si>
    <t>40G7</t>
  </si>
  <si>
    <t>40G6</t>
  </si>
  <si>
    <t>40G5</t>
  </si>
  <si>
    <t>41G7</t>
  </si>
  <si>
    <t>41G6</t>
  </si>
  <si>
    <t>39G5</t>
  </si>
  <si>
    <t>39G6</t>
  </si>
  <si>
    <t>40G4</t>
  </si>
  <si>
    <t>39G8</t>
  </si>
  <si>
    <t>37G9</t>
  </si>
  <si>
    <t>38G8</t>
  </si>
  <si>
    <t>41G8</t>
  </si>
  <si>
    <t>40H0</t>
  </si>
  <si>
    <t>LTU</t>
  </si>
  <si>
    <t>40G8</t>
  </si>
  <si>
    <t>41G9</t>
  </si>
  <si>
    <t>LAT</t>
  </si>
  <si>
    <t>41H0</t>
  </si>
  <si>
    <t>39G9</t>
  </si>
  <si>
    <t>40G9</t>
  </si>
  <si>
    <t>42G8</t>
  </si>
  <si>
    <t>37G8</t>
  </si>
  <si>
    <t>38G9</t>
  </si>
  <si>
    <t>43G7</t>
  </si>
  <si>
    <t>44G8</t>
  </si>
  <si>
    <t>42G6</t>
  </si>
  <si>
    <t>43H0</t>
  </si>
  <si>
    <t>43H1</t>
  </si>
  <si>
    <t>42H0</t>
  </si>
  <si>
    <t>44G9</t>
  </si>
  <si>
    <t>43G8</t>
  </si>
  <si>
    <t>45G9</t>
  </si>
  <si>
    <t>44H0</t>
  </si>
  <si>
    <t>44H1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</si>
  <si>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</si>
  <si>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</si>
  <si>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</si>
  <si>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</si>
  <si>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</si>
  <si>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</si>
  <si>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</si>
  <si>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</si>
  <si>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Latvia</t>
  </si>
  <si>
    <t>Chartered vessel</t>
  </si>
  <si>
    <t>Lithuania</t>
  </si>
  <si>
    <t>Russia</t>
  </si>
  <si>
    <t>Atlantniro/Atlantida</t>
  </si>
  <si>
    <t>Sweden</t>
  </si>
  <si>
    <t>Svea</t>
  </si>
  <si>
    <t>Germany</t>
  </si>
  <si>
    <t>Rect.</t>
  </si>
  <si>
    <t>-</t>
  </si>
  <si>
    <t>42G7</t>
  </si>
  <si>
    <t>43G6</t>
  </si>
  <si>
    <t>45H1</t>
  </si>
  <si>
    <t>EST</t>
  </si>
  <si>
    <t>Plus (black)= additionary hauls have to be reallocated</t>
  </si>
  <si>
    <t>+</t>
  </si>
  <si>
    <t>1. quarter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</si>
</sst>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D9" sqref="D9"/>
    </sheetView>
  </sheetViews>
  <sheetFormatPr defaultRowHeight="15" x14ac:dyDescent="0.25"/>
  <sheetData>
    <row r="2" spans="1:3" x14ac:dyDescent="0.25">
      <c r="A2" t="s">
        <v>31</v>
      </c>
      <c r="B2" s="5">
        <v>2022</v>
      </c>
    </row>
    <row r="3" spans="1:3" ht="17.25" x14ac:dyDescent="0.25">
      <c r="A3" t="s">
        <v>29</v>
      </c>
      <c r="B3" s="5">
        <v>1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K10" sqref="K10"/>
    </sheetView>
  </sheetViews>
  <sheetFormatPr defaultRowHeight="15" x14ac:dyDescent="0.25"/>
  <cols>
    <col min="1" max="1" width="20" bestFit="1" customWidth="1"/>
    <col min="2" max="2" width="9.42578125" customWidth="1"/>
    <col min="6" max="6" width="12.140625" customWidth="1"/>
    <col min="8" max="8" width="22.5703125" customWidth="1"/>
  </cols>
  <sheetData>
    <row r="1" spans="1:8" x14ac:dyDescent="0.2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tr">
        <f>CONCATENATE(C2,B2,E2)</f>
        <v>Germany (SD 21-24)1</v>
      </c>
      <c r="B2" t="str">
        <f>IF(F2=2224," (SD 21-24)"," (SD 25-32)")</f>
        <v xml:space="preserve"> (SD 21-24)</v>
      </c>
      <c r="C2" s="5" t="s">
        <v>130</v>
      </c>
      <c r="D2" s="5" t="s">
        <v>115</v>
      </c>
      <c r="E2" s="5">
        <v>1</v>
      </c>
      <c r="F2" s="5">
        <v>2224</v>
      </c>
      <c r="G2" s="5">
        <v>2022</v>
      </c>
      <c r="H2" s="5">
        <v>60</v>
      </c>
    </row>
    <row r="3" spans="1:8" x14ac:dyDescent="0.25">
      <c r="A3" t="str">
        <f t="shared" ref="A3:A23" si="0">CONCATENATE(C3,B3,E3)</f>
        <v>Denmark (SD 21-24)1</v>
      </c>
      <c r="B3" t="str">
        <f t="shared" ref="B3:B23" si="1">IF(F3=2224," (SD 21-24)"," (SD 25-32)")</f>
        <v xml:space="preserve"> (SD 21-24)</v>
      </c>
      <c r="C3" s="5" t="s">
        <v>116</v>
      </c>
      <c r="D3" s="5" t="s">
        <v>117</v>
      </c>
      <c r="E3" s="5">
        <v>1</v>
      </c>
      <c r="F3" s="5">
        <v>2224</v>
      </c>
      <c r="G3" s="5">
        <v>2022</v>
      </c>
      <c r="H3" s="5">
        <v>30</v>
      </c>
    </row>
    <row r="4" spans="1:8" x14ac:dyDescent="0.25">
      <c r="A4" t="str">
        <f t="shared" si="0"/>
        <v>Poland (SD 21-24)1</v>
      </c>
      <c r="B4" t="str">
        <f t="shared" si="1"/>
        <v xml:space="preserve"> (SD 21-24)</v>
      </c>
      <c r="C4" s="5" t="s">
        <v>118</v>
      </c>
      <c r="D4" s="5" t="s">
        <v>119</v>
      </c>
      <c r="E4" s="5">
        <v>1</v>
      </c>
      <c r="F4" s="5">
        <v>2224</v>
      </c>
      <c r="G4" s="5">
        <v>2022</v>
      </c>
      <c r="H4" s="5">
        <v>0</v>
      </c>
    </row>
    <row r="5" spans="1:8" x14ac:dyDescent="0.25">
      <c r="A5" t="str">
        <f t="shared" si="0"/>
        <v>Denmark (SD 25-32)1</v>
      </c>
      <c r="B5" t="str">
        <f t="shared" si="1"/>
        <v xml:space="preserve"> (SD 25-32)</v>
      </c>
      <c r="C5" s="5" t="s">
        <v>116</v>
      </c>
      <c r="D5" s="5" t="s">
        <v>120</v>
      </c>
      <c r="E5" s="5">
        <v>1</v>
      </c>
      <c r="F5" s="5">
        <v>2528</v>
      </c>
      <c r="G5" s="5">
        <v>2022</v>
      </c>
      <c r="H5" s="5">
        <v>55</v>
      </c>
    </row>
    <row r="6" spans="1:8" x14ac:dyDescent="0.25">
      <c r="A6" t="str">
        <f t="shared" si="0"/>
        <v>Estonia (SD 25-32)1</v>
      </c>
      <c r="B6" t="str">
        <f t="shared" si="1"/>
        <v xml:space="preserve"> (SD 25-32)</v>
      </c>
      <c r="C6" s="5" t="s">
        <v>121</v>
      </c>
      <c r="D6" s="5" t="s">
        <v>122</v>
      </c>
      <c r="E6" s="5">
        <v>1</v>
      </c>
      <c r="F6" s="5">
        <v>2528</v>
      </c>
      <c r="G6" s="5">
        <v>2022</v>
      </c>
      <c r="H6" s="5">
        <v>0</v>
      </c>
    </row>
    <row r="7" spans="1:8" x14ac:dyDescent="0.25">
      <c r="A7" t="str">
        <f t="shared" si="0"/>
        <v>Latvia (SD 25-32)1</v>
      </c>
      <c r="B7" t="str">
        <f t="shared" si="1"/>
        <v xml:space="preserve"> (SD 25-32)</v>
      </c>
      <c r="C7" s="5" t="s">
        <v>123</v>
      </c>
      <c r="D7" s="5" t="s">
        <v>124</v>
      </c>
      <c r="E7" s="5">
        <v>1</v>
      </c>
      <c r="F7" s="5">
        <v>2528</v>
      </c>
      <c r="G7" s="5">
        <v>2022</v>
      </c>
      <c r="H7" s="5">
        <v>25</v>
      </c>
    </row>
    <row r="8" spans="1:8" x14ac:dyDescent="0.25">
      <c r="A8" t="str">
        <f t="shared" si="0"/>
        <v>Lithuania (SD 25-32)1</v>
      </c>
      <c r="B8" t="str">
        <f t="shared" si="1"/>
        <v xml:space="preserve"> (SD 25-32)</v>
      </c>
      <c r="C8" s="5" t="s">
        <v>125</v>
      </c>
      <c r="D8" s="5" t="s">
        <v>124</v>
      </c>
      <c r="E8" s="5">
        <v>1</v>
      </c>
      <c r="F8" s="5">
        <v>2528</v>
      </c>
      <c r="G8" s="5">
        <v>2022</v>
      </c>
      <c r="H8" s="5">
        <v>6</v>
      </c>
    </row>
    <row r="9" spans="1:8" x14ac:dyDescent="0.25">
      <c r="A9" t="str">
        <f t="shared" si="0"/>
        <v>Poland (SD 25-32)1</v>
      </c>
      <c r="B9" t="str">
        <f t="shared" si="1"/>
        <v xml:space="preserve"> (SD 25-32)</v>
      </c>
      <c r="C9" s="5" t="s">
        <v>118</v>
      </c>
      <c r="D9" s="5" t="s">
        <v>119</v>
      </c>
      <c r="E9" s="5">
        <v>1</v>
      </c>
      <c r="F9" s="5">
        <v>2528</v>
      </c>
      <c r="G9" s="5">
        <v>2022</v>
      </c>
      <c r="H9" s="5">
        <v>70</v>
      </c>
    </row>
    <row r="10" spans="1:8" x14ac:dyDescent="0.25">
      <c r="A10" t="str">
        <f t="shared" si="0"/>
        <v>Russia (SD 25-32)1</v>
      </c>
      <c r="B10" t="str">
        <f t="shared" si="1"/>
        <v xml:space="preserve"> (SD 25-32)</v>
      </c>
      <c r="C10" s="5" t="s">
        <v>126</v>
      </c>
      <c r="D10" s="5" t="s">
        <v>127</v>
      </c>
      <c r="E10" s="5">
        <v>1</v>
      </c>
      <c r="F10" s="5">
        <v>2528</v>
      </c>
      <c r="G10" s="5">
        <v>2022</v>
      </c>
      <c r="H10" s="5">
        <v>0</v>
      </c>
    </row>
    <row r="11" spans="1:8" x14ac:dyDescent="0.25">
      <c r="A11" t="str">
        <f t="shared" si="0"/>
        <v>Sweden (SD 25-32)1</v>
      </c>
      <c r="B11" t="str">
        <f t="shared" si="1"/>
        <v xml:space="preserve"> (SD 25-32)</v>
      </c>
      <c r="C11" s="5" t="s">
        <v>128</v>
      </c>
      <c r="D11" s="5" t="s">
        <v>129</v>
      </c>
      <c r="E11" s="5">
        <v>1</v>
      </c>
      <c r="F11" s="5">
        <v>2528</v>
      </c>
      <c r="G11" s="5">
        <v>2022</v>
      </c>
      <c r="H11" s="5">
        <v>50</v>
      </c>
    </row>
    <row r="12" spans="1:8" x14ac:dyDescent="0.25">
      <c r="A12" t="str">
        <f t="shared" si="0"/>
        <v xml:space="preserve"> (SD 25-32)</v>
      </c>
      <c r="B12" t="str">
        <f t="shared" si="1"/>
        <v xml:space="preserve"> (SD 25-32)</v>
      </c>
      <c r="C12" s="5"/>
      <c r="D12" s="5"/>
      <c r="E12" s="5"/>
      <c r="F12" s="5"/>
      <c r="G12" s="5"/>
      <c r="H12" s="5"/>
    </row>
    <row r="13" spans="1:8" x14ac:dyDescent="0.25">
      <c r="A13" t="str">
        <f t="shared" si="0"/>
        <v xml:space="preserve"> (SD 25-32)</v>
      </c>
      <c r="B13" t="str">
        <f t="shared" si="1"/>
        <v xml:space="preserve"> (SD 25-32)</v>
      </c>
      <c r="C13" s="5"/>
      <c r="D13" s="5"/>
      <c r="E13" s="5"/>
      <c r="F13" s="5"/>
      <c r="G13" s="5"/>
      <c r="H13" s="5"/>
    </row>
    <row r="14" spans="1:8" x14ac:dyDescent="0.25">
      <c r="A14" t="str">
        <f t="shared" si="0"/>
        <v xml:space="preserve"> (SD 25-32)</v>
      </c>
      <c r="B14" t="str">
        <f t="shared" si="1"/>
        <v xml:space="preserve"> (SD 25-32)</v>
      </c>
      <c r="C14" s="5"/>
      <c r="D14" s="5"/>
      <c r="E14" s="5"/>
      <c r="F14" s="5"/>
      <c r="G14" s="5"/>
      <c r="H14" s="5"/>
    </row>
    <row r="15" spans="1:8" x14ac:dyDescent="0.25">
      <c r="A15" t="str">
        <f t="shared" si="0"/>
        <v xml:space="preserve"> (SD 25-32)</v>
      </c>
      <c r="B15" t="str">
        <f t="shared" si="1"/>
        <v xml:space="preserve"> (SD 25-32)</v>
      </c>
      <c r="C15" s="5"/>
      <c r="D15" s="5"/>
      <c r="E15" s="5"/>
      <c r="F15" s="5"/>
      <c r="G15" s="5"/>
      <c r="H15" s="5"/>
    </row>
    <row r="16" spans="1:8" x14ac:dyDescent="0.25">
      <c r="A16" t="str">
        <f t="shared" si="0"/>
        <v xml:space="preserve"> (SD 25-32)</v>
      </c>
      <c r="B16" t="str">
        <f t="shared" si="1"/>
        <v xml:space="preserve"> (SD 25-32)</v>
      </c>
      <c r="C16" s="5"/>
      <c r="D16" s="5"/>
      <c r="E16" s="5"/>
      <c r="F16" s="5"/>
      <c r="G16" s="5"/>
      <c r="H16" s="5"/>
    </row>
    <row r="17" spans="1:8" x14ac:dyDescent="0.25">
      <c r="A17" t="str">
        <f t="shared" si="0"/>
        <v xml:space="preserve"> (SD 25-32)</v>
      </c>
      <c r="B17" t="str">
        <f t="shared" si="1"/>
        <v xml:space="preserve"> (SD 25-32)</v>
      </c>
      <c r="C17" s="5"/>
      <c r="D17" s="5"/>
      <c r="E17" s="5"/>
      <c r="F17" s="5"/>
      <c r="G17" s="5"/>
      <c r="H17" s="5"/>
    </row>
    <row r="18" spans="1:8" x14ac:dyDescent="0.25">
      <c r="A18" t="str">
        <f t="shared" si="0"/>
        <v xml:space="preserve"> (SD 25-32)</v>
      </c>
      <c r="B18" t="str">
        <f t="shared" si="1"/>
        <v xml:space="preserve"> (SD 25-32)</v>
      </c>
      <c r="C18" s="5"/>
      <c r="D18" s="5"/>
      <c r="E18" s="5"/>
      <c r="F18" s="5"/>
      <c r="G18" s="5"/>
      <c r="H18" s="5"/>
    </row>
    <row r="19" spans="1:8" x14ac:dyDescent="0.25">
      <c r="A19" t="str">
        <f t="shared" si="0"/>
        <v xml:space="preserve"> (SD 25-32)</v>
      </c>
      <c r="B19" t="str">
        <f t="shared" si="1"/>
        <v xml:space="preserve"> (SD 25-32)</v>
      </c>
      <c r="C19" s="5"/>
      <c r="D19" s="5"/>
      <c r="E19" s="5"/>
      <c r="F19" s="5"/>
      <c r="G19" s="5"/>
      <c r="H19" s="5"/>
    </row>
    <row r="20" spans="1:8" x14ac:dyDescent="0.25">
      <c r="A20" t="str">
        <f t="shared" si="0"/>
        <v xml:space="preserve"> (SD 25-32)</v>
      </c>
      <c r="B20" t="str">
        <f t="shared" si="1"/>
        <v xml:space="preserve"> (SD 25-32)</v>
      </c>
      <c r="C20" s="5"/>
      <c r="D20" s="5"/>
      <c r="E20" s="5"/>
      <c r="F20" s="5"/>
      <c r="G20" s="5"/>
      <c r="H20" s="5"/>
    </row>
    <row r="21" spans="1:8" x14ac:dyDescent="0.25">
      <c r="A21" t="str">
        <f t="shared" si="0"/>
        <v xml:space="preserve"> (SD 25-32)</v>
      </c>
      <c r="B21" t="str">
        <f t="shared" si="1"/>
        <v xml:space="preserve"> (SD 25-32)</v>
      </c>
      <c r="C21" s="5"/>
      <c r="D21" s="5"/>
      <c r="E21" s="5"/>
      <c r="F21" s="5"/>
      <c r="G21" s="5"/>
      <c r="H21" s="5"/>
    </row>
    <row r="22" spans="1:8" x14ac:dyDescent="0.25">
      <c r="A22" t="str">
        <f t="shared" si="0"/>
        <v xml:space="preserve"> (SD 25-32)</v>
      </c>
      <c r="B22" t="str">
        <f t="shared" si="1"/>
        <v xml:space="preserve"> (SD 25-32)</v>
      </c>
      <c r="C22" s="5"/>
      <c r="D22" s="5"/>
      <c r="E22" s="5"/>
      <c r="F22" s="5"/>
      <c r="G22" s="5"/>
      <c r="H22" s="5"/>
    </row>
    <row r="23" spans="1:8" x14ac:dyDescent="0.25">
      <c r="A23" t="str">
        <f t="shared" si="0"/>
        <v xml:space="preserve"> (SD 25-32)</v>
      </c>
      <c r="B23" t="str">
        <f t="shared" si="1"/>
        <v xml:space="preserve"> (SD 25-32)</v>
      </c>
      <c r="C23" s="5"/>
      <c r="D23" s="5"/>
      <c r="E23" s="5"/>
      <c r="F23" s="5"/>
      <c r="G23" s="5"/>
      <c r="H23" s="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02"/>
  <sheetViews>
    <sheetView workbookViewId="0">
      <selection activeCell="K306" sqref="K306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22002</v>
      </c>
      <c r="B2" t="s">
        <v>54</v>
      </c>
      <c r="C2">
        <v>22</v>
      </c>
      <c r="D2">
        <v>54</v>
      </c>
      <c r="E2">
        <v>11.27</v>
      </c>
      <c r="F2">
        <v>11</v>
      </c>
      <c r="G2">
        <v>55.26</v>
      </c>
      <c r="H2">
        <v>2</v>
      </c>
      <c r="I2" t="s">
        <v>52</v>
      </c>
      <c r="J2">
        <v>54.187833333333302</v>
      </c>
      <c r="K2">
        <v>11.920999999999999</v>
      </c>
      <c r="L2" t="s">
        <v>53</v>
      </c>
      <c r="M2" t="s">
        <v>13</v>
      </c>
    </row>
    <row r="3" spans="1:13" x14ac:dyDescent="0.25">
      <c r="A3">
        <v>22008</v>
      </c>
      <c r="B3" t="s">
        <v>54</v>
      </c>
      <c r="C3">
        <v>22</v>
      </c>
      <c r="D3">
        <v>54</v>
      </c>
      <c r="E3">
        <v>20.8</v>
      </c>
      <c r="F3">
        <v>11</v>
      </c>
      <c r="G3">
        <v>55.3</v>
      </c>
      <c r="H3">
        <v>2</v>
      </c>
      <c r="I3" t="s">
        <v>52</v>
      </c>
      <c r="J3">
        <v>54.3466666666667</v>
      </c>
      <c r="K3">
        <v>11.921666666666701</v>
      </c>
      <c r="L3" t="s">
        <v>53</v>
      </c>
      <c r="M3" t="s">
        <v>13</v>
      </c>
    </row>
    <row r="4" spans="1:13" x14ac:dyDescent="0.25">
      <c r="A4">
        <v>22018</v>
      </c>
      <c r="B4" t="s">
        <v>59</v>
      </c>
      <c r="C4">
        <v>22</v>
      </c>
      <c r="D4">
        <v>55</v>
      </c>
      <c r="E4">
        <v>4.2</v>
      </c>
      <c r="F4">
        <v>11</v>
      </c>
      <c r="G4">
        <v>4.0999999999999996</v>
      </c>
      <c r="H4">
        <v>2</v>
      </c>
      <c r="I4" t="s">
        <v>57</v>
      </c>
      <c r="J4">
        <v>55.07</v>
      </c>
      <c r="K4">
        <v>11.0683333333333</v>
      </c>
      <c r="L4" t="s">
        <v>53</v>
      </c>
      <c r="M4" t="s">
        <v>14</v>
      </c>
    </row>
    <row r="5" spans="1:13" x14ac:dyDescent="0.25">
      <c r="A5">
        <v>22020</v>
      </c>
      <c r="B5" t="s">
        <v>58</v>
      </c>
      <c r="C5">
        <v>22</v>
      </c>
      <c r="D5">
        <v>55</v>
      </c>
      <c r="E5">
        <v>12.7</v>
      </c>
      <c r="F5">
        <v>10</v>
      </c>
      <c r="G5">
        <v>56.3</v>
      </c>
      <c r="H5">
        <v>2</v>
      </c>
      <c r="I5" t="s">
        <v>57</v>
      </c>
      <c r="J5">
        <v>55.211666666666702</v>
      </c>
      <c r="K5">
        <v>10.938333333333301</v>
      </c>
      <c r="L5" t="s">
        <v>53</v>
      </c>
      <c r="M5" t="s">
        <v>14</v>
      </c>
    </row>
    <row r="6" spans="1:13" x14ac:dyDescent="0.25">
      <c r="A6">
        <v>22023</v>
      </c>
      <c r="B6" t="s">
        <v>59</v>
      </c>
      <c r="C6">
        <v>22</v>
      </c>
      <c r="D6">
        <v>55</v>
      </c>
      <c r="E6">
        <v>18.47</v>
      </c>
      <c r="F6">
        <v>11</v>
      </c>
      <c r="G6">
        <v>1.28</v>
      </c>
      <c r="H6">
        <v>2</v>
      </c>
      <c r="I6" t="s">
        <v>57</v>
      </c>
      <c r="J6">
        <v>55.307833333333299</v>
      </c>
      <c r="K6">
        <v>11.021333333333301</v>
      </c>
      <c r="L6" t="s">
        <v>53</v>
      </c>
      <c r="M6" t="s">
        <v>14</v>
      </c>
    </row>
    <row r="7" spans="1:13" x14ac:dyDescent="0.25">
      <c r="A7">
        <v>22024</v>
      </c>
      <c r="B7" t="s">
        <v>60</v>
      </c>
      <c r="C7">
        <v>22</v>
      </c>
      <c r="D7">
        <v>55</v>
      </c>
      <c r="E7">
        <v>21.9</v>
      </c>
      <c r="F7">
        <v>9</v>
      </c>
      <c r="G7">
        <v>45.16</v>
      </c>
      <c r="H7">
        <v>2</v>
      </c>
      <c r="I7" t="s">
        <v>57</v>
      </c>
      <c r="J7">
        <v>55.365000000000002</v>
      </c>
      <c r="K7">
        <v>9.7526666666666699</v>
      </c>
      <c r="L7" t="s">
        <v>53</v>
      </c>
      <c r="M7" t="s">
        <v>14</v>
      </c>
    </row>
    <row r="8" spans="1:13" x14ac:dyDescent="0.25">
      <c r="A8">
        <v>22025</v>
      </c>
      <c r="B8" t="s">
        <v>58</v>
      </c>
      <c r="C8">
        <v>22</v>
      </c>
      <c r="D8">
        <v>55</v>
      </c>
      <c r="E8">
        <v>23.14</v>
      </c>
      <c r="F8">
        <v>10</v>
      </c>
      <c r="G8">
        <v>50.56</v>
      </c>
      <c r="H8">
        <v>2</v>
      </c>
      <c r="I8" t="s">
        <v>57</v>
      </c>
      <c r="J8">
        <v>55.385666666666701</v>
      </c>
      <c r="K8">
        <v>10.8426666666667</v>
      </c>
      <c r="L8" t="s">
        <v>53</v>
      </c>
      <c r="M8" t="s">
        <v>14</v>
      </c>
    </row>
    <row r="9" spans="1:13" x14ac:dyDescent="0.25">
      <c r="A9">
        <v>22026</v>
      </c>
      <c r="B9" t="s">
        <v>58</v>
      </c>
      <c r="C9">
        <v>22</v>
      </c>
      <c r="D9">
        <v>55</v>
      </c>
      <c r="E9">
        <v>25.4</v>
      </c>
      <c r="F9">
        <v>10</v>
      </c>
      <c r="G9">
        <v>46</v>
      </c>
      <c r="H9">
        <v>2</v>
      </c>
      <c r="I9" t="s">
        <v>57</v>
      </c>
      <c r="J9">
        <v>55.423333333333296</v>
      </c>
      <c r="K9">
        <v>10.766666666666699</v>
      </c>
      <c r="L9" t="s">
        <v>53</v>
      </c>
      <c r="M9" t="s">
        <v>14</v>
      </c>
    </row>
    <row r="10" spans="1:13" x14ac:dyDescent="0.25">
      <c r="A10">
        <v>22027</v>
      </c>
      <c r="B10" t="s">
        <v>61</v>
      </c>
      <c r="C10">
        <v>22</v>
      </c>
      <c r="D10">
        <v>55</v>
      </c>
      <c r="E10">
        <v>38.1</v>
      </c>
      <c r="F10">
        <v>10</v>
      </c>
      <c r="G10">
        <v>0.4</v>
      </c>
      <c r="H10">
        <v>2</v>
      </c>
      <c r="I10" t="s">
        <v>57</v>
      </c>
      <c r="J10">
        <v>55.634999999999998</v>
      </c>
      <c r="K10">
        <v>10.0066666666667</v>
      </c>
      <c r="L10" t="s">
        <v>53</v>
      </c>
      <c r="M10" t="s">
        <v>14</v>
      </c>
    </row>
    <row r="11" spans="1:13" x14ac:dyDescent="0.25">
      <c r="A11">
        <v>22032</v>
      </c>
      <c r="B11" t="s">
        <v>61</v>
      </c>
      <c r="C11">
        <v>22</v>
      </c>
      <c r="D11">
        <v>55</v>
      </c>
      <c r="E11">
        <v>46.7</v>
      </c>
      <c r="F11">
        <v>10</v>
      </c>
      <c r="G11">
        <v>40.799999999999997</v>
      </c>
      <c r="H11">
        <v>2</v>
      </c>
      <c r="I11" t="s">
        <v>57</v>
      </c>
      <c r="J11">
        <v>55.7783333333333</v>
      </c>
      <c r="K11">
        <v>10.68</v>
      </c>
      <c r="L11" t="s">
        <v>53</v>
      </c>
      <c r="M11" t="s">
        <v>14</v>
      </c>
    </row>
    <row r="12" spans="1:13" x14ac:dyDescent="0.25">
      <c r="A12">
        <v>22034</v>
      </c>
      <c r="B12" t="s">
        <v>61</v>
      </c>
      <c r="C12">
        <v>22</v>
      </c>
      <c r="D12">
        <v>55</v>
      </c>
      <c r="E12">
        <v>59.6</v>
      </c>
      <c r="F12">
        <v>10</v>
      </c>
      <c r="G12">
        <v>38.4</v>
      </c>
      <c r="H12">
        <v>2</v>
      </c>
      <c r="I12" t="s">
        <v>57</v>
      </c>
      <c r="J12">
        <v>55.993333333333297</v>
      </c>
      <c r="K12">
        <v>10.64</v>
      </c>
      <c r="L12" t="s">
        <v>53</v>
      </c>
      <c r="M12" t="s">
        <v>14</v>
      </c>
    </row>
    <row r="13" spans="1:13" x14ac:dyDescent="0.25">
      <c r="A13">
        <v>22036</v>
      </c>
      <c r="B13" t="s">
        <v>62</v>
      </c>
      <c r="C13">
        <v>22</v>
      </c>
      <c r="D13">
        <v>55</v>
      </c>
      <c r="E13">
        <v>55.3</v>
      </c>
      <c r="F13">
        <v>11</v>
      </c>
      <c r="G13">
        <v>13.6</v>
      </c>
      <c r="H13">
        <v>2</v>
      </c>
      <c r="I13" t="s">
        <v>57</v>
      </c>
      <c r="J13">
        <v>55.921666666666702</v>
      </c>
      <c r="K13">
        <v>11.2266666666667</v>
      </c>
      <c r="L13" t="s">
        <v>53</v>
      </c>
      <c r="M13" t="s">
        <v>14</v>
      </c>
    </row>
    <row r="14" spans="1:13" x14ac:dyDescent="0.25">
      <c r="A14">
        <v>22037</v>
      </c>
      <c r="B14" t="s">
        <v>62</v>
      </c>
      <c r="C14">
        <v>22</v>
      </c>
      <c r="D14">
        <v>55</v>
      </c>
      <c r="E14">
        <v>58.9</v>
      </c>
      <c r="F14">
        <v>11</v>
      </c>
      <c r="G14">
        <v>1.8</v>
      </c>
      <c r="H14">
        <v>2</v>
      </c>
      <c r="I14" t="s">
        <v>57</v>
      </c>
      <c r="J14">
        <v>55.981666666666698</v>
      </c>
      <c r="K14">
        <v>11.03</v>
      </c>
      <c r="L14" t="s">
        <v>53</v>
      </c>
      <c r="M14" t="s">
        <v>14</v>
      </c>
    </row>
    <row r="15" spans="1:13" x14ac:dyDescent="0.25">
      <c r="A15">
        <v>22044</v>
      </c>
      <c r="B15" t="s">
        <v>54</v>
      </c>
      <c r="C15">
        <v>22</v>
      </c>
      <c r="D15">
        <v>54</v>
      </c>
      <c r="E15">
        <v>7.13</v>
      </c>
      <c r="F15">
        <v>11</v>
      </c>
      <c r="G15">
        <v>10.01</v>
      </c>
      <c r="H15">
        <v>2</v>
      </c>
      <c r="I15" t="s">
        <v>52</v>
      </c>
      <c r="J15">
        <v>54.118833333333299</v>
      </c>
      <c r="K15">
        <v>11.166833333333299</v>
      </c>
      <c r="L15" t="s">
        <v>53</v>
      </c>
      <c r="M15" t="s">
        <v>13</v>
      </c>
    </row>
    <row r="16" spans="1:13" x14ac:dyDescent="0.25">
      <c r="A16">
        <v>22045</v>
      </c>
      <c r="B16" t="s">
        <v>54</v>
      </c>
      <c r="C16">
        <v>22</v>
      </c>
      <c r="D16">
        <v>54</v>
      </c>
      <c r="E16">
        <v>17.28</v>
      </c>
      <c r="F16">
        <v>11</v>
      </c>
      <c r="G16">
        <v>18.11</v>
      </c>
      <c r="H16">
        <v>2</v>
      </c>
      <c r="I16" t="s">
        <v>52</v>
      </c>
      <c r="J16">
        <v>54.287999999999997</v>
      </c>
      <c r="K16">
        <v>11.301833333333301</v>
      </c>
      <c r="L16" t="s">
        <v>53</v>
      </c>
      <c r="M16" t="s">
        <v>13</v>
      </c>
    </row>
    <row r="17" spans="1:13" x14ac:dyDescent="0.25">
      <c r="A17">
        <v>22051</v>
      </c>
      <c r="B17" t="s">
        <v>54</v>
      </c>
      <c r="C17">
        <v>22</v>
      </c>
      <c r="D17">
        <v>54</v>
      </c>
      <c r="E17">
        <v>14.48</v>
      </c>
      <c r="F17">
        <v>11</v>
      </c>
      <c r="G17">
        <v>43.21</v>
      </c>
      <c r="H17">
        <v>2</v>
      </c>
      <c r="I17" t="s">
        <v>52</v>
      </c>
      <c r="J17">
        <v>54.241333333333301</v>
      </c>
      <c r="K17">
        <v>11.720166666666699</v>
      </c>
      <c r="L17" t="s">
        <v>53</v>
      </c>
      <c r="M17" t="s">
        <v>13</v>
      </c>
    </row>
    <row r="18" spans="1:13" x14ac:dyDescent="0.25">
      <c r="A18">
        <v>22058</v>
      </c>
      <c r="B18" t="s">
        <v>54</v>
      </c>
      <c r="C18">
        <v>22</v>
      </c>
      <c r="D18">
        <v>54</v>
      </c>
      <c r="E18">
        <v>27.17</v>
      </c>
      <c r="F18">
        <v>11</v>
      </c>
      <c r="G18">
        <v>25.18</v>
      </c>
      <c r="H18">
        <v>2</v>
      </c>
      <c r="I18" t="s">
        <v>52</v>
      </c>
      <c r="J18">
        <v>54.452833333333302</v>
      </c>
      <c r="K18">
        <v>11.4196666666667</v>
      </c>
      <c r="L18" t="s">
        <v>53</v>
      </c>
      <c r="M18" t="s">
        <v>13</v>
      </c>
    </row>
    <row r="19" spans="1:13" x14ac:dyDescent="0.25">
      <c r="A19">
        <v>22071</v>
      </c>
      <c r="B19" t="s">
        <v>56</v>
      </c>
      <c r="C19">
        <v>22</v>
      </c>
      <c r="D19">
        <v>54</v>
      </c>
      <c r="E19">
        <v>32.4</v>
      </c>
      <c r="F19">
        <v>11</v>
      </c>
      <c r="G19">
        <v>24.4</v>
      </c>
      <c r="H19">
        <v>2</v>
      </c>
      <c r="I19" t="s">
        <v>57</v>
      </c>
      <c r="J19">
        <v>54.54</v>
      </c>
      <c r="K19">
        <v>11.4066666666667</v>
      </c>
      <c r="L19" t="s">
        <v>53</v>
      </c>
      <c r="M19" t="s">
        <v>14</v>
      </c>
    </row>
    <row r="20" spans="1:13" x14ac:dyDescent="0.25">
      <c r="A20">
        <v>22072</v>
      </c>
      <c r="B20" t="s">
        <v>56</v>
      </c>
      <c r="C20">
        <v>22</v>
      </c>
      <c r="D20">
        <v>54</v>
      </c>
      <c r="E20">
        <v>33.53</v>
      </c>
      <c r="F20">
        <v>11</v>
      </c>
      <c r="G20">
        <v>21.74</v>
      </c>
      <c r="H20">
        <v>2</v>
      </c>
      <c r="I20" t="s">
        <v>52</v>
      </c>
      <c r="J20">
        <v>54.558833333333297</v>
      </c>
      <c r="K20">
        <v>11.3623333333333</v>
      </c>
      <c r="L20" t="s">
        <v>53</v>
      </c>
      <c r="M20" t="s">
        <v>13</v>
      </c>
    </row>
    <row r="21" spans="1:13" x14ac:dyDescent="0.25">
      <c r="A21">
        <v>22075</v>
      </c>
      <c r="B21" t="s">
        <v>55</v>
      </c>
      <c r="C21">
        <v>22</v>
      </c>
      <c r="D21">
        <v>54</v>
      </c>
      <c r="E21">
        <v>48.3</v>
      </c>
      <c r="F21">
        <v>10</v>
      </c>
      <c r="G21">
        <v>8.6999999999999993</v>
      </c>
      <c r="H21">
        <v>2</v>
      </c>
      <c r="I21" t="s">
        <v>57</v>
      </c>
      <c r="J21">
        <v>54.805</v>
      </c>
      <c r="K21">
        <v>10.145</v>
      </c>
      <c r="L21" t="s">
        <v>53</v>
      </c>
      <c r="M21" t="s">
        <v>14</v>
      </c>
    </row>
    <row r="22" spans="1:13" x14ac:dyDescent="0.25">
      <c r="A22">
        <v>22076</v>
      </c>
      <c r="B22" t="s">
        <v>55</v>
      </c>
      <c r="C22">
        <v>22</v>
      </c>
      <c r="D22">
        <v>54</v>
      </c>
      <c r="E22">
        <v>49.11</v>
      </c>
      <c r="F22">
        <v>10</v>
      </c>
      <c r="G22">
        <v>16.47</v>
      </c>
      <c r="H22">
        <v>2</v>
      </c>
      <c r="I22" t="s">
        <v>57</v>
      </c>
      <c r="J22">
        <v>54.8185</v>
      </c>
      <c r="K22">
        <v>10.2745</v>
      </c>
      <c r="L22" t="s">
        <v>53</v>
      </c>
      <c r="M22" t="s">
        <v>14</v>
      </c>
    </row>
    <row r="23" spans="1:13" x14ac:dyDescent="0.25">
      <c r="A23">
        <v>22077</v>
      </c>
      <c r="B23" t="s">
        <v>55</v>
      </c>
      <c r="C23">
        <v>22</v>
      </c>
      <c r="D23">
        <v>54</v>
      </c>
      <c r="E23">
        <v>41.63</v>
      </c>
      <c r="F23">
        <v>10</v>
      </c>
      <c r="G23">
        <v>19.45</v>
      </c>
      <c r="H23">
        <v>2</v>
      </c>
      <c r="I23" t="s">
        <v>57</v>
      </c>
      <c r="J23">
        <v>54.693833333333302</v>
      </c>
      <c r="K23">
        <v>10.3241666666667</v>
      </c>
      <c r="L23" t="s">
        <v>53</v>
      </c>
      <c r="M23" t="s">
        <v>14</v>
      </c>
    </row>
    <row r="24" spans="1:13" x14ac:dyDescent="0.25">
      <c r="A24">
        <v>22079</v>
      </c>
      <c r="B24" t="s">
        <v>55</v>
      </c>
      <c r="C24">
        <v>22</v>
      </c>
      <c r="D24">
        <v>55</v>
      </c>
      <c r="E24">
        <v>5.09</v>
      </c>
      <c r="F24">
        <v>9</v>
      </c>
      <c r="G24">
        <v>59.08</v>
      </c>
      <c r="H24">
        <v>2</v>
      </c>
      <c r="I24" t="s">
        <v>57</v>
      </c>
      <c r="J24">
        <v>55.0848333333333</v>
      </c>
      <c r="K24">
        <v>9.9846666666666692</v>
      </c>
      <c r="L24" t="s">
        <v>53</v>
      </c>
      <c r="M24" t="s">
        <v>14</v>
      </c>
    </row>
    <row r="25" spans="1:13" x14ac:dyDescent="0.25">
      <c r="A25">
        <v>22081</v>
      </c>
      <c r="B25" t="s">
        <v>60</v>
      </c>
      <c r="C25">
        <v>22</v>
      </c>
      <c r="D25">
        <v>55</v>
      </c>
      <c r="E25">
        <v>6.3</v>
      </c>
      <c r="F25">
        <v>9</v>
      </c>
      <c r="G25">
        <v>59.28</v>
      </c>
      <c r="H25">
        <v>2</v>
      </c>
      <c r="I25" t="s">
        <v>57</v>
      </c>
      <c r="J25">
        <v>55.104999999999997</v>
      </c>
      <c r="K25">
        <v>9.9879999999999995</v>
      </c>
      <c r="L25" t="s">
        <v>53</v>
      </c>
      <c r="M25" t="s">
        <v>14</v>
      </c>
    </row>
    <row r="26" spans="1:13" x14ac:dyDescent="0.25">
      <c r="A26">
        <v>22084</v>
      </c>
      <c r="B26" t="s">
        <v>59</v>
      </c>
      <c r="C26">
        <v>22</v>
      </c>
      <c r="D26">
        <v>55</v>
      </c>
      <c r="E26">
        <v>11.9</v>
      </c>
      <c r="F26">
        <v>11</v>
      </c>
      <c r="G26">
        <v>4.5999999999999996</v>
      </c>
      <c r="H26">
        <v>2</v>
      </c>
      <c r="I26" t="s">
        <v>57</v>
      </c>
      <c r="J26">
        <v>55.198333333333302</v>
      </c>
      <c r="K26">
        <v>11.0766666666667</v>
      </c>
      <c r="L26" t="s">
        <v>53</v>
      </c>
      <c r="M26" t="s">
        <v>14</v>
      </c>
    </row>
    <row r="27" spans="1:13" x14ac:dyDescent="0.25">
      <c r="A27">
        <v>22085</v>
      </c>
      <c r="B27" t="s">
        <v>61</v>
      </c>
      <c r="C27">
        <v>22</v>
      </c>
      <c r="D27">
        <v>55</v>
      </c>
      <c r="E27">
        <v>38.659999999999997</v>
      </c>
      <c r="F27">
        <v>10</v>
      </c>
      <c r="G27">
        <v>32.11</v>
      </c>
      <c r="H27">
        <v>2</v>
      </c>
      <c r="I27" t="s">
        <v>57</v>
      </c>
      <c r="J27">
        <v>55.6443333333333</v>
      </c>
      <c r="K27">
        <v>10.535166666666701</v>
      </c>
      <c r="L27" t="s">
        <v>53</v>
      </c>
      <c r="M27" t="s">
        <v>14</v>
      </c>
    </row>
    <row r="28" spans="1:13" x14ac:dyDescent="0.25">
      <c r="A28">
        <v>22086</v>
      </c>
      <c r="B28" t="s">
        <v>61</v>
      </c>
      <c r="C28">
        <v>22</v>
      </c>
      <c r="D28">
        <v>55</v>
      </c>
      <c r="E28">
        <v>35.96</v>
      </c>
      <c r="F28">
        <v>10</v>
      </c>
      <c r="G28">
        <v>55.36</v>
      </c>
      <c r="H28">
        <v>2</v>
      </c>
      <c r="I28" t="s">
        <v>57</v>
      </c>
      <c r="J28">
        <v>55.599333333333298</v>
      </c>
      <c r="K28">
        <v>10.9226666666667</v>
      </c>
      <c r="L28" t="s">
        <v>53</v>
      </c>
      <c r="M28" t="s">
        <v>14</v>
      </c>
    </row>
    <row r="29" spans="1:13" x14ac:dyDescent="0.25">
      <c r="A29">
        <v>22092</v>
      </c>
      <c r="B29" t="s">
        <v>61</v>
      </c>
      <c r="C29">
        <v>22</v>
      </c>
      <c r="D29">
        <v>55</v>
      </c>
      <c r="E29">
        <v>49.8</v>
      </c>
      <c r="F29">
        <v>10</v>
      </c>
      <c r="G29">
        <v>49.2</v>
      </c>
      <c r="H29">
        <v>2</v>
      </c>
      <c r="I29" t="s">
        <v>57</v>
      </c>
      <c r="J29">
        <v>55.83</v>
      </c>
      <c r="K29">
        <v>10.82</v>
      </c>
      <c r="L29" t="s">
        <v>53</v>
      </c>
      <c r="M29" t="s">
        <v>14</v>
      </c>
    </row>
    <row r="30" spans="1:13" x14ac:dyDescent="0.25">
      <c r="A30">
        <v>22103</v>
      </c>
      <c r="B30" t="s">
        <v>59</v>
      </c>
      <c r="C30">
        <v>22</v>
      </c>
      <c r="D30">
        <v>55</v>
      </c>
      <c r="E30">
        <v>3.32</v>
      </c>
      <c r="F30">
        <v>11</v>
      </c>
      <c r="G30">
        <v>1.82</v>
      </c>
      <c r="H30">
        <v>2</v>
      </c>
      <c r="I30" t="s">
        <v>57</v>
      </c>
      <c r="J30">
        <v>55.055333333333301</v>
      </c>
      <c r="K30">
        <v>11.030333333333299</v>
      </c>
      <c r="L30" t="s">
        <v>53</v>
      </c>
      <c r="M30" t="s">
        <v>14</v>
      </c>
    </row>
    <row r="31" spans="1:13" x14ac:dyDescent="0.25">
      <c r="A31">
        <v>22111</v>
      </c>
      <c r="B31" t="s">
        <v>55</v>
      </c>
      <c r="C31">
        <v>22</v>
      </c>
      <c r="D31">
        <v>54</v>
      </c>
      <c r="E31">
        <v>54.83</v>
      </c>
      <c r="F31">
        <v>10</v>
      </c>
      <c r="G31">
        <v>3.2</v>
      </c>
      <c r="H31">
        <v>2</v>
      </c>
      <c r="I31" t="s">
        <v>57</v>
      </c>
      <c r="J31">
        <v>54.913833333333301</v>
      </c>
      <c r="K31">
        <v>10.053333333333301</v>
      </c>
      <c r="L31" t="s">
        <v>53</v>
      </c>
      <c r="M31" t="s">
        <v>14</v>
      </c>
    </row>
    <row r="32" spans="1:13" x14ac:dyDescent="0.25">
      <c r="A32">
        <v>22114</v>
      </c>
      <c r="B32" t="s">
        <v>54</v>
      </c>
      <c r="C32">
        <v>22</v>
      </c>
      <c r="D32">
        <v>54</v>
      </c>
      <c r="E32">
        <v>8.6999999999999993</v>
      </c>
      <c r="F32">
        <v>11</v>
      </c>
      <c r="G32">
        <v>17.68</v>
      </c>
      <c r="H32">
        <v>2</v>
      </c>
      <c r="I32" t="s">
        <v>52</v>
      </c>
      <c r="J32">
        <v>54.145000000000003</v>
      </c>
      <c r="K32">
        <v>11.2946666666667</v>
      </c>
      <c r="L32" t="s">
        <v>53</v>
      </c>
      <c r="M32" t="s">
        <v>13</v>
      </c>
    </row>
    <row r="33" spans="1:13" x14ac:dyDescent="0.25">
      <c r="A33">
        <v>22117</v>
      </c>
      <c r="B33" t="s">
        <v>61</v>
      </c>
      <c r="C33">
        <v>22</v>
      </c>
      <c r="D33">
        <v>55</v>
      </c>
      <c r="E33">
        <v>30.3</v>
      </c>
      <c r="F33">
        <v>10</v>
      </c>
      <c r="G33">
        <v>41.58</v>
      </c>
      <c r="H33">
        <v>2</v>
      </c>
      <c r="I33" t="s">
        <v>57</v>
      </c>
      <c r="J33">
        <v>55.505000000000003</v>
      </c>
      <c r="K33">
        <v>10.693</v>
      </c>
      <c r="L33" t="s">
        <v>53</v>
      </c>
      <c r="M33" t="s">
        <v>14</v>
      </c>
    </row>
    <row r="34" spans="1:13" x14ac:dyDescent="0.25">
      <c r="A34">
        <v>22118</v>
      </c>
      <c r="B34" t="s">
        <v>61</v>
      </c>
      <c r="C34">
        <v>22</v>
      </c>
      <c r="D34">
        <v>55</v>
      </c>
      <c r="E34">
        <v>37.770000000000003</v>
      </c>
      <c r="F34">
        <v>10</v>
      </c>
      <c r="G34">
        <v>20.59</v>
      </c>
      <c r="H34">
        <v>2</v>
      </c>
      <c r="I34" t="s">
        <v>57</v>
      </c>
      <c r="J34">
        <v>55.6295</v>
      </c>
      <c r="K34">
        <v>10.343166666666701</v>
      </c>
      <c r="L34" t="s">
        <v>53</v>
      </c>
      <c r="M34" t="s">
        <v>14</v>
      </c>
    </row>
    <row r="35" spans="1:13" x14ac:dyDescent="0.25">
      <c r="A35">
        <v>22122</v>
      </c>
      <c r="B35" t="s">
        <v>58</v>
      </c>
      <c r="C35">
        <v>22</v>
      </c>
      <c r="D35">
        <v>55</v>
      </c>
      <c r="E35">
        <v>32.49</v>
      </c>
      <c r="F35">
        <v>10</v>
      </c>
      <c r="G35">
        <v>51.14</v>
      </c>
      <c r="H35">
        <v>2</v>
      </c>
      <c r="I35" t="s">
        <v>57</v>
      </c>
      <c r="J35">
        <v>55.541499999999999</v>
      </c>
      <c r="K35">
        <v>10.8523333333333</v>
      </c>
      <c r="L35" t="s">
        <v>53</v>
      </c>
      <c r="M35" t="s">
        <v>14</v>
      </c>
    </row>
    <row r="36" spans="1:13" x14ac:dyDescent="0.25">
      <c r="A36">
        <v>22124</v>
      </c>
      <c r="B36" t="s">
        <v>63</v>
      </c>
      <c r="C36">
        <v>22</v>
      </c>
      <c r="D36">
        <v>54</v>
      </c>
      <c r="E36">
        <v>48.88</v>
      </c>
      <c r="F36">
        <v>10</v>
      </c>
      <c r="G36">
        <v>17.53</v>
      </c>
      <c r="H36">
        <v>2</v>
      </c>
      <c r="I36" t="s">
        <v>57</v>
      </c>
      <c r="J36">
        <v>54.814666666666703</v>
      </c>
      <c r="K36">
        <v>10.2921666666667</v>
      </c>
      <c r="L36" t="s">
        <v>53</v>
      </c>
      <c r="M36" t="s">
        <v>14</v>
      </c>
    </row>
    <row r="37" spans="1:13" x14ac:dyDescent="0.25">
      <c r="A37">
        <v>22125</v>
      </c>
      <c r="B37" t="s">
        <v>58</v>
      </c>
      <c r="C37">
        <v>22</v>
      </c>
      <c r="D37">
        <v>55</v>
      </c>
      <c r="E37">
        <v>24.08</v>
      </c>
      <c r="F37">
        <v>10</v>
      </c>
      <c r="G37">
        <v>48.95</v>
      </c>
      <c r="H37">
        <v>2</v>
      </c>
      <c r="I37" t="s">
        <v>57</v>
      </c>
      <c r="J37">
        <v>55.401333333333298</v>
      </c>
      <c r="K37">
        <v>10.8158333333333</v>
      </c>
      <c r="L37" t="s">
        <v>53</v>
      </c>
      <c r="M37" t="s">
        <v>14</v>
      </c>
    </row>
    <row r="38" spans="1:13" x14ac:dyDescent="0.25">
      <c r="A38">
        <v>22130</v>
      </c>
      <c r="B38" t="s">
        <v>58</v>
      </c>
      <c r="C38">
        <v>22</v>
      </c>
      <c r="D38">
        <v>55</v>
      </c>
      <c r="E38">
        <v>19.93</v>
      </c>
      <c r="F38">
        <v>10</v>
      </c>
      <c r="G38">
        <v>53.86</v>
      </c>
      <c r="H38">
        <v>2</v>
      </c>
      <c r="I38" t="s">
        <v>57</v>
      </c>
      <c r="J38">
        <v>55.332166666666701</v>
      </c>
      <c r="K38">
        <v>10.8976666666667</v>
      </c>
      <c r="L38" t="s">
        <v>53</v>
      </c>
      <c r="M38" t="s">
        <v>14</v>
      </c>
    </row>
    <row r="39" spans="1:13" x14ac:dyDescent="0.25">
      <c r="A39">
        <v>22131</v>
      </c>
      <c r="B39" t="s">
        <v>55</v>
      </c>
      <c r="C39">
        <v>22</v>
      </c>
      <c r="D39">
        <v>54</v>
      </c>
      <c r="E39">
        <v>37.700000000000003</v>
      </c>
      <c r="F39">
        <v>10</v>
      </c>
      <c r="G39">
        <v>38.92</v>
      </c>
      <c r="H39">
        <v>2</v>
      </c>
      <c r="I39" t="s">
        <v>57</v>
      </c>
      <c r="J39">
        <v>54.628333333333302</v>
      </c>
      <c r="K39">
        <v>10.648666666666699</v>
      </c>
      <c r="L39" t="s">
        <v>53</v>
      </c>
      <c r="M39" t="s">
        <v>14</v>
      </c>
    </row>
    <row r="40" spans="1:13" x14ac:dyDescent="0.25">
      <c r="A40">
        <v>22135</v>
      </c>
      <c r="B40" t="s">
        <v>56</v>
      </c>
      <c r="C40">
        <v>22</v>
      </c>
      <c r="D40">
        <v>54</v>
      </c>
      <c r="E40">
        <v>37.4</v>
      </c>
      <c r="F40">
        <v>11</v>
      </c>
      <c r="G40">
        <v>5</v>
      </c>
      <c r="H40">
        <v>2</v>
      </c>
      <c r="I40" t="s">
        <v>52</v>
      </c>
      <c r="J40">
        <v>54.623333333333299</v>
      </c>
      <c r="K40">
        <v>11.0833333333333</v>
      </c>
      <c r="L40" t="s">
        <v>53</v>
      </c>
      <c r="M40" t="s">
        <v>13</v>
      </c>
    </row>
    <row r="41" spans="1:13" x14ac:dyDescent="0.25">
      <c r="A41">
        <v>22136</v>
      </c>
      <c r="B41" t="s">
        <v>55</v>
      </c>
      <c r="C41">
        <v>22</v>
      </c>
      <c r="D41">
        <v>54</v>
      </c>
      <c r="E41">
        <v>44.5</v>
      </c>
      <c r="F41">
        <v>10</v>
      </c>
      <c r="G41">
        <v>11.9</v>
      </c>
      <c r="H41">
        <v>2</v>
      </c>
      <c r="I41" t="s">
        <v>52</v>
      </c>
      <c r="J41">
        <v>54.741666666666703</v>
      </c>
      <c r="K41">
        <v>10.1983333333333</v>
      </c>
      <c r="L41" t="s">
        <v>53</v>
      </c>
      <c r="M41" t="s">
        <v>13</v>
      </c>
    </row>
    <row r="42" spans="1:13" x14ac:dyDescent="0.25">
      <c r="A42">
        <v>22141</v>
      </c>
      <c r="B42" t="s">
        <v>54</v>
      </c>
      <c r="C42">
        <v>22</v>
      </c>
      <c r="D42">
        <v>54</v>
      </c>
      <c r="E42">
        <v>14.4</v>
      </c>
      <c r="F42">
        <v>11</v>
      </c>
      <c r="G42">
        <v>25.3</v>
      </c>
      <c r="H42">
        <v>2</v>
      </c>
      <c r="I42" t="s">
        <v>52</v>
      </c>
      <c r="J42">
        <v>54.24</v>
      </c>
      <c r="K42">
        <v>11.421666666666701</v>
      </c>
      <c r="L42" t="s">
        <v>53</v>
      </c>
      <c r="M42" t="s">
        <v>13</v>
      </c>
    </row>
    <row r="43" spans="1:13" x14ac:dyDescent="0.25">
      <c r="A43">
        <v>22142</v>
      </c>
      <c r="B43" t="s">
        <v>54</v>
      </c>
      <c r="C43">
        <v>22</v>
      </c>
      <c r="D43">
        <v>54</v>
      </c>
      <c r="E43">
        <v>15.9</v>
      </c>
      <c r="F43">
        <v>11</v>
      </c>
      <c r="G43">
        <v>30.1</v>
      </c>
      <c r="H43">
        <v>2</v>
      </c>
      <c r="I43" t="s">
        <v>52</v>
      </c>
      <c r="J43">
        <v>54.265000000000001</v>
      </c>
      <c r="K43">
        <v>11.501666666666701</v>
      </c>
      <c r="L43" t="s">
        <v>53</v>
      </c>
      <c r="M43" t="s">
        <v>13</v>
      </c>
    </row>
    <row r="44" spans="1:13" x14ac:dyDescent="0.25">
      <c r="A44">
        <v>22143</v>
      </c>
      <c r="B44" t="s">
        <v>54</v>
      </c>
      <c r="C44">
        <v>22</v>
      </c>
      <c r="D44">
        <v>54</v>
      </c>
      <c r="E44">
        <v>12.9</v>
      </c>
      <c r="F44">
        <v>11</v>
      </c>
      <c r="G44">
        <v>33.1</v>
      </c>
      <c r="H44">
        <v>2</v>
      </c>
      <c r="I44" t="s">
        <v>52</v>
      </c>
      <c r="J44">
        <v>54.215000000000003</v>
      </c>
      <c r="K44">
        <v>11.5516666666667</v>
      </c>
      <c r="L44" t="s">
        <v>53</v>
      </c>
      <c r="M44" t="s">
        <v>13</v>
      </c>
    </row>
    <row r="45" spans="1:13" x14ac:dyDescent="0.25">
      <c r="A45">
        <v>22144</v>
      </c>
      <c r="B45" t="s">
        <v>54</v>
      </c>
      <c r="C45">
        <v>22</v>
      </c>
      <c r="D45">
        <v>54</v>
      </c>
      <c r="E45">
        <v>18.23</v>
      </c>
      <c r="F45">
        <v>11</v>
      </c>
      <c r="G45">
        <v>29.17</v>
      </c>
      <c r="H45">
        <v>2</v>
      </c>
      <c r="I45" t="s">
        <v>52</v>
      </c>
      <c r="J45">
        <v>54.303833333333301</v>
      </c>
      <c r="K45">
        <v>11.486166666666699</v>
      </c>
      <c r="L45" t="s">
        <v>53</v>
      </c>
      <c r="M45" t="s">
        <v>13</v>
      </c>
    </row>
    <row r="46" spans="1:13" x14ac:dyDescent="0.25">
      <c r="A46">
        <v>22146</v>
      </c>
      <c r="B46" t="s">
        <v>54</v>
      </c>
      <c r="C46">
        <v>22</v>
      </c>
      <c r="D46">
        <v>54</v>
      </c>
      <c r="E46">
        <v>17.75</v>
      </c>
      <c r="F46">
        <v>11</v>
      </c>
      <c r="G46">
        <v>36.299999999999997</v>
      </c>
      <c r="H46">
        <v>2</v>
      </c>
      <c r="I46" t="s">
        <v>52</v>
      </c>
      <c r="J46">
        <v>54.295833333333299</v>
      </c>
      <c r="K46">
        <v>11.605</v>
      </c>
      <c r="L46" t="s">
        <v>53</v>
      </c>
      <c r="M46" t="s">
        <v>13</v>
      </c>
    </row>
    <row r="47" spans="1:13" x14ac:dyDescent="0.25">
      <c r="A47">
        <v>24001</v>
      </c>
      <c r="B47" t="s">
        <v>64</v>
      </c>
      <c r="C47">
        <v>24</v>
      </c>
      <c r="D47">
        <v>54</v>
      </c>
      <c r="E47">
        <v>23.05</v>
      </c>
      <c r="F47">
        <v>12</v>
      </c>
      <c r="G47">
        <v>11.63</v>
      </c>
      <c r="H47">
        <v>2</v>
      </c>
      <c r="I47" t="s">
        <v>52</v>
      </c>
      <c r="J47">
        <v>54.384166666666701</v>
      </c>
      <c r="K47">
        <v>12.1938333333333</v>
      </c>
      <c r="L47" t="s">
        <v>53</v>
      </c>
      <c r="M47" t="s">
        <v>13</v>
      </c>
    </row>
    <row r="48" spans="1:13" x14ac:dyDescent="0.25">
      <c r="A48">
        <v>24002</v>
      </c>
      <c r="B48" t="s">
        <v>64</v>
      </c>
      <c r="C48">
        <v>24</v>
      </c>
      <c r="D48">
        <v>54</v>
      </c>
      <c r="E48">
        <v>26.48</v>
      </c>
      <c r="F48">
        <v>12</v>
      </c>
      <c r="G48">
        <v>20.88</v>
      </c>
      <c r="H48">
        <v>2</v>
      </c>
      <c r="I48" t="s">
        <v>52</v>
      </c>
      <c r="J48">
        <v>54.441333333333297</v>
      </c>
      <c r="K48">
        <v>12.348000000000001</v>
      </c>
      <c r="L48" t="s">
        <v>53</v>
      </c>
      <c r="M48" t="s">
        <v>13</v>
      </c>
    </row>
    <row r="49" spans="1:13" x14ac:dyDescent="0.25">
      <c r="A49">
        <v>24005</v>
      </c>
      <c r="B49" t="s">
        <v>65</v>
      </c>
      <c r="C49">
        <v>24</v>
      </c>
      <c r="D49">
        <v>54</v>
      </c>
      <c r="E49">
        <v>39.6</v>
      </c>
      <c r="F49">
        <v>12</v>
      </c>
      <c r="G49">
        <v>11.2</v>
      </c>
      <c r="H49">
        <v>2</v>
      </c>
      <c r="I49" t="s">
        <v>57</v>
      </c>
      <c r="J49">
        <v>54.66</v>
      </c>
      <c r="K49">
        <v>12.186666666666699</v>
      </c>
      <c r="L49" t="s">
        <v>53</v>
      </c>
      <c r="M49" t="s">
        <v>13</v>
      </c>
    </row>
    <row r="50" spans="1:13" x14ac:dyDescent="0.25">
      <c r="A50">
        <v>24006</v>
      </c>
      <c r="B50" t="s">
        <v>65</v>
      </c>
      <c r="C50">
        <v>24</v>
      </c>
      <c r="D50">
        <v>54</v>
      </c>
      <c r="E50">
        <v>35.31</v>
      </c>
      <c r="F50">
        <v>12</v>
      </c>
      <c r="G50">
        <v>27.37</v>
      </c>
      <c r="H50">
        <v>2</v>
      </c>
      <c r="I50" t="s">
        <v>52</v>
      </c>
      <c r="J50">
        <v>54.588500000000003</v>
      </c>
      <c r="K50">
        <v>12.4561666666667</v>
      </c>
      <c r="L50" t="s">
        <v>53</v>
      </c>
      <c r="M50" t="s">
        <v>13</v>
      </c>
    </row>
    <row r="51" spans="1:13" x14ac:dyDescent="0.25">
      <c r="A51">
        <v>24016</v>
      </c>
      <c r="B51" t="s">
        <v>65</v>
      </c>
      <c r="C51">
        <v>24</v>
      </c>
      <c r="D51">
        <v>54</v>
      </c>
      <c r="E51">
        <v>41.28</v>
      </c>
      <c r="F51">
        <v>12</v>
      </c>
      <c r="G51">
        <v>58.35</v>
      </c>
      <c r="H51">
        <v>2</v>
      </c>
      <c r="I51" t="s">
        <v>52</v>
      </c>
      <c r="J51">
        <v>54.688000000000002</v>
      </c>
      <c r="K51">
        <v>12.9725</v>
      </c>
      <c r="L51" t="s">
        <v>53</v>
      </c>
      <c r="M51" t="s">
        <v>13</v>
      </c>
    </row>
    <row r="52" spans="1:13" x14ac:dyDescent="0.25">
      <c r="A52">
        <v>24022</v>
      </c>
      <c r="B52" t="s">
        <v>69</v>
      </c>
      <c r="C52">
        <v>24</v>
      </c>
      <c r="D52">
        <v>54</v>
      </c>
      <c r="E52">
        <v>26.75</v>
      </c>
      <c r="F52">
        <v>14</v>
      </c>
      <c r="G52">
        <v>57.3</v>
      </c>
      <c r="H52">
        <v>2</v>
      </c>
      <c r="I52" t="s">
        <v>70</v>
      </c>
      <c r="J52">
        <v>54.445833333333297</v>
      </c>
      <c r="K52">
        <v>14.955</v>
      </c>
      <c r="L52" t="s">
        <v>53</v>
      </c>
      <c r="M52" t="s">
        <v>48</v>
      </c>
    </row>
    <row r="53" spans="1:13" x14ac:dyDescent="0.25">
      <c r="A53">
        <v>24024</v>
      </c>
      <c r="B53" t="s">
        <v>68</v>
      </c>
      <c r="C53">
        <v>24</v>
      </c>
      <c r="D53">
        <v>54</v>
      </c>
      <c r="E53">
        <v>34.4</v>
      </c>
      <c r="F53">
        <v>13</v>
      </c>
      <c r="G53">
        <v>47.6</v>
      </c>
      <c r="H53">
        <v>2</v>
      </c>
      <c r="I53" t="s">
        <v>52</v>
      </c>
      <c r="J53">
        <v>54.573333333333302</v>
      </c>
      <c r="K53">
        <v>13.793333333333299</v>
      </c>
      <c r="L53" t="s">
        <v>53</v>
      </c>
      <c r="M53" t="s">
        <v>13</v>
      </c>
    </row>
    <row r="54" spans="1:13" x14ac:dyDescent="0.25">
      <c r="A54">
        <v>24039</v>
      </c>
      <c r="B54" t="s">
        <v>71</v>
      </c>
      <c r="C54">
        <v>24</v>
      </c>
      <c r="D54">
        <v>54</v>
      </c>
      <c r="E54">
        <v>39.36</v>
      </c>
      <c r="F54">
        <v>14</v>
      </c>
      <c r="G54">
        <v>9.4700000000000006</v>
      </c>
      <c r="H54">
        <v>2</v>
      </c>
      <c r="I54" t="s">
        <v>52</v>
      </c>
      <c r="J54">
        <v>54.655999999999999</v>
      </c>
      <c r="K54">
        <v>14.157833333333301</v>
      </c>
      <c r="L54" t="s">
        <v>53</v>
      </c>
      <c r="M54" t="s">
        <v>13</v>
      </c>
    </row>
    <row r="55" spans="1:13" x14ac:dyDescent="0.25">
      <c r="A55">
        <v>24046</v>
      </c>
      <c r="B55" t="s">
        <v>71</v>
      </c>
      <c r="C55">
        <v>24</v>
      </c>
      <c r="D55">
        <v>54</v>
      </c>
      <c r="E55">
        <v>40.200000000000003</v>
      </c>
      <c r="F55">
        <v>14</v>
      </c>
      <c r="G55">
        <v>30.7</v>
      </c>
      <c r="H55">
        <v>2</v>
      </c>
      <c r="I55" t="s">
        <v>57</v>
      </c>
      <c r="J55">
        <v>54.67</v>
      </c>
      <c r="K55">
        <v>14.5116666666667</v>
      </c>
      <c r="L55" t="s">
        <v>53</v>
      </c>
      <c r="M55" t="s">
        <v>13</v>
      </c>
    </row>
    <row r="56" spans="1:13" x14ac:dyDescent="0.25">
      <c r="A56">
        <v>24047</v>
      </c>
      <c r="B56" t="s">
        <v>71</v>
      </c>
      <c r="C56">
        <v>24</v>
      </c>
      <c r="D56">
        <v>54</v>
      </c>
      <c r="E56">
        <v>35.4</v>
      </c>
      <c r="F56">
        <v>14</v>
      </c>
      <c r="G56">
        <v>27.96</v>
      </c>
      <c r="H56">
        <v>2</v>
      </c>
      <c r="I56" t="s">
        <v>52</v>
      </c>
      <c r="J56">
        <v>54.59</v>
      </c>
      <c r="K56">
        <v>14.465999999999999</v>
      </c>
      <c r="L56" t="s">
        <v>53</v>
      </c>
      <c r="M56" t="s">
        <v>13</v>
      </c>
    </row>
    <row r="57" spans="1:13" x14ac:dyDescent="0.25">
      <c r="A57">
        <v>24055</v>
      </c>
      <c r="B57" t="s">
        <v>71</v>
      </c>
      <c r="C57">
        <v>24</v>
      </c>
      <c r="D57">
        <v>54</v>
      </c>
      <c r="E57">
        <v>34.159999999999997</v>
      </c>
      <c r="F57">
        <v>14</v>
      </c>
      <c r="G57">
        <v>43.13</v>
      </c>
      <c r="H57">
        <v>2</v>
      </c>
      <c r="I57" t="s">
        <v>70</v>
      </c>
      <c r="J57">
        <v>54.569333333333297</v>
      </c>
      <c r="K57">
        <v>14.718833333333301</v>
      </c>
      <c r="L57" t="s">
        <v>53</v>
      </c>
      <c r="M57" t="s">
        <v>48</v>
      </c>
    </row>
    <row r="58" spans="1:13" x14ac:dyDescent="0.25">
      <c r="A58">
        <v>24057</v>
      </c>
      <c r="B58" t="s">
        <v>69</v>
      </c>
      <c r="C58">
        <v>24</v>
      </c>
      <c r="D58">
        <v>54</v>
      </c>
      <c r="E58">
        <v>32.299999999999997</v>
      </c>
      <c r="F58">
        <v>14</v>
      </c>
      <c r="G58">
        <v>56.3</v>
      </c>
      <c r="H58">
        <v>2</v>
      </c>
      <c r="I58" t="s">
        <v>70</v>
      </c>
      <c r="J58">
        <v>54.538333333333298</v>
      </c>
      <c r="K58">
        <v>14.938333333333301</v>
      </c>
      <c r="L58" t="s">
        <v>53</v>
      </c>
      <c r="M58" t="s">
        <v>48</v>
      </c>
    </row>
    <row r="59" spans="1:13" x14ac:dyDescent="0.25">
      <c r="A59">
        <v>24059</v>
      </c>
      <c r="B59" t="s">
        <v>65</v>
      </c>
      <c r="C59">
        <v>24</v>
      </c>
      <c r="D59">
        <v>54</v>
      </c>
      <c r="E59">
        <v>46.77</v>
      </c>
      <c r="F59">
        <v>12</v>
      </c>
      <c r="G59">
        <v>21.78</v>
      </c>
      <c r="H59">
        <v>2</v>
      </c>
      <c r="I59" t="s">
        <v>57</v>
      </c>
      <c r="J59">
        <v>54.779499999999999</v>
      </c>
      <c r="K59">
        <v>12.363</v>
      </c>
      <c r="L59" t="s">
        <v>53</v>
      </c>
      <c r="M59" t="s">
        <v>13</v>
      </c>
    </row>
    <row r="60" spans="1:13" x14ac:dyDescent="0.25">
      <c r="A60">
        <v>24066</v>
      </c>
      <c r="B60" t="s">
        <v>68</v>
      </c>
      <c r="C60">
        <v>24</v>
      </c>
      <c r="D60">
        <v>54</v>
      </c>
      <c r="E60">
        <v>44.6</v>
      </c>
      <c r="F60">
        <v>13</v>
      </c>
      <c r="G60">
        <v>20.22</v>
      </c>
      <c r="H60">
        <v>2</v>
      </c>
      <c r="I60" t="s">
        <v>52</v>
      </c>
      <c r="J60">
        <v>54.743333333333297</v>
      </c>
      <c r="K60">
        <v>13.337</v>
      </c>
      <c r="L60" t="s">
        <v>53</v>
      </c>
      <c r="M60" t="s">
        <v>13</v>
      </c>
    </row>
    <row r="61" spans="1:13" x14ac:dyDescent="0.25">
      <c r="A61">
        <v>24086</v>
      </c>
      <c r="B61" t="s">
        <v>72</v>
      </c>
      <c r="C61">
        <v>24</v>
      </c>
      <c r="D61">
        <v>54</v>
      </c>
      <c r="E61">
        <v>59.23</v>
      </c>
      <c r="F61">
        <v>12</v>
      </c>
      <c r="G61">
        <v>40.340000000000003</v>
      </c>
      <c r="H61">
        <v>2</v>
      </c>
      <c r="I61" t="s">
        <v>57</v>
      </c>
      <c r="J61">
        <v>54.987166666666702</v>
      </c>
      <c r="K61">
        <v>12.672333333333301</v>
      </c>
      <c r="L61" t="s">
        <v>53</v>
      </c>
      <c r="M61" t="s">
        <v>13</v>
      </c>
    </row>
    <row r="62" spans="1:13" x14ac:dyDescent="0.25">
      <c r="A62">
        <v>24089</v>
      </c>
      <c r="B62" t="s">
        <v>65</v>
      </c>
      <c r="C62">
        <v>24</v>
      </c>
      <c r="D62">
        <v>54</v>
      </c>
      <c r="E62">
        <v>54.125399999999999</v>
      </c>
      <c r="F62">
        <v>12</v>
      </c>
      <c r="G62">
        <v>54</v>
      </c>
      <c r="H62">
        <v>3</v>
      </c>
      <c r="I62" t="s">
        <v>57</v>
      </c>
      <c r="J62">
        <v>54.902090000000001</v>
      </c>
      <c r="K62">
        <v>12.9</v>
      </c>
      <c r="L62" t="s">
        <v>53</v>
      </c>
      <c r="M62" t="s">
        <v>13</v>
      </c>
    </row>
    <row r="63" spans="1:13" x14ac:dyDescent="0.25">
      <c r="A63">
        <v>24095</v>
      </c>
      <c r="B63" t="s">
        <v>72</v>
      </c>
      <c r="C63">
        <v>24</v>
      </c>
      <c r="D63">
        <v>55</v>
      </c>
      <c r="E63">
        <v>5</v>
      </c>
      <c r="F63">
        <v>12</v>
      </c>
      <c r="G63">
        <v>50.1</v>
      </c>
      <c r="H63">
        <v>2</v>
      </c>
      <c r="I63" t="s">
        <v>57</v>
      </c>
      <c r="J63">
        <v>55.0833333333333</v>
      </c>
      <c r="K63">
        <v>12.835000000000001</v>
      </c>
      <c r="L63" t="s">
        <v>53</v>
      </c>
      <c r="M63" t="s">
        <v>13</v>
      </c>
    </row>
    <row r="64" spans="1:13" x14ac:dyDescent="0.25">
      <c r="A64">
        <v>24101</v>
      </c>
      <c r="B64" t="s">
        <v>66</v>
      </c>
      <c r="C64">
        <v>24</v>
      </c>
      <c r="D64">
        <v>55</v>
      </c>
      <c r="E64">
        <v>6.87</v>
      </c>
      <c r="F64">
        <v>13</v>
      </c>
      <c r="G64">
        <v>52.47</v>
      </c>
      <c r="H64">
        <v>3</v>
      </c>
      <c r="I64" t="s">
        <v>67</v>
      </c>
      <c r="J64">
        <v>55.1145</v>
      </c>
      <c r="K64">
        <v>13.874499999999999</v>
      </c>
      <c r="L64" t="s">
        <v>53</v>
      </c>
      <c r="M64" t="s">
        <v>13</v>
      </c>
    </row>
    <row r="65" spans="1:13" x14ac:dyDescent="0.25">
      <c r="A65">
        <v>24104</v>
      </c>
      <c r="B65" t="s">
        <v>66</v>
      </c>
      <c r="C65">
        <v>24</v>
      </c>
      <c r="D65">
        <v>55</v>
      </c>
      <c r="E65">
        <v>3.98</v>
      </c>
      <c r="F65">
        <v>13</v>
      </c>
      <c r="G65">
        <v>20.399999999999999</v>
      </c>
      <c r="H65">
        <v>3</v>
      </c>
      <c r="I65" t="s">
        <v>67</v>
      </c>
      <c r="J65">
        <v>55.066333333333297</v>
      </c>
      <c r="K65">
        <v>13.34</v>
      </c>
      <c r="L65" t="s">
        <v>53</v>
      </c>
      <c r="M65" t="s">
        <v>13</v>
      </c>
    </row>
    <row r="66" spans="1:13" x14ac:dyDescent="0.25">
      <c r="A66">
        <v>24107</v>
      </c>
      <c r="B66" t="s">
        <v>66</v>
      </c>
      <c r="C66">
        <v>24</v>
      </c>
      <c r="D66">
        <v>55</v>
      </c>
      <c r="E66">
        <v>16.399999999999999</v>
      </c>
      <c r="F66">
        <v>13</v>
      </c>
      <c r="G66">
        <v>44.6</v>
      </c>
      <c r="H66">
        <v>3</v>
      </c>
      <c r="I66" t="s">
        <v>67</v>
      </c>
      <c r="J66">
        <v>55.273333333333298</v>
      </c>
      <c r="K66">
        <v>13.7433333333333</v>
      </c>
      <c r="L66" t="s">
        <v>53</v>
      </c>
      <c r="M66" t="s">
        <v>13</v>
      </c>
    </row>
    <row r="67" spans="1:13" x14ac:dyDescent="0.25">
      <c r="A67">
        <v>24142</v>
      </c>
      <c r="B67" t="s">
        <v>73</v>
      </c>
      <c r="C67">
        <v>24</v>
      </c>
      <c r="D67">
        <v>55</v>
      </c>
      <c r="E67">
        <v>16.399999999999999</v>
      </c>
      <c r="F67">
        <v>14</v>
      </c>
      <c r="G67">
        <v>5</v>
      </c>
      <c r="H67">
        <v>2</v>
      </c>
      <c r="I67" t="s">
        <v>67</v>
      </c>
      <c r="J67">
        <v>55.273333333333298</v>
      </c>
      <c r="K67">
        <v>14.0833333333333</v>
      </c>
      <c r="L67" t="s">
        <v>53</v>
      </c>
      <c r="M67" t="s">
        <v>13</v>
      </c>
    </row>
    <row r="68" spans="1:13" x14ac:dyDescent="0.25">
      <c r="A68">
        <v>24150</v>
      </c>
      <c r="B68" t="s">
        <v>71</v>
      </c>
      <c r="C68">
        <v>24</v>
      </c>
      <c r="D68">
        <v>54</v>
      </c>
      <c r="E68">
        <v>36.770000000000003</v>
      </c>
      <c r="F68">
        <v>14</v>
      </c>
      <c r="G68">
        <v>46.61</v>
      </c>
      <c r="H68">
        <v>3</v>
      </c>
      <c r="I68" t="s">
        <v>57</v>
      </c>
      <c r="J68">
        <v>54.612833333333299</v>
      </c>
      <c r="K68">
        <v>14.7768333333333</v>
      </c>
      <c r="L68" t="s">
        <v>53</v>
      </c>
      <c r="M68" t="s">
        <v>13</v>
      </c>
    </row>
    <row r="69" spans="1:13" x14ac:dyDescent="0.25">
      <c r="A69">
        <v>24164</v>
      </c>
      <c r="B69" t="s">
        <v>71</v>
      </c>
      <c r="C69">
        <v>24</v>
      </c>
      <c r="D69">
        <v>54</v>
      </c>
      <c r="E69">
        <v>40.17</v>
      </c>
      <c r="F69">
        <v>14</v>
      </c>
      <c r="G69">
        <v>40.29</v>
      </c>
      <c r="H69">
        <v>3</v>
      </c>
      <c r="I69" t="s">
        <v>57</v>
      </c>
      <c r="J69">
        <v>54.669499999999999</v>
      </c>
      <c r="K69">
        <v>14.6715</v>
      </c>
      <c r="L69" t="s">
        <v>53</v>
      </c>
      <c r="M69" t="s">
        <v>13</v>
      </c>
    </row>
    <row r="70" spans="1:13" x14ac:dyDescent="0.25">
      <c r="A70">
        <v>24169</v>
      </c>
      <c r="B70" t="s">
        <v>65</v>
      </c>
      <c r="C70">
        <v>24</v>
      </c>
      <c r="D70">
        <v>54</v>
      </c>
      <c r="E70">
        <v>54.8</v>
      </c>
      <c r="F70">
        <v>12</v>
      </c>
      <c r="G70">
        <v>58.5</v>
      </c>
      <c r="H70">
        <v>2</v>
      </c>
      <c r="I70" t="s">
        <v>57</v>
      </c>
      <c r="J70">
        <v>54.913333333333298</v>
      </c>
      <c r="K70">
        <v>12.975</v>
      </c>
      <c r="L70" t="s">
        <v>53</v>
      </c>
      <c r="M70" t="s">
        <v>13</v>
      </c>
    </row>
    <row r="71" spans="1:13" x14ac:dyDescent="0.25">
      <c r="A71">
        <v>24183</v>
      </c>
      <c r="B71" t="s">
        <v>68</v>
      </c>
      <c r="C71">
        <v>24</v>
      </c>
      <c r="D71">
        <v>55</v>
      </c>
      <c r="E71">
        <v>0</v>
      </c>
      <c r="F71">
        <v>13</v>
      </c>
      <c r="G71">
        <v>31.7</v>
      </c>
      <c r="H71">
        <v>3</v>
      </c>
      <c r="I71" t="s">
        <v>52</v>
      </c>
      <c r="J71">
        <v>55</v>
      </c>
      <c r="K71">
        <v>13.5283333333333</v>
      </c>
      <c r="L71" t="s">
        <v>53</v>
      </c>
      <c r="M71" t="s">
        <v>13</v>
      </c>
    </row>
    <row r="72" spans="1:13" x14ac:dyDescent="0.25">
      <c r="A72">
        <v>24207</v>
      </c>
      <c r="B72" t="s">
        <v>71</v>
      </c>
      <c r="C72">
        <v>24</v>
      </c>
      <c r="D72">
        <v>54</v>
      </c>
      <c r="E72">
        <v>59.2</v>
      </c>
      <c r="F72">
        <v>14</v>
      </c>
      <c r="G72">
        <v>9.5</v>
      </c>
      <c r="H72">
        <v>3</v>
      </c>
      <c r="I72" t="s">
        <v>57</v>
      </c>
      <c r="J72">
        <v>54.9866666666667</v>
      </c>
      <c r="K72">
        <v>14.158333333333299</v>
      </c>
      <c r="L72" t="s">
        <v>53</v>
      </c>
      <c r="M72" t="s">
        <v>13</v>
      </c>
    </row>
    <row r="73" spans="1:13" x14ac:dyDescent="0.25">
      <c r="A73">
        <v>24251</v>
      </c>
      <c r="B73" t="s">
        <v>73</v>
      </c>
      <c r="C73">
        <v>24</v>
      </c>
      <c r="D73">
        <v>55</v>
      </c>
      <c r="E73">
        <v>5.4</v>
      </c>
      <c r="F73">
        <v>14</v>
      </c>
      <c r="G73">
        <v>33.14</v>
      </c>
      <c r="H73">
        <v>3</v>
      </c>
      <c r="I73" t="s">
        <v>57</v>
      </c>
      <c r="J73">
        <v>55.09</v>
      </c>
      <c r="K73">
        <v>14.5523333333333</v>
      </c>
      <c r="L73" t="s">
        <v>53</v>
      </c>
      <c r="M73" t="s">
        <v>13</v>
      </c>
    </row>
    <row r="74" spans="1:13" x14ac:dyDescent="0.25">
      <c r="A74">
        <v>24252</v>
      </c>
      <c r="B74" t="s">
        <v>66</v>
      </c>
      <c r="C74">
        <v>24</v>
      </c>
      <c r="D74">
        <v>55</v>
      </c>
      <c r="E74">
        <v>12.47</v>
      </c>
      <c r="F74">
        <v>13</v>
      </c>
      <c r="G74">
        <v>10.47</v>
      </c>
      <c r="H74">
        <v>3</v>
      </c>
      <c r="I74" t="s">
        <v>67</v>
      </c>
      <c r="J74">
        <v>55.207833333333298</v>
      </c>
      <c r="K74">
        <v>13.1745</v>
      </c>
      <c r="L74" t="s">
        <v>53</v>
      </c>
      <c r="M74" t="s">
        <v>13</v>
      </c>
    </row>
    <row r="75" spans="1:13" x14ac:dyDescent="0.25">
      <c r="A75">
        <v>24275</v>
      </c>
      <c r="B75" t="s">
        <v>73</v>
      </c>
      <c r="C75">
        <v>24</v>
      </c>
      <c r="D75">
        <v>55</v>
      </c>
      <c r="E75">
        <v>11.91</v>
      </c>
      <c r="F75">
        <v>14</v>
      </c>
      <c r="G75">
        <v>18.7</v>
      </c>
      <c r="H75">
        <v>3</v>
      </c>
      <c r="I75" t="s">
        <v>57</v>
      </c>
      <c r="J75">
        <v>55.198500000000003</v>
      </c>
      <c r="K75">
        <v>14.311666666666699</v>
      </c>
      <c r="L75" t="s">
        <v>53</v>
      </c>
      <c r="M75" t="s">
        <v>13</v>
      </c>
    </row>
    <row r="76" spans="1:13" x14ac:dyDescent="0.25">
      <c r="A76">
        <v>24278</v>
      </c>
      <c r="B76" t="s">
        <v>74</v>
      </c>
      <c r="C76">
        <v>24</v>
      </c>
      <c r="D76">
        <v>54</v>
      </c>
      <c r="E76">
        <v>46.1</v>
      </c>
      <c r="F76">
        <v>15</v>
      </c>
      <c r="G76">
        <v>0</v>
      </c>
      <c r="H76">
        <v>3</v>
      </c>
      <c r="I76" t="s">
        <v>57</v>
      </c>
      <c r="J76">
        <v>54.768333333333302</v>
      </c>
      <c r="K76">
        <v>15</v>
      </c>
      <c r="L76" t="s">
        <v>53</v>
      </c>
      <c r="M76" t="s">
        <v>13</v>
      </c>
    </row>
    <row r="77" spans="1:13" x14ac:dyDescent="0.25">
      <c r="A77">
        <v>24287</v>
      </c>
      <c r="B77" t="s">
        <v>73</v>
      </c>
      <c r="C77">
        <v>24</v>
      </c>
      <c r="D77">
        <v>55</v>
      </c>
      <c r="E77">
        <v>2.5</v>
      </c>
      <c r="F77">
        <v>14</v>
      </c>
      <c r="G77">
        <v>13.4</v>
      </c>
      <c r="H77">
        <v>3</v>
      </c>
      <c r="I77" t="s">
        <v>57</v>
      </c>
      <c r="J77">
        <v>55.0416666666667</v>
      </c>
      <c r="K77">
        <v>14.223333333333301</v>
      </c>
      <c r="L77" t="s">
        <v>53</v>
      </c>
      <c r="M77" t="s">
        <v>13</v>
      </c>
    </row>
    <row r="78" spans="1:13" x14ac:dyDescent="0.25">
      <c r="A78">
        <v>24300</v>
      </c>
      <c r="B78" t="s">
        <v>71</v>
      </c>
      <c r="C78">
        <v>24</v>
      </c>
      <c r="D78">
        <v>54</v>
      </c>
      <c r="E78">
        <v>51.74</v>
      </c>
      <c r="F78">
        <v>14</v>
      </c>
      <c r="G78">
        <v>47.68</v>
      </c>
      <c r="H78">
        <v>2</v>
      </c>
      <c r="I78" t="s">
        <v>57</v>
      </c>
      <c r="J78">
        <v>54.862333333333297</v>
      </c>
      <c r="K78">
        <v>14.7946666666667</v>
      </c>
      <c r="L78" t="s">
        <v>53</v>
      </c>
      <c r="M78" t="s">
        <v>13</v>
      </c>
    </row>
    <row r="79" spans="1:13" x14ac:dyDescent="0.25">
      <c r="A79">
        <v>24301</v>
      </c>
      <c r="B79" t="s">
        <v>66</v>
      </c>
      <c r="C79">
        <v>24</v>
      </c>
      <c r="D79">
        <v>55</v>
      </c>
      <c r="E79">
        <v>3.36</v>
      </c>
      <c r="F79">
        <v>13</v>
      </c>
      <c r="G79">
        <v>38.36</v>
      </c>
      <c r="H79">
        <v>2</v>
      </c>
      <c r="I79" t="s">
        <v>67</v>
      </c>
      <c r="J79">
        <v>55.055999999999997</v>
      </c>
      <c r="K79">
        <v>13.639333333333299</v>
      </c>
      <c r="L79" t="s">
        <v>53</v>
      </c>
      <c r="M79" t="s">
        <v>13</v>
      </c>
    </row>
    <row r="80" spans="1:13" x14ac:dyDescent="0.25">
      <c r="A80">
        <v>24303</v>
      </c>
      <c r="B80" t="s">
        <v>66</v>
      </c>
      <c r="C80">
        <v>24</v>
      </c>
      <c r="D80">
        <v>55</v>
      </c>
      <c r="E80">
        <v>18.829999999999998</v>
      </c>
      <c r="F80">
        <v>13</v>
      </c>
      <c r="G80">
        <v>55.94</v>
      </c>
      <c r="H80">
        <v>2</v>
      </c>
      <c r="I80" t="s">
        <v>67</v>
      </c>
      <c r="J80">
        <v>55.313833333333299</v>
      </c>
      <c r="K80">
        <v>13.9323333333333</v>
      </c>
      <c r="L80" t="s">
        <v>53</v>
      </c>
      <c r="M80" t="s">
        <v>13</v>
      </c>
    </row>
    <row r="81" spans="1:13" x14ac:dyDescent="0.25">
      <c r="A81">
        <v>24309</v>
      </c>
      <c r="B81" t="s">
        <v>68</v>
      </c>
      <c r="C81">
        <v>24</v>
      </c>
      <c r="D81">
        <v>54</v>
      </c>
      <c r="E81">
        <v>52.375599999999999</v>
      </c>
      <c r="F81">
        <v>13</v>
      </c>
      <c r="G81">
        <v>34.269399999999997</v>
      </c>
      <c r="H81">
        <v>3</v>
      </c>
      <c r="I81" t="s">
        <v>52</v>
      </c>
      <c r="J81">
        <v>54.8729266666667</v>
      </c>
      <c r="K81">
        <v>13.571156666666701</v>
      </c>
      <c r="L81" t="s">
        <v>53</v>
      </c>
      <c r="M81" t="s">
        <v>13</v>
      </c>
    </row>
    <row r="82" spans="1:13" x14ac:dyDescent="0.25">
      <c r="A82">
        <v>24310</v>
      </c>
      <c r="B82" t="s">
        <v>68</v>
      </c>
      <c r="C82">
        <v>24</v>
      </c>
      <c r="D82">
        <v>54</v>
      </c>
      <c r="E82">
        <v>59.326999999999998</v>
      </c>
      <c r="F82">
        <v>13</v>
      </c>
      <c r="G82">
        <v>52.183599999999998</v>
      </c>
      <c r="H82">
        <v>3</v>
      </c>
      <c r="I82" t="s">
        <v>52</v>
      </c>
      <c r="J82">
        <v>54.988783333333302</v>
      </c>
      <c r="K82">
        <v>13.869726666666701</v>
      </c>
      <c r="L82" t="s">
        <v>53</v>
      </c>
      <c r="M82" t="s">
        <v>13</v>
      </c>
    </row>
    <row r="83" spans="1:13" x14ac:dyDescent="0.25">
      <c r="A83">
        <v>24311</v>
      </c>
      <c r="B83" t="s">
        <v>71</v>
      </c>
      <c r="C83">
        <v>24</v>
      </c>
      <c r="D83">
        <v>55</v>
      </c>
      <c r="E83">
        <v>0.88</v>
      </c>
      <c r="F83">
        <v>14</v>
      </c>
      <c r="G83">
        <v>16.399999999999999</v>
      </c>
      <c r="H83">
        <v>3</v>
      </c>
      <c r="I83" t="s">
        <v>57</v>
      </c>
      <c r="J83">
        <v>55.014666666666699</v>
      </c>
      <c r="K83">
        <v>14.2733333333333</v>
      </c>
      <c r="L83" t="s">
        <v>53</v>
      </c>
      <c r="M83" t="s">
        <v>13</v>
      </c>
    </row>
    <row r="84" spans="1:13" x14ac:dyDescent="0.25">
      <c r="A84">
        <v>24328</v>
      </c>
      <c r="B84" t="s">
        <v>65</v>
      </c>
      <c r="C84">
        <v>24</v>
      </c>
      <c r="D84">
        <v>54</v>
      </c>
      <c r="E84">
        <v>38.39</v>
      </c>
      <c r="F84">
        <v>12</v>
      </c>
      <c r="G84">
        <v>41.08</v>
      </c>
      <c r="H84">
        <v>2</v>
      </c>
      <c r="I84" t="s">
        <v>52</v>
      </c>
      <c r="J84">
        <v>54.6398333333333</v>
      </c>
      <c r="K84">
        <v>12.684666666666701</v>
      </c>
      <c r="L84" t="s">
        <v>53</v>
      </c>
      <c r="M84" t="s">
        <v>13</v>
      </c>
    </row>
    <row r="85" spans="1:13" x14ac:dyDescent="0.25">
      <c r="A85">
        <v>24329</v>
      </c>
      <c r="B85" t="s">
        <v>69</v>
      </c>
      <c r="C85">
        <v>24</v>
      </c>
      <c r="D85">
        <v>54</v>
      </c>
      <c r="E85">
        <v>26</v>
      </c>
      <c r="F85">
        <v>14</v>
      </c>
      <c r="G85">
        <v>15.6</v>
      </c>
      <c r="H85">
        <v>2</v>
      </c>
      <c r="I85" t="s">
        <v>52</v>
      </c>
      <c r="J85">
        <v>54.433333333333302</v>
      </c>
      <c r="K85">
        <v>14.26</v>
      </c>
      <c r="L85" t="s">
        <v>53</v>
      </c>
      <c r="M85" t="s">
        <v>13</v>
      </c>
    </row>
    <row r="86" spans="1:13" x14ac:dyDescent="0.25">
      <c r="A86">
        <v>24335</v>
      </c>
      <c r="B86" t="s">
        <v>69</v>
      </c>
      <c r="C86">
        <v>24</v>
      </c>
      <c r="D86">
        <v>54</v>
      </c>
      <c r="E86">
        <v>11.5</v>
      </c>
      <c r="F86">
        <v>14</v>
      </c>
      <c r="G86">
        <v>18.600000000000001</v>
      </c>
      <c r="H86">
        <v>2</v>
      </c>
      <c r="I86" t="s">
        <v>52</v>
      </c>
      <c r="J86">
        <v>54.191666666666698</v>
      </c>
      <c r="K86">
        <v>14.31</v>
      </c>
      <c r="L86" t="s">
        <v>53</v>
      </c>
      <c r="M86" t="s">
        <v>13</v>
      </c>
    </row>
    <row r="87" spans="1:13" x14ac:dyDescent="0.25">
      <c r="A87">
        <v>25004</v>
      </c>
      <c r="B87" t="s">
        <v>75</v>
      </c>
      <c r="C87">
        <v>25</v>
      </c>
      <c r="D87">
        <v>54</v>
      </c>
      <c r="E87">
        <v>52.7</v>
      </c>
      <c r="F87">
        <v>16</v>
      </c>
      <c r="G87">
        <v>38.6</v>
      </c>
      <c r="H87">
        <v>2</v>
      </c>
      <c r="I87" t="s">
        <v>70</v>
      </c>
      <c r="J87">
        <v>54.878333333333302</v>
      </c>
      <c r="K87">
        <v>16.643333333333299</v>
      </c>
      <c r="L87" t="s">
        <v>76</v>
      </c>
      <c r="M87" t="s">
        <v>16</v>
      </c>
    </row>
    <row r="88" spans="1:13" x14ac:dyDescent="0.25">
      <c r="A88">
        <v>25006</v>
      </c>
      <c r="B88" t="s">
        <v>77</v>
      </c>
      <c r="C88">
        <v>25</v>
      </c>
      <c r="D88">
        <v>54</v>
      </c>
      <c r="E88">
        <v>26</v>
      </c>
      <c r="F88">
        <v>15</v>
      </c>
      <c r="G88">
        <v>8.8000000000000007</v>
      </c>
      <c r="H88">
        <v>2</v>
      </c>
      <c r="I88" t="s">
        <v>70</v>
      </c>
      <c r="J88">
        <v>54.433333333333302</v>
      </c>
      <c r="K88">
        <v>15.1466666666667</v>
      </c>
      <c r="L88" t="s">
        <v>76</v>
      </c>
      <c r="M88" t="s">
        <v>16</v>
      </c>
    </row>
    <row r="89" spans="1:13" x14ac:dyDescent="0.25">
      <c r="A89">
        <v>25008</v>
      </c>
      <c r="B89" t="s">
        <v>77</v>
      </c>
      <c r="C89">
        <v>25</v>
      </c>
      <c r="D89">
        <v>54</v>
      </c>
      <c r="E89">
        <v>23</v>
      </c>
      <c r="F89">
        <v>15</v>
      </c>
      <c r="G89">
        <v>34</v>
      </c>
      <c r="H89">
        <v>2</v>
      </c>
      <c r="I89" t="s">
        <v>70</v>
      </c>
      <c r="J89">
        <v>54.383333333333297</v>
      </c>
      <c r="K89">
        <v>15.5666666666667</v>
      </c>
      <c r="L89" t="s">
        <v>76</v>
      </c>
      <c r="M89" t="s">
        <v>16</v>
      </c>
    </row>
    <row r="90" spans="1:13" x14ac:dyDescent="0.25">
      <c r="A90">
        <v>25009</v>
      </c>
      <c r="B90" t="s">
        <v>77</v>
      </c>
      <c r="C90">
        <v>25</v>
      </c>
      <c r="D90">
        <v>54</v>
      </c>
      <c r="E90">
        <v>22.9</v>
      </c>
      <c r="F90">
        <v>15</v>
      </c>
      <c r="G90">
        <v>47.3</v>
      </c>
      <c r="H90">
        <v>2</v>
      </c>
      <c r="I90" t="s">
        <v>70</v>
      </c>
      <c r="J90">
        <v>54.381666666666703</v>
      </c>
      <c r="K90">
        <v>15.7883333333333</v>
      </c>
      <c r="L90" t="s">
        <v>76</v>
      </c>
      <c r="M90" t="s">
        <v>16</v>
      </c>
    </row>
    <row r="91" spans="1:13" x14ac:dyDescent="0.25">
      <c r="A91">
        <v>25010</v>
      </c>
      <c r="B91" t="s">
        <v>78</v>
      </c>
      <c r="C91">
        <v>25</v>
      </c>
      <c r="D91">
        <v>54</v>
      </c>
      <c r="E91">
        <v>26.8</v>
      </c>
      <c r="F91">
        <v>16</v>
      </c>
      <c r="G91">
        <v>5.3</v>
      </c>
      <c r="H91">
        <v>2</v>
      </c>
      <c r="I91" t="s">
        <v>70</v>
      </c>
      <c r="J91">
        <v>54.446666666666701</v>
      </c>
      <c r="K91">
        <v>16.088333333333299</v>
      </c>
      <c r="L91" t="s">
        <v>76</v>
      </c>
      <c r="M91" t="s">
        <v>16</v>
      </c>
    </row>
    <row r="92" spans="1:13" x14ac:dyDescent="0.25">
      <c r="A92">
        <v>25011</v>
      </c>
      <c r="B92" t="s">
        <v>78</v>
      </c>
      <c r="C92">
        <v>25</v>
      </c>
      <c r="D92">
        <v>54</v>
      </c>
      <c r="E92">
        <v>24.7</v>
      </c>
      <c r="F92">
        <v>16</v>
      </c>
      <c r="G92">
        <v>3</v>
      </c>
      <c r="H92">
        <v>2</v>
      </c>
      <c r="I92" t="s">
        <v>70</v>
      </c>
      <c r="J92">
        <v>54.411666666666697</v>
      </c>
      <c r="K92">
        <v>16.05</v>
      </c>
      <c r="L92" t="s">
        <v>76</v>
      </c>
      <c r="M92" t="s">
        <v>16</v>
      </c>
    </row>
    <row r="93" spans="1:13" x14ac:dyDescent="0.25">
      <c r="A93">
        <v>25013</v>
      </c>
      <c r="B93" t="s">
        <v>75</v>
      </c>
      <c r="C93">
        <v>25</v>
      </c>
      <c r="D93">
        <v>54</v>
      </c>
      <c r="E93">
        <v>39</v>
      </c>
      <c r="F93">
        <v>16</v>
      </c>
      <c r="G93">
        <v>23.6</v>
      </c>
      <c r="H93">
        <v>2</v>
      </c>
      <c r="I93" t="s">
        <v>70</v>
      </c>
      <c r="J93">
        <v>54.65</v>
      </c>
      <c r="K93">
        <v>16.393333333333299</v>
      </c>
      <c r="L93" t="s">
        <v>76</v>
      </c>
      <c r="M93" t="s">
        <v>16</v>
      </c>
    </row>
    <row r="94" spans="1:13" x14ac:dyDescent="0.25">
      <c r="A94">
        <v>25014</v>
      </c>
      <c r="B94" t="s">
        <v>75</v>
      </c>
      <c r="C94">
        <v>25</v>
      </c>
      <c r="D94">
        <v>54</v>
      </c>
      <c r="E94">
        <v>41.6</v>
      </c>
      <c r="F94">
        <v>16</v>
      </c>
      <c r="G94">
        <v>38.700000000000003</v>
      </c>
      <c r="H94">
        <v>2</v>
      </c>
      <c r="I94" t="s">
        <v>70</v>
      </c>
      <c r="J94">
        <v>54.6933333333333</v>
      </c>
      <c r="K94">
        <v>16.645</v>
      </c>
      <c r="L94" t="s">
        <v>76</v>
      </c>
      <c r="M94" t="s">
        <v>16</v>
      </c>
    </row>
    <row r="95" spans="1:13" x14ac:dyDescent="0.25">
      <c r="A95">
        <v>25016</v>
      </c>
      <c r="B95" t="s">
        <v>75</v>
      </c>
      <c r="C95">
        <v>25</v>
      </c>
      <c r="D95">
        <v>54</v>
      </c>
      <c r="E95">
        <v>44.6</v>
      </c>
      <c r="F95">
        <v>16</v>
      </c>
      <c r="G95">
        <v>49</v>
      </c>
      <c r="H95">
        <v>2</v>
      </c>
      <c r="I95" t="s">
        <v>70</v>
      </c>
      <c r="J95">
        <v>54.743333333333297</v>
      </c>
      <c r="K95">
        <v>16.816666666666698</v>
      </c>
      <c r="L95" t="s">
        <v>76</v>
      </c>
      <c r="M95" t="s">
        <v>16</v>
      </c>
    </row>
    <row r="96" spans="1:13" x14ac:dyDescent="0.25">
      <c r="A96">
        <v>25017</v>
      </c>
      <c r="B96" t="s">
        <v>75</v>
      </c>
      <c r="C96">
        <v>25</v>
      </c>
      <c r="D96">
        <v>54</v>
      </c>
      <c r="E96">
        <v>44.2</v>
      </c>
      <c r="F96">
        <v>16</v>
      </c>
      <c r="G96">
        <v>52.3</v>
      </c>
      <c r="H96">
        <v>2</v>
      </c>
      <c r="I96" t="s">
        <v>70</v>
      </c>
      <c r="J96">
        <v>54.7366666666667</v>
      </c>
      <c r="K96">
        <v>16.871666666666702</v>
      </c>
      <c r="L96" t="s">
        <v>76</v>
      </c>
      <c r="M96" t="s">
        <v>16</v>
      </c>
    </row>
    <row r="97" spans="1:13" x14ac:dyDescent="0.25">
      <c r="A97">
        <v>25022</v>
      </c>
      <c r="B97" t="s">
        <v>79</v>
      </c>
      <c r="C97">
        <v>25</v>
      </c>
      <c r="D97">
        <v>54</v>
      </c>
      <c r="E97">
        <v>57.4</v>
      </c>
      <c r="F97">
        <v>17</v>
      </c>
      <c r="G97">
        <v>25</v>
      </c>
      <c r="H97">
        <v>2</v>
      </c>
      <c r="I97" t="s">
        <v>70</v>
      </c>
      <c r="J97">
        <v>54.956666666666699</v>
      </c>
      <c r="K97">
        <v>17.4166666666667</v>
      </c>
      <c r="L97" t="s">
        <v>76</v>
      </c>
      <c r="M97" t="s">
        <v>16</v>
      </c>
    </row>
    <row r="98" spans="1:13" x14ac:dyDescent="0.25">
      <c r="A98">
        <v>25024</v>
      </c>
      <c r="B98" t="s">
        <v>79</v>
      </c>
      <c r="C98">
        <v>25</v>
      </c>
      <c r="D98">
        <v>54</v>
      </c>
      <c r="E98">
        <v>51</v>
      </c>
      <c r="F98">
        <v>17</v>
      </c>
      <c r="G98">
        <v>28</v>
      </c>
      <c r="H98">
        <v>2</v>
      </c>
      <c r="I98" t="s">
        <v>70</v>
      </c>
      <c r="J98">
        <v>54.85</v>
      </c>
      <c r="K98">
        <v>17.466666666666701</v>
      </c>
      <c r="L98" t="s">
        <v>76</v>
      </c>
      <c r="M98" t="s">
        <v>16</v>
      </c>
    </row>
    <row r="99" spans="1:13" x14ac:dyDescent="0.25">
      <c r="A99">
        <v>25030</v>
      </c>
      <c r="B99" t="s">
        <v>80</v>
      </c>
      <c r="C99">
        <v>25</v>
      </c>
      <c r="D99">
        <v>55</v>
      </c>
      <c r="E99">
        <v>29.3</v>
      </c>
      <c r="F99">
        <v>17</v>
      </c>
      <c r="G99">
        <v>27.8</v>
      </c>
      <c r="H99">
        <v>3</v>
      </c>
      <c r="I99" t="s">
        <v>70</v>
      </c>
      <c r="J99">
        <v>55.488333333333301</v>
      </c>
      <c r="K99">
        <v>17.463333333333299</v>
      </c>
      <c r="L99" t="s">
        <v>76</v>
      </c>
      <c r="M99" t="s">
        <v>16</v>
      </c>
    </row>
    <row r="100" spans="1:13" x14ac:dyDescent="0.25">
      <c r="A100">
        <v>25041</v>
      </c>
      <c r="B100" t="s">
        <v>77</v>
      </c>
      <c r="C100">
        <v>25</v>
      </c>
      <c r="D100">
        <v>54</v>
      </c>
      <c r="E100">
        <v>24.9</v>
      </c>
      <c r="F100">
        <v>15</v>
      </c>
      <c r="G100">
        <v>41</v>
      </c>
      <c r="H100">
        <v>3</v>
      </c>
      <c r="I100" t="s">
        <v>70</v>
      </c>
      <c r="J100">
        <v>54.414999999999999</v>
      </c>
      <c r="K100">
        <v>15.6833333333333</v>
      </c>
      <c r="L100" t="s">
        <v>76</v>
      </c>
      <c r="M100" t="s">
        <v>16</v>
      </c>
    </row>
    <row r="101" spans="1:13" x14ac:dyDescent="0.25">
      <c r="A101">
        <v>25042</v>
      </c>
      <c r="B101" t="s">
        <v>77</v>
      </c>
      <c r="C101">
        <v>25</v>
      </c>
      <c r="D101">
        <v>54</v>
      </c>
      <c r="E101">
        <v>32</v>
      </c>
      <c r="F101">
        <v>16</v>
      </c>
      <c r="G101">
        <v>0</v>
      </c>
      <c r="H101">
        <v>3</v>
      </c>
      <c r="I101" t="s">
        <v>70</v>
      </c>
      <c r="J101">
        <v>54.533333333333303</v>
      </c>
      <c r="K101">
        <v>16</v>
      </c>
      <c r="L101" t="s">
        <v>76</v>
      </c>
      <c r="M101" t="s">
        <v>16</v>
      </c>
    </row>
    <row r="102" spans="1:13" x14ac:dyDescent="0.25">
      <c r="A102">
        <v>25046</v>
      </c>
      <c r="B102" t="s">
        <v>74</v>
      </c>
      <c r="C102">
        <v>25</v>
      </c>
      <c r="D102">
        <v>54</v>
      </c>
      <c r="E102">
        <v>33.4</v>
      </c>
      <c r="F102">
        <v>15</v>
      </c>
      <c r="G102">
        <v>26.4</v>
      </c>
      <c r="H102">
        <v>3</v>
      </c>
      <c r="I102" t="s">
        <v>70</v>
      </c>
      <c r="J102">
        <v>54.5566666666667</v>
      </c>
      <c r="K102">
        <v>15.44</v>
      </c>
      <c r="L102" t="s">
        <v>76</v>
      </c>
      <c r="M102" t="s">
        <v>16</v>
      </c>
    </row>
    <row r="103" spans="1:13" x14ac:dyDescent="0.25">
      <c r="A103">
        <v>25048</v>
      </c>
      <c r="B103" t="s">
        <v>74</v>
      </c>
      <c r="C103">
        <v>25</v>
      </c>
      <c r="D103">
        <v>54</v>
      </c>
      <c r="E103">
        <v>34.1</v>
      </c>
      <c r="F103">
        <v>15</v>
      </c>
      <c r="G103">
        <v>40.1</v>
      </c>
      <c r="H103">
        <v>4</v>
      </c>
      <c r="I103" t="s">
        <v>70</v>
      </c>
      <c r="J103">
        <v>54.5683333333333</v>
      </c>
      <c r="K103">
        <v>15.668333333333299</v>
      </c>
      <c r="L103" t="s">
        <v>76</v>
      </c>
      <c r="M103" t="s">
        <v>16</v>
      </c>
    </row>
    <row r="104" spans="1:13" x14ac:dyDescent="0.25">
      <c r="A104">
        <v>25049</v>
      </c>
      <c r="B104" t="s">
        <v>74</v>
      </c>
      <c r="C104">
        <v>25</v>
      </c>
      <c r="D104">
        <v>54</v>
      </c>
      <c r="E104">
        <v>32.5</v>
      </c>
      <c r="F104">
        <v>15</v>
      </c>
      <c r="G104">
        <v>46.1</v>
      </c>
      <c r="H104">
        <v>3</v>
      </c>
      <c r="I104" t="s">
        <v>70</v>
      </c>
      <c r="J104">
        <v>54.5416666666667</v>
      </c>
      <c r="K104">
        <v>15.768333333333301</v>
      </c>
      <c r="L104" t="s">
        <v>76</v>
      </c>
      <c r="M104" t="s">
        <v>16</v>
      </c>
    </row>
    <row r="105" spans="1:13" x14ac:dyDescent="0.25">
      <c r="A105">
        <v>25052</v>
      </c>
      <c r="B105" t="s">
        <v>75</v>
      </c>
      <c r="C105">
        <v>25</v>
      </c>
      <c r="D105">
        <v>54</v>
      </c>
      <c r="E105">
        <v>38.4</v>
      </c>
      <c r="F105">
        <v>16</v>
      </c>
      <c r="G105">
        <v>4.5</v>
      </c>
      <c r="H105">
        <v>3</v>
      </c>
      <c r="I105" t="s">
        <v>70</v>
      </c>
      <c r="J105">
        <v>54.64</v>
      </c>
      <c r="K105">
        <v>16.074999999999999</v>
      </c>
      <c r="L105" t="s">
        <v>76</v>
      </c>
      <c r="M105" t="s">
        <v>16</v>
      </c>
    </row>
    <row r="106" spans="1:13" x14ac:dyDescent="0.25">
      <c r="A106">
        <v>25053</v>
      </c>
      <c r="B106" t="s">
        <v>74</v>
      </c>
      <c r="C106">
        <v>25</v>
      </c>
      <c r="D106">
        <v>54</v>
      </c>
      <c r="E106">
        <v>48.1</v>
      </c>
      <c r="F106">
        <v>15</v>
      </c>
      <c r="G106">
        <v>0.8</v>
      </c>
      <c r="H106">
        <v>3</v>
      </c>
      <c r="I106" t="s">
        <v>57</v>
      </c>
      <c r="J106">
        <v>54.801666666666698</v>
      </c>
      <c r="K106">
        <v>15.0133333333333</v>
      </c>
      <c r="L106" t="s">
        <v>76</v>
      </c>
      <c r="M106" t="s">
        <v>15</v>
      </c>
    </row>
    <row r="107" spans="1:13" x14ac:dyDescent="0.25">
      <c r="A107">
        <v>25056</v>
      </c>
      <c r="B107" t="s">
        <v>74</v>
      </c>
      <c r="C107">
        <v>25</v>
      </c>
      <c r="D107">
        <v>54</v>
      </c>
      <c r="E107">
        <v>44.7</v>
      </c>
      <c r="F107">
        <v>15</v>
      </c>
      <c r="G107">
        <v>57</v>
      </c>
      <c r="H107">
        <v>3</v>
      </c>
      <c r="I107" t="s">
        <v>70</v>
      </c>
      <c r="J107">
        <v>54.744999999999997</v>
      </c>
      <c r="K107">
        <v>15.95</v>
      </c>
      <c r="L107" t="s">
        <v>76</v>
      </c>
      <c r="M107" t="s">
        <v>16</v>
      </c>
    </row>
    <row r="108" spans="1:13" x14ac:dyDescent="0.25">
      <c r="A108">
        <v>25060</v>
      </c>
      <c r="B108" t="s">
        <v>74</v>
      </c>
      <c r="C108">
        <v>25</v>
      </c>
      <c r="D108">
        <v>54</v>
      </c>
      <c r="E108">
        <v>50.3</v>
      </c>
      <c r="F108">
        <v>16</v>
      </c>
      <c r="G108">
        <v>3.1</v>
      </c>
      <c r="H108">
        <v>3</v>
      </c>
      <c r="I108" t="s">
        <v>70</v>
      </c>
      <c r="J108">
        <v>54.838333333333303</v>
      </c>
      <c r="K108">
        <v>16.051666666666701</v>
      </c>
      <c r="L108" t="s">
        <v>76</v>
      </c>
      <c r="M108" t="s">
        <v>16</v>
      </c>
    </row>
    <row r="109" spans="1:13" x14ac:dyDescent="0.25">
      <c r="A109">
        <v>25061</v>
      </c>
      <c r="B109" t="s">
        <v>75</v>
      </c>
      <c r="C109">
        <v>25</v>
      </c>
      <c r="D109">
        <v>54</v>
      </c>
      <c r="E109">
        <v>49.5</v>
      </c>
      <c r="F109">
        <v>16</v>
      </c>
      <c r="G109">
        <v>2.1</v>
      </c>
      <c r="H109">
        <v>3</v>
      </c>
      <c r="I109" t="s">
        <v>70</v>
      </c>
      <c r="J109">
        <v>54.825000000000003</v>
      </c>
      <c r="K109">
        <v>16.035</v>
      </c>
      <c r="L109" t="s">
        <v>76</v>
      </c>
      <c r="M109" t="s">
        <v>16</v>
      </c>
    </row>
    <row r="110" spans="1:13" x14ac:dyDescent="0.25">
      <c r="A110">
        <v>25065</v>
      </c>
      <c r="B110" t="s">
        <v>86</v>
      </c>
      <c r="C110">
        <v>25</v>
      </c>
      <c r="D110">
        <v>55</v>
      </c>
      <c r="E110">
        <v>3.6</v>
      </c>
      <c r="F110">
        <v>15</v>
      </c>
      <c r="G110">
        <v>20.100000000000001</v>
      </c>
      <c r="H110">
        <v>4</v>
      </c>
      <c r="I110" t="s">
        <v>57</v>
      </c>
      <c r="J110">
        <v>55.06</v>
      </c>
      <c r="K110">
        <v>15.335000000000001</v>
      </c>
      <c r="L110" t="s">
        <v>76</v>
      </c>
      <c r="M110" t="s">
        <v>15</v>
      </c>
    </row>
    <row r="111" spans="1:13" x14ac:dyDescent="0.25">
      <c r="A111">
        <v>25066</v>
      </c>
      <c r="B111" t="s">
        <v>87</v>
      </c>
      <c r="C111">
        <v>25</v>
      </c>
      <c r="D111">
        <v>55</v>
      </c>
      <c r="E111">
        <v>0</v>
      </c>
      <c r="F111">
        <v>16</v>
      </c>
      <c r="G111">
        <v>17</v>
      </c>
      <c r="H111">
        <v>3</v>
      </c>
      <c r="I111" t="s">
        <v>70</v>
      </c>
      <c r="J111">
        <v>55</v>
      </c>
      <c r="K111">
        <v>16.283333333333299</v>
      </c>
      <c r="L111" t="s">
        <v>76</v>
      </c>
      <c r="M111" t="s">
        <v>16</v>
      </c>
    </row>
    <row r="112" spans="1:13" x14ac:dyDescent="0.25">
      <c r="A112">
        <v>25067</v>
      </c>
      <c r="B112" t="s">
        <v>87</v>
      </c>
      <c r="C112">
        <v>25</v>
      </c>
      <c r="D112">
        <v>55</v>
      </c>
      <c r="E112">
        <v>2.6</v>
      </c>
      <c r="F112">
        <v>16</v>
      </c>
      <c r="G112">
        <v>24</v>
      </c>
      <c r="H112">
        <v>3</v>
      </c>
      <c r="I112" t="s">
        <v>70</v>
      </c>
      <c r="J112">
        <v>55.043333333333301</v>
      </c>
      <c r="K112">
        <v>16.399999999999999</v>
      </c>
      <c r="L112" t="s">
        <v>76</v>
      </c>
      <c r="M112" t="s">
        <v>16</v>
      </c>
    </row>
    <row r="113" spans="1:13" x14ac:dyDescent="0.25">
      <c r="A113">
        <v>25081</v>
      </c>
      <c r="B113" t="s">
        <v>87</v>
      </c>
      <c r="C113">
        <v>25</v>
      </c>
      <c r="D113">
        <v>55</v>
      </c>
      <c r="E113">
        <v>24.2</v>
      </c>
      <c r="F113">
        <v>16</v>
      </c>
      <c r="G113">
        <v>51</v>
      </c>
      <c r="H113">
        <v>3</v>
      </c>
      <c r="I113" t="s">
        <v>70</v>
      </c>
      <c r="J113">
        <v>55.4033333333333</v>
      </c>
      <c r="K113">
        <v>16.850000000000001</v>
      </c>
      <c r="L113" t="s">
        <v>76</v>
      </c>
      <c r="M113" t="s">
        <v>16</v>
      </c>
    </row>
    <row r="114" spans="1:13" x14ac:dyDescent="0.25">
      <c r="A114">
        <v>25136</v>
      </c>
      <c r="B114" t="s">
        <v>81</v>
      </c>
      <c r="C114">
        <v>25</v>
      </c>
      <c r="D114">
        <v>55</v>
      </c>
      <c r="E114">
        <v>46.6</v>
      </c>
      <c r="F114">
        <v>17</v>
      </c>
      <c r="G114">
        <v>42</v>
      </c>
      <c r="H114">
        <v>3</v>
      </c>
      <c r="I114" t="s">
        <v>67</v>
      </c>
      <c r="J114">
        <v>55.776666666666699</v>
      </c>
      <c r="K114">
        <v>17.7</v>
      </c>
      <c r="L114" t="s">
        <v>76</v>
      </c>
      <c r="M114" t="s">
        <v>15</v>
      </c>
    </row>
    <row r="115" spans="1:13" x14ac:dyDescent="0.25">
      <c r="A115">
        <v>25140</v>
      </c>
      <c r="B115" t="s">
        <v>83</v>
      </c>
      <c r="C115">
        <v>25</v>
      </c>
      <c r="D115">
        <v>55</v>
      </c>
      <c r="E115">
        <v>51.4</v>
      </c>
      <c r="F115">
        <v>15</v>
      </c>
      <c r="G115">
        <v>34.5</v>
      </c>
      <c r="H115">
        <v>3</v>
      </c>
      <c r="I115" t="s">
        <v>67</v>
      </c>
      <c r="J115">
        <v>55.856666666666698</v>
      </c>
      <c r="K115">
        <v>15.574999999999999</v>
      </c>
      <c r="L115" t="s">
        <v>76</v>
      </c>
      <c r="M115" t="s">
        <v>17</v>
      </c>
    </row>
    <row r="116" spans="1:13" x14ac:dyDescent="0.25">
      <c r="A116">
        <v>25161</v>
      </c>
      <c r="B116" t="s">
        <v>81</v>
      </c>
      <c r="C116">
        <v>25</v>
      </c>
      <c r="D116">
        <v>55</v>
      </c>
      <c r="E116">
        <v>53.3</v>
      </c>
      <c r="F116">
        <v>17</v>
      </c>
      <c r="G116">
        <v>43.6</v>
      </c>
      <c r="H116">
        <v>4</v>
      </c>
      <c r="I116" t="s">
        <v>67</v>
      </c>
      <c r="J116">
        <v>55.8883333333333</v>
      </c>
      <c r="K116">
        <v>17.726666666666699</v>
      </c>
      <c r="L116" t="s">
        <v>76</v>
      </c>
      <c r="M116" t="s">
        <v>15</v>
      </c>
    </row>
    <row r="117" spans="1:13" x14ac:dyDescent="0.25">
      <c r="A117">
        <v>25173</v>
      </c>
      <c r="B117" t="s">
        <v>74</v>
      </c>
      <c r="C117">
        <v>25</v>
      </c>
      <c r="D117">
        <v>54</v>
      </c>
      <c r="E117">
        <v>40.9</v>
      </c>
      <c r="F117">
        <v>15</v>
      </c>
      <c r="G117">
        <v>37.6</v>
      </c>
      <c r="H117">
        <v>4</v>
      </c>
      <c r="I117" t="s">
        <v>70</v>
      </c>
      <c r="J117">
        <v>54.6816666666667</v>
      </c>
      <c r="K117">
        <v>15.626666666666701</v>
      </c>
      <c r="L117" t="s">
        <v>76</v>
      </c>
      <c r="M117" t="s">
        <v>16</v>
      </c>
    </row>
    <row r="118" spans="1:13" x14ac:dyDescent="0.25">
      <c r="A118">
        <v>25195</v>
      </c>
      <c r="B118" t="s">
        <v>74</v>
      </c>
      <c r="C118">
        <v>25</v>
      </c>
      <c r="D118">
        <v>54</v>
      </c>
      <c r="E118">
        <v>53</v>
      </c>
      <c r="F118">
        <v>15</v>
      </c>
      <c r="G118">
        <v>51</v>
      </c>
      <c r="H118">
        <v>4</v>
      </c>
      <c r="I118" t="s">
        <v>57</v>
      </c>
      <c r="J118">
        <v>54.883333333333297</v>
      </c>
      <c r="K118">
        <v>15.85</v>
      </c>
      <c r="L118" t="s">
        <v>76</v>
      </c>
      <c r="M118" t="s">
        <v>15</v>
      </c>
    </row>
    <row r="119" spans="1:13" x14ac:dyDescent="0.25">
      <c r="A119">
        <v>25197</v>
      </c>
      <c r="B119" t="s">
        <v>86</v>
      </c>
      <c r="C119">
        <v>25</v>
      </c>
      <c r="D119">
        <v>55</v>
      </c>
      <c r="E119">
        <v>8</v>
      </c>
      <c r="F119">
        <v>15</v>
      </c>
      <c r="G119">
        <v>17</v>
      </c>
      <c r="H119">
        <v>4</v>
      </c>
      <c r="I119" t="s">
        <v>57</v>
      </c>
      <c r="J119">
        <v>55.133333333333297</v>
      </c>
      <c r="K119">
        <v>15.283333333333299</v>
      </c>
      <c r="L119" t="s">
        <v>76</v>
      </c>
      <c r="M119" t="s">
        <v>15</v>
      </c>
    </row>
    <row r="120" spans="1:13" x14ac:dyDescent="0.25">
      <c r="A120">
        <v>25212</v>
      </c>
      <c r="B120" t="s">
        <v>87</v>
      </c>
      <c r="C120">
        <v>25</v>
      </c>
      <c r="D120">
        <v>55</v>
      </c>
      <c r="E120">
        <v>3.3</v>
      </c>
      <c r="F120">
        <v>16</v>
      </c>
      <c r="G120">
        <v>18.2</v>
      </c>
      <c r="H120">
        <v>4</v>
      </c>
      <c r="I120" t="s">
        <v>70</v>
      </c>
      <c r="J120">
        <v>55.055</v>
      </c>
      <c r="K120">
        <v>16.303333333333299</v>
      </c>
      <c r="L120" t="s">
        <v>76</v>
      </c>
      <c r="M120" t="s">
        <v>16</v>
      </c>
    </row>
    <row r="121" spans="1:13" x14ac:dyDescent="0.25">
      <c r="A121">
        <v>25214</v>
      </c>
      <c r="B121" t="s">
        <v>87</v>
      </c>
      <c r="C121">
        <v>25</v>
      </c>
      <c r="D121">
        <v>55</v>
      </c>
      <c r="E121">
        <v>4.5</v>
      </c>
      <c r="F121">
        <v>16</v>
      </c>
      <c r="G121">
        <v>23.1</v>
      </c>
      <c r="H121">
        <v>4</v>
      </c>
      <c r="I121" t="s">
        <v>70</v>
      </c>
      <c r="J121">
        <v>55.075000000000003</v>
      </c>
      <c r="K121">
        <v>16.385000000000002</v>
      </c>
      <c r="L121" t="s">
        <v>76</v>
      </c>
      <c r="M121" t="s">
        <v>16</v>
      </c>
    </row>
    <row r="122" spans="1:13" x14ac:dyDescent="0.25">
      <c r="A122">
        <v>25219</v>
      </c>
      <c r="B122" t="s">
        <v>86</v>
      </c>
      <c r="C122">
        <v>25</v>
      </c>
      <c r="D122">
        <v>55</v>
      </c>
      <c r="E122">
        <v>19.3</v>
      </c>
      <c r="F122">
        <v>15</v>
      </c>
      <c r="G122">
        <v>2.4</v>
      </c>
      <c r="H122">
        <v>4</v>
      </c>
      <c r="I122" t="s">
        <v>57</v>
      </c>
      <c r="J122">
        <v>55.321666666666701</v>
      </c>
      <c r="K122">
        <v>15.04</v>
      </c>
      <c r="L122" t="s">
        <v>76</v>
      </c>
      <c r="M122" t="s">
        <v>15</v>
      </c>
    </row>
    <row r="123" spans="1:13" x14ac:dyDescent="0.25">
      <c r="A123">
        <v>25232</v>
      </c>
      <c r="B123" t="s">
        <v>80</v>
      </c>
      <c r="C123">
        <v>25</v>
      </c>
      <c r="D123">
        <v>55</v>
      </c>
      <c r="E123">
        <v>18.7</v>
      </c>
      <c r="F123">
        <v>17</v>
      </c>
      <c r="G123">
        <v>20</v>
      </c>
      <c r="H123">
        <v>4</v>
      </c>
      <c r="I123" t="s">
        <v>70</v>
      </c>
      <c r="J123">
        <v>55.311666666666703</v>
      </c>
      <c r="K123">
        <v>17.3333333333333</v>
      </c>
      <c r="L123" t="s">
        <v>76</v>
      </c>
      <c r="M123" t="s">
        <v>16</v>
      </c>
    </row>
    <row r="124" spans="1:13" x14ac:dyDescent="0.25">
      <c r="A124">
        <v>25241</v>
      </c>
      <c r="B124" t="s">
        <v>86</v>
      </c>
      <c r="C124">
        <v>25</v>
      </c>
      <c r="D124">
        <v>55</v>
      </c>
      <c r="E124">
        <v>20.9</v>
      </c>
      <c r="F124">
        <v>15</v>
      </c>
      <c r="G124">
        <v>22.3</v>
      </c>
      <c r="H124">
        <v>4</v>
      </c>
      <c r="I124" t="s">
        <v>57</v>
      </c>
      <c r="J124">
        <v>55.348333333333301</v>
      </c>
      <c r="K124">
        <v>15.3716666666667</v>
      </c>
      <c r="L124" t="s">
        <v>76</v>
      </c>
      <c r="M124" t="s">
        <v>15</v>
      </c>
    </row>
    <row r="125" spans="1:13" x14ac:dyDescent="0.25">
      <c r="A125">
        <v>25243</v>
      </c>
      <c r="B125" t="s">
        <v>87</v>
      </c>
      <c r="C125">
        <v>25</v>
      </c>
      <c r="D125">
        <v>55</v>
      </c>
      <c r="E125">
        <v>29</v>
      </c>
      <c r="F125">
        <v>16</v>
      </c>
      <c r="G125">
        <v>9</v>
      </c>
      <c r="H125">
        <v>4</v>
      </c>
      <c r="I125" t="s">
        <v>67</v>
      </c>
      <c r="J125">
        <v>55.483333333333299</v>
      </c>
      <c r="K125">
        <v>16.149999999999999</v>
      </c>
      <c r="L125" t="s">
        <v>76</v>
      </c>
      <c r="M125" t="s">
        <v>17</v>
      </c>
    </row>
    <row r="126" spans="1:13" x14ac:dyDescent="0.25">
      <c r="A126">
        <v>25246</v>
      </c>
      <c r="B126" t="s">
        <v>87</v>
      </c>
      <c r="C126">
        <v>25</v>
      </c>
      <c r="D126">
        <v>55</v>
      </c>
      <c r="E126">
        <v>21</v>
      </c>
      <c r="F126">
        <v>16</v>
      </c>
      <c r="G126">
        <v>57</v>
      </c>
      <c r="H126">
        <v>4</v>
      </c>
      <c r="I126" t="s">
        <v>70</v>
      </c>
      <c r="J126">
        <v>55.35</v>
      </c>
      <c r="K126">
        <v>16.95</v>
      </c>
      <c r="L126" t="s">
        <v>76</v>
      </c>
      <c r="M126" t="s">
        <v>16</v>
      </c>
    </row>
    <row r="127" spans="1:13" x14ac:dyDescent="0.25">
      <c r="A127">
        <v>25274</v>
      </c>
      <c r="B127" t="s">
        <v>83</v>
      </c>
      <c r="C127">
        <v>25</v>
      </c>
      <c r="D127">
        <v>55</v>
      </c>
      <c r="E127">
        <v>31.3</v>
      </c>
      <c r="F127">
        <v>15</v>
      </c>
      <c r="G127">
        <v>31.3</v>
      </c>
      <c r="H127">
        <v>5</v>
      </c>
      <c r="I127" t="s">
        <v>57</v>
      </c>
      <c r="J127">
        <v>55.521666666666697</v>
      </c>
      <c r="K127">
        <v>15.5216666666667</v>
      </c>
      <c r="L127" t="s">
        <v>76</v>
      </c>
      <c r="M127" t="s">
        <v>15</v>
      </c>
    </row>
    <row r="128" spans="1:13" x14ac:dyDescent="0.25">
      <c r="A128">
        <v>25286</v>
      </c>
      <c r="B128" t="s">
        <v>82</v>
      </c>
      <c r="C128">
        <v>25</v>
      </c>
      <c r="D128">
        <v>55</v>
      </c>
      <c r="E128">
        <v>34.9</v>
      </c>
      <c r="F128">
        <v>16</v>
      </c>
      <c r="G128">
        <v>26.1</v>
      </c>
      <c r="H128">
        <v>4</v>
      </c>
      <c r="I128" t="s">
        <v>67</v>
      </c>
      <c r="J128">
        <v>55.581666666666699</v>
      </c>
      <c r="K128">
        <v>16.434999999999999</v>
      </c>
      <c r="L128" t="s">
        <v>76</v>
      </c>
      <c r="M128" t="s">
        <v>15</v>
      </c>
    </row>
    <row r="129" spans="1:13" x14ac:dyDescent="0.25">
      <c r="A129">
        <v>25290</v>
      </c>
      <c r="B129" t="s">
        <v>81</v>
      </c>
      <c r="C129">
        <v>25</v>
      </c>
      <c r="D129">
        <v>55</v>
      </c>
      <c r="E129">
        <v>30</v>
      </c>
      <c r="F129">
        <v>17</v>
      </c>
      <c r="G129">
        <v>53.8</v>
      </c>
      <c r="H129">
        <v>4</v>
      </c>
      <c r="I129" t="s">
        <v>70</v>
      </c>
      <c r="J129">
        <v>55.5</v>
      </c>
      <c r="K129">
        <v>17.8966666666667</v>
      </c>
      <c r="L129" t="s">
        <v>76</v>
      </c>
      <c r="M129" t="s">
        <v>15</v>
      </c>
    </row>
    <row r="130" spans="1:13" x14ac:dyDescent="0.25">
      <c r="A130">
        <v>25300</v>
      </c>
      <c r="B130" t="s">
        <v>82</v>
      </c>
      <c r="C130">
        <v>25</v>
      </c>
      <c r="D130">
        <v>55</v>
      </c>
      <c r="E130">
        <v>43.2</v>
      </c>
      <c r="F130">
        <v>16</v>
      </c>
      <c r="G130">
        <v>1.3</v>
      </c>
      <c r="H130">
        <v>4</v>
      </c>
      <c r="I130" t="s">
        <v>67</v>
      </c>
      <c r="J130">
        <v>55.72</v>
      </c>
      <c r="K130">
        <v>16.0216666666667</v>
      </c>
      <c r="L130" t="s">
        <v>76</v>
      </c>
      <c r="M130" t="s">
        <v>15</v>
      </c>
    </row>
    <row r="131" spans="1:13" x14ac:dyDescent="0.25">
      <c r="A131">
        <v>25313</v>
      </c>
      <c r="B131" t="s">
        <v>84</v>
      </c>
      <c r="C131">
        <v>25</v>
      </c>
      <c r="D131">
        <v>56</v>
      </c>
      <c r="E131">
        <v>6.22</v>
      </c>
      <c r="F131">
        <v>17</v>
      </c>
      <c r="G131">
        <v>50.51</v>
      </c>
      <c r="H131">
        <v>4</v>
      </c>
      <c r="I131" t="s">
        <v>67</v>
      </c>
      <c r="J131">
        <v>56.103666666666697</v>
      </c>
      <c r="K131">
        <v>17.841833333333302</v>
      </c>
      <c r="L131" t="s">
        <v>76</v>
      </c>
      <c r="M131" t="s">
        <v>15</v>
      </c>
    </row>
    <row r="132" spans="1:13" x14ac:dyDescent="0.25">
      <c r="A132">
        <v>25315</v>
      </c>
      <c r="B132" t="s">
        <v>85</v>
      </c>
      <c r="C132">
        <v>25</v>
      </c>
      <c r="D132">
        <v>56</v>
      </c>
      <c r="E132">
        <v>26.8</v>
      </c>
      <c r="F132">
        <v>16</v>
      </c>
      <c r="G132">
        <v>58.5</v>
      </c>
      <c r="H132">
        <v>4</v>
      </c>
      <c r="I132" t="s">
        <v>67</v>
      </c>
      <c r="J132">
        <v>56.446666666666701</v>
      </c>
      <c r="K132">
        <v>16.975000000000001</v>
      </c>
      <c r="L132" t="s">
        <v>76</v>
      </c>
      <c r="M132" t="s">
        <v>17</v>
      </c>
    </row>
    <row r="133" spans="1:13" x14ac:dyDescent="0.25">
      <c r="A133">
        <v>25322</v>
      </c>
      <c r="B133" t="s">
        <v>86</v>
      </c>
      <c r="C133">
        <v>25</v>
      </c>
      <c r="D133">
        <v>55</v>
      </c>
      <c r="E133">
        <v>3.1</v>
      </c>
      <c r="F133">
        <v>15</v>
      </c>
      <c r="G133">
        <v>42.6</v>
      </c>
      <c r="H133">
        <v>5</v>
      </c>
      <c r="I133" t="s">
        <v>57</v>
      </c>
      <c r="J133">
        <v>55.051666666666698</v>
      </c>
      <c r="K133">
        <v>15.71</v>
      </c>
      <c r="L133" t="s">
        <v>76</v>
      </c>
      <c r="M133" t="s">
        <v>15</v>
      </c>
    </row>
    <row r="134" spans="1:13" x14ac:dyDescent="0.25">
      <c r="A134">
        <v>25326</v>
      </c>
      <c r="B134" t="s">
        <v>87</v>
      </c>
      <c r="C134">
        <v>25</v>
      </c>
      <c r="D134">
        <v>55</v>
      </c>
      <c r="E134">
        <v>8.1</v>
      </c>
      <c r="F134">
        <v>16</v>
      </c>
      <c r="G134">
        <v>3.6</v>
      </c>
      <c r="H134">
        <v>5</v>
      </c>
      <c r="I134" t="s">
        <v>70</v>
      </c>
      <c r="J134">
        <v>55.134999999999998</v>
      </c>
      <c r="K134">
        <v>16.059999999999999</v>
      </c>
      <c r="L134" t="s">
        <v>76</v>
      </c>
      <c r="M134" t="s">
        <v>16</v>
      </c>
    </row>
    <row r="135" spans="1:13" x14ac:dyDescent="0.25">
      <c r="A135">
        <v>25330</v>
      </c>
      <c r="B135" t="s">
        <v>86</v>
      </c>
      <c r="C135">
        <v>25</v>
      </c>
      <c r="D135">
        <v>55</v>
      </c>
      <c r="E135">
        <v>15.7</v>
      </c>
      <c r="F135">
        <v>15</v>
      </c>
      <c r="G135">
        <v>58.7</v>
      </c>
      <c r="H135">
        <v>5</v>
      </c>
      <c r="I135" t="s">
        <v>57</v>
      </c>
      <c r="J135">
        <v>55.261666666666699</v>
      </c>
      <c r="K135">
        <v>15.9783333333333</v>
      </c>
      <c r="L135" t="s">
        <v>76</v>
      </c>
      <c r="M135" t="s">
        <v>15</v>
      </c>
    </row>
    <row r="136" spans="1:13" x14ac:dyDescent="0.25">
      <c r="A136">
        <v>25331</v>
      </c>
      <c r="B136" t="s">
        <v>87</v>
      </c>
      <c r="C136">
        <v>25</v>
      </c>
      <c r="D136">
        <v>55</v>
      </c>
      <c r="E136">
        <v>16.100000000000001</v>
      </c>
      <c r="F136">
        <v>16</v>
      </c>
      <c r="G136">
        <v>3.9</v>
      </c>
      <c r="H136">
        <v>5</v>
      </c>
      <c r="I136" t="s">
        <v>57</v>
      </c>
      <c r="J136">
        <v>55.268333333333302</v>
      </c>
      <c r="K136">
        <v>16.065000000000001</v>
      </c>
      <c r="L136" t="s">
        <v>76</v>
      </c>
      <c r="M136" t="s">
        <v>15</v>
      </c>
    </row>
    <row r="137" spans="1:13" x14ac:dyDescent="0.25">
      <c r="A137">
        <v>25339</v>
      </c>
      <c r="B137" t="s">
        <v>80</v>
      </c>
      <c r="C137">
        <v>25</v>
      </c>
      <c r="D137">
        <v>55</v>
      </c>
      <c r="E137">
        <v>15.5</v>
      </c>
      <c r="F137">
        <v>17</v>
      </c>
      <c r="G137">
        <v>25.5</v>
      </c>
      <c r="H137">
        <v>5</v>
      </c>
      <c r="I137" t="s">
        <v>70</v>
      </c>
      <c r="J137">
        <v>55.258333333333297</v>
      </c>
      <c r="K137">
        <v>17.425000000000001</v>
      </c>
      <c r="L137" t="s">
        <v>76</v>
      </c>
      <c r="M137" t="s">
        <v>16</v>
      </c>
    </row>
    <row r="138" spans="1:13" x14ac:dyDescent="0.25">
      <c r="A138">
        <v>25342</v>
      </c>
      <c r="B138" t="s">
        <v>86</v>
      </c>
      <c r="C138">
        <v>25</v>
      </c>
      <c r="D138">
        <v>55</v>
      </c>
      <c r="E138">
        <v>26.7</v>
      </c>
      <c r="F138">
        <v>15</v>
      </c>
      <c r="G138">
        <v>32.5</v>
      </c>
      <c r="H138">
        <v>5</v>
      </c>
      <c r="I138" t="s">
        <v>57</v>
      </c>
      <c r="J138">
        <v>55.445</v>
      </c>
      <c r="K138">
        <v>15.5416666666667</v>
      </c>
      <c r="L138" t="s">
        <v>76</v>
      </c>
      <c r="M138" t="s">
        <v>15</v>
      </c>
    </row>
    <row r="139" spans="1:13" x14ac:dyDescent="0.25">
      <c r="A139">
        <v>25344</v>
      </c>
      <c r="B139" t="s">
        <v>86</v>
      </c>
      <c r="C139">
        <v>25</v>
      </c>
      <c r="D139">
        <v>55</v>
      </c>
      <c r="E139">
        <v>27.4</v>
      </c>
      <c r="F139">
        <v>15</v>
      </c>
      <c r="G139">
        <v>56.2</v>
      </c>
      <c r="H139">
        <v>5</v>
      </c>
      <c r="I139" t="s">
        <v>57</v>
      </c>
      <c r="J139">
        <v>55.456666666666699</v>
      </c>
      <c r="K139">
        <v>15.936666666666699</v>
      </c>
      <c r="L139" t="s">
        <v>76</v>
      </c>
      <c r="M139" t="s">
        <v>15</v>
      </c>
    </row>
    <row r="140" spans="1:13" x14ac:dyDescent="0.25">
      <c r="A140">
        <v>25359</v>
      </c>
      <c r="B140" t="s">
        <v>82</v>
      </c>
      <c r="C140">
        <v>25</v>
      </c>
      <c r="D140">
        <v>55</v>
      </c>
      <c r="E140">
        <v>48.5</v>
      </c>
      <c r="F140">
        <v>16</v>
      </c>
      <c r="G140">
        <v>31.9</v>
      </c>
      <c r="H140">
        <v>3</v>
      </c>
      <c r="I140" t="s">
        <v>67</v>
      </c>
      <c r="J140">
        <v>55.808333333333302</v>
      </c>
      <c r="K140">
        <v>16.531666666666698</v>
      </c>
      <c r="L140" t="s">
        <v>76</v>
      </c>
      <c r="M140" t="s">
        <v>15</v>
      </c>
    </row>
    <row r="141" spans="1:13" x14ac:dyDescent="0.25">
      <c r="A141">
        <v>25364</v>
      </c>
      <c r="B141" t="s">
        <v>79</v>
      </c>
      <c r="C141">
        <v>25</v>
      </c>
      <c r="D141">
        <v>54</v>
      </c>
      <c r="E141">
        <v>59.8</v>
      </c>
      <c r="F141">
        <v>17</v>
      </c>
      <c r="G141">
        <v>28</v>
      </c>
      <c r="H141">
        <v>2</v>
      </c>
      <c r="I141" t="s">
        <v>70</v>
      </c>
      <c r="J141">
        <v>54.996666666666698</v>
      </c>
      <c r="K141">
        <v>17.466666666666701</v>
      </c>
      <c r="L141" t="s">
        <v>76</v>
      </c>
      <c r="M141" t="s">
        <v>16</v>
      </c>
    </row>
    <row r="142" spans="1:13" x14ac:dyDescent="0.25">
      <c r="A142">
        <v>25389</v>
      </c>
      <c r="B142" t="s">
        <v>82</v>
      </c>
      <c r="C142">
        <v>25</v>
      </c>
      <c r="D142">
        <v>55</v>
      </c>
      <c r="E142">
        <v>35.409999999999997</v>
      </c>
      <c r="F142">
        <v>16</v>
      </c>
      <c r="G142">
        <v>39.65</v>
      </c>
      <c r="H142">
        <v>3</v>
      </c>
      <c r="I142" t="s">
        <v>67</v>
      </c>
      <c r="J142">
        <v>55.590166666666697</v>
      </c>
      <c r="K142">
        <v>16.660833333333301</v>
      </c>
      <c r="L142" t="s">
        <v>76</v>
      </c>
      <c r="M142" t="s">
        <v>15</v>
      </c>
    </row>
    <row r="143" spans="1:13" x14ac:dyDescent="0.25">
      <c r="A143">
        <v>25391</v>
      </c>
      <c r="B143" t="s">
        <v>88</v>
      </c>
      <c r="C143">
        <v>25</v>
      </c>
      <c r="D143">
        <v>55</v>
      </c>
      <c r="E143">
        <v>40.1</v>
      </c>
      <c r="F143">
        <v>14</v>
      </c>
      <c r="G143">
        <v>43.46</v>
      </c>
      <c r="H143">
        <v>3</v>
      </c>
      <c r="I143" t="s">
        <v>67</v>
      </c>
      <c r="J143">
        <v>55.668333333333301</v>
      </c>
      <c r="K143">
        <v>14.7243333333333</v>
      </c>
      <c r="L143" t="s">
        <v>76</v>
      </c>
      <c r="M143" t="s">
        <v>17</v>
      </c>
    </row>
    <row r="144" spans="1:13" x14ac:dyDescent="0.25">
      <c r="A144">
        <v>25401</v>
      </c>
      <c r="B144" t="s">
        <v>88</v>
      </c>
      <c r="C144">
        <v>25</v>
      </c>
      <c r="D144">
        <v>55</v>
      </c>
      <c r="E144">
        <v>42.15</v>
      </c>
      <c r="F144">
        <v>14</v>
      </c>
      <c r="G144">
        <v>22.21</v>
      </c>
      <c r="H144">
        <v>2</v>
      </c>
      <c r="I144" t="s">
        <v>67</v>
      </c>
      <c r="J144">
        <v>55.702500000000001</v>
      </c>
      <c r="K144">
        <v>14.3701666666667</v>
      </c>
      <c r="L144" t="s">
        <v>76</v>
      </c>
      <c r="M144" t="s">
        <v>17</v>
      </c>
    </row>
    <row r="145" spans="1:13" x14ac:dyDescent="0.25">
      <c r="A145">
        <v>25404</v>
      </c>
      <c r="B145" t="s">
        <v>83</v>
      </c>
      <c r="C145">
        <v>25</v>
      </c>
      <c r="D145">
        <v>55</v>
      </c>
      <c r="E145">
        <v>49.6</v>
      </c>
      <c r="F145">
        <v>15</v>
      </c>
      <c r="G145">
        <v>26.4</v>
      </c>
      <c r="H145">
        <v>3</v>
      </c>
      <c r="I145" t="s">
        <v>67</v>
      </c>
      <c r="J145">
        <v>55.826666666666704</v>
      </c>
      <c r="K145">
        <v>15.44</v>
      </c>
      <c r="L145" t="s">
        <v>76</v>
      </c>
      <c r="M145" t="s">
        <v>17</v>
      </c>
    </row>
    <row r="146" spans="1:13" x14ac:dyDescent="0.25">
      <c r="A146">
        <v>25409</v>
      </c>
      <c r="B146" t="s">
        <v>83</v>
      </c>
      <c r="C146">
        <v>25</v>
      </c>
      <c r="D146">
        <v>55</v>
      </c>
      <c r="E146">
        <v>47.9</v>
      </c>
      <c r="F146">
        <v>15</v>
      </c>
      <c r="G146">
        <v>57.8</v>
      </c>
      <c r="H146">
        <v>3</v>
      </c>
      <c r="I146" t="s">
        <v>67</v>
      </c>
      <c r="J146">
        <v>55.798333333333296</v>
      </c>
      <c r="K146">
        <v>15.963333333333299</v>
      </c>
      <c r="L146" t="s">
        <v>76</v>
      </c>
      <c r="M146" t="s">
        <v>17</v>
      </c>
    </row>
    <row r="147" spans="1:13" x14ac:dyDescent="0.25">
      <c r="A147">
        <v>25418</v>
      </c>
      <c r="B147" t="s">
        <v>88</v>
      </c>
      <c r="C147">
        <v>25</v>
      </c>
      <c r="D147">
        <v>55</v>
      </c>
      <c r="E147">
        <v>42.4</v>
      </c>
      <c r="F147">
        <v>14</v>
      </c>
      <c r="G147">
        <v>22.5</v>
      </c>
      <c r="H147">
        <v>2</v>
      </c>
      <c r="I147" t="s">
        <v>67</v>
      </c>
      <c r="J147">
        <v>55.706666666666699</v>
      </c>
      <c r="K147">
        <v>14.375</v>
      </c>
      <c r="L147" t="s">
        <v>76</v>
      </c>
      <c r="M147" t="s">
        <v>17</v>
      </c>
    </row>
    <row r="148" spans="1:13" x14ac:dyDescent="0.25">
      <c r="A148">
        <v>25419</v>
      </c>
      <c r="B148" t="s">
        <v>88</v>
      </c>
      <c r="C148">
        <v>25</v>
      </c>
      <c r="D148">
        <v>55</v>
      </c>
      <c r="E148">
        <v>41.5</v>
      </c>
      <c r="F148">
        <v>14</v>
      </c>
      <c r="G148">
        <v>22.35</v>
      </c>
      <c r="H148">
        <v>2</v>
      </c>
      <c r="I148" t="s">
        <v>67</v>
      </c>
      <c r="J148">
        <v>55.691666666666698</v>
      </c>
      <c r="K148">
        <v>14.3725</v>
      </c>
      <c r="L148" t="s">
        <v>76</v>
      </c>
      <c r="M148" t="s">
        <v>17</v>
      </c>
    </row>
    <row r="149" spans="1:13" x14ac:dyDescent="0.25">
      <c r="A149">
        <v>25426</v>
      </c>
      <c r="B149" t="s">
        <v>83</v>
      </c>
      <c r="C149">
        <v>25</v>
      </c>
      <c r="D149">
        <v>55</v>
      </c>
      <c r="E149">
        <v>49.1</v>
      </c>
      <c r="F149">
        <v>15</v>
      </c>
      <c r="G149">
        <v>15.6</v>
      </c>
      <c r="H149">
        <v>3</v>
      </c>
      <c r="I149" t="s">
        <v>67</v>
      </c>
      <c r="J149">
        <v>55.8183333333333</v>
      </c>
      <c r="K149">
        <v>15.26</v>
      </c>
      <c r="L149" t="s">
        <v>76</v>
      </c>
      <c r="M149" t="s">
        <v>17</v>
      </c>
    </row>
    <row r="150" spans="1:13" x14ac:dyDescent="0.25">
      <c r="A150">
        <v>25431</v>
      </c>
      <c r="B150" t="s">
        <v>82</v>
      </c>
      <c r="C150">
        <v>25</v>
      </c>
      <c r="D150">
        <v>55</v>
      </c>
      <c r="E150">
        <v>52.2</v>
      </c>
      <c r="F150">
        <v>16</v>
      </c>
      <c r="G150">
        <v>1.1000000000000001</v>
      </c>
      <c r="H150">
        <v>3</v>
      </c>
      <c r="I150" t="s">
        <v>67</v>
      </c>
      <c r="J150">
        <v>55.87</v>
      </c>
      <c r="K150">
        <v>16.018333333333299</v>
      </c>
      <c r="L150" t="s">
        <v>76</v>
      </c>
      <c r="M150" t="s">
        <v>15</v>
      </c>
    </row>
    <row r="151" spans="1:13" x14ac:dyDescent="0.25">
      <c r="A151">
        <v>25438</v>
      </c>
      <c r="B151" t="s">
        <v>88</v>
      </c>
      <c r="C151">
        <v>25</v>
      </c>
      <c r="D151">
        <v>55</v>
      </c>
      <c r="E151">
        <v>37.799999999999997</v>
      </c>
      <c r="F151">
        <v>14</v>
      </c>
      <c r="G151">
        <v>39.6</v>
      </c>
      <c r="H151">
        <v>4</v>
      </c>
      <c r="I151" t="s">
        <v>67</v>
      </c>
      <c r="J151">
        <v>55.63</v>
      </c>
      <c r="K151">
        <v>14.66</v>
      </c>
      <c r="L151" t="s">
        <v>76</v>
      </c>
      <c r="M151" t="s">
        <v>17</v>
      </c>
    </row>
    <row r="152" spans="1:13" x14ac:dyDescent="0.25">
      <c r="A152">
        <v>25446</v>
      </c>
      <c r="B152" t="s">
        <v>83</v>
      </c>
      <c r="C152">
        <v>25</v>
      </c>
      <c r="D152">
        <v>55</v>
      </c>
      <c r="E152">
        <v>32.68</v>
      </c>
      <c r="F152">
        <v>15</v>
      </c>
      <c r="G152">
        <v>15.36</v>
      </c>
      <c r="H152">
        <v>4</v>
      </c>
      <c r="I152" t="s">
        <v>57</v>
      </c>
      <c r="J152">
        <v>55.5446666666667</v>
      </c>
      <c r="K152">
        <v>15.256</v>
      </c>
      <c r="L152" t="s">
        <v>76</v>
      </c>
      <c r="M152" t="s">
        <v>15</v>
      </c>
    </row>
    <row r="153" spans="1:13" x14ac:dyDescent="0.25">
      <c r="A153">
        <v>25447</v>
      </c>
      <c r="B153" t="s">
        <v>83</v>
      </c>
      <c r="C153">
        <v>25</v>
      </c>
      <c r="D153">
        <v>55</v>
      </c>
      <c r="E153">
        <v>34.67</v>
      </c>
      <c r="F153">
        <v>15</v>
      </c>
      <c r="G153">
        <v>3.8</v>
      </c>
      <c r="H153">
        <v>5</v>
      </c>
      <c r="I153" t="s">
        <v>57</v>
      </c>
      <c r="J153">
        <v>55.577833333333302</v>
      </c>
      <c r="K153">
        <v>15.063333333333301</v>
      </c>
      <c r="L153" t="s">
        <v>76</v>
      </c>
      <c r="M153" t="s">
        <v>15</v>
      </c>
    </row>
    <row r="154" spans="1:13" x14ac:dyDescent="0.25">
      <c r="A154">
        <v>25449</v>
      </c>
      <c r="B154" t="s">
        <v>88</v>
      </c>
      <c r="C154">
        <v>25</v>
      </c>
      <c r="D154">
        <v>55</v>
      </c>
      <c r="E154">
        <v>27.6</v>
      </c>
      <c r="F154">
        <v>14</v>
      </c>
      <c r="G154">
        <v>43.8</v>
      </c>
      <c r="H154">
        <v>4</v>
      </c>
      <c r="I154" t="s">
        <v>57</v>
      </c>
      <c r="J154">
        <v>55.46</v>
      </c>
      <c r="K154">
        <v>14.73</v>
      </c>
      <c r="L154" t="s">
        <v>76</v>
      </c>
      <c r="M154" t="s">
        <v>15</v>
      </c>
    </row>
    <row r="155" spans="1:13" x14ac:dyDescent="0.25">
      <c r="A155">
        <v>25452</v>
      </c>
      <c r="B155" t="s">
        <v>86</v>
      </c>
      <c r="C155">
        <v>25</v>
      </c>
      <c r="D155">
        <v>55</v>
      </c>
      <c r="E155">
        <v>22.4</v>
      </c>
      <c r="F155">
        <v>15</v>
      </c>
      <c r="G155">
        <v>15.6</v>
      </c>
      <c r="H155">
        <v>5</v>
      </c>
      <c r="I155" t="s">
        <v>57</v>
      </c>
      <c r="J155">
        <v>55.373333333333299</v>
      </c>
      <c r="K155">
        <v>15.26</v>
      </c>
      <c r="L155" t="s">
        <v>76</v>
      </c>
      <c r="M155" t="s">
        <v>15</v>
      </c>
    </row>
    <row r="156" spans="1:13" x14ac:dyDescent="0.25">
      <c r="A156">
        <v>25455</v>
      </c>
      <c r="B156" t="s">
        <v>80</v>
      </c>
      <c r="C156">
        <v>25</v>
      </c>
      <c r="D156">
        <v>55</v>
      </c>
      <c r="E156">
        <v>27.4</v>
      </c>
      <c r="F156">
        <v>17</v>
      </c>
      <c r="G156">
        <v>17</v>
      </c>
      <c r="H156">
        <v>2</v>
      </c>
      <c r="I156" t="s">
        <v>70</v>
      </c>
      <c r="J156">
        <v>55.456666666666699</v>
      </c>
      <c r="K156">
        <v>17.283333333333299</v>
      </c>
      <c r="L156" t="s">
        <v>76</v>
      </c>
      <c r="M156" t="s">
        <v>16</v>
      </c>
    </row>
    <row r="157" spans="1:13" x14ac:dyDescent="0.25">
      <c r="A157">
        <v>25461</v>
      </c>
      <c r="B157" t="s">
        <v>84</v>
      </c>
      <c r="C157">
        <v>25</v>
      </c>
      <c r="D157">
        <v>56</v>
      </c>
      <c r="E157">
        <v>4.05</v>
      </c>
      <c r="F157">
        <v>17</v>
      </c>
      <c r="G157">
        <v>21.87</v>
      </c>
      <c r="H157">
        <v>3</v>
      </c>
      <c r="I157" t="s">
        <v>67</v>
      </c>
      <c r="J157">
        <v>56.067500000000003</v>
      </c>
      <c r="K157">
        <v>17.3645</v>
      </c>
      <c r="L157" t="s">
        <v>76</v>
      </c>
      <c r="M157" t="s">
        <v>15</v>
      </c>
    </row>
    <row r="158" spans="1:13" x14ac:dyDescent="0.25">
      <c r="A158">
        <v>25462</v>
      </c>
      <c r="B158" t="s">
        <v>89</v>
      </c>
      <c r="C158">
        <v>25</v>
      </c>
      <c r="D158">
        <v>55</v>
      </c>
      <c r="E158">
        <v>45.978999999999999</v>
      </c>
      <c r="F158">
        <v>16</v>
      </c>
      <c r="G158">
        <v>41.02</v>
      </c>
      <c r="H158">
        <v>3</v>
      </c>
      <c r="I158" t="s">
        <v>67</v>
      </c>
      <c r="J158">
        <v>55.766316666666697</v>
      </c>
      <c r="K158">
        <v>16.683666666666699</v>
      </c>
      <c r="L158" t="s">
        <v>76</v>
      </c>
      <c r="M158" t="s">
        <v>17</v>
      </c>
    </row>
    <row r="159" spans="1:13" x14ac:dyDescent="0.25">
      <c r="A159">
        <v>25463</v>
      </c>
      <c r="B159" t="s">
        <v>80</v>
      </c>
      <c r="C159">
        <v>25</v>
      </c>
      <c r="D159">
        <v>55</v>
      </c>
      <c r="E159">
        <v>14.2</v>
      </c>
      <c r="F159">
        <v>17</v>
      </c>
      <c r="G159">
        <v>18.2</v>
      </c>
      <c r="H159">
        <v>5</v>
      </c>
      <c r="I159" t="s">
        <v>70</v>
      </c>
      <c r="J159">
        <v>55.2366666666667</v>
      </c>
      <c r="K159">
        <v>17.303333333333299</v>
      </c>
      <c r="L159" t="s">
        <v>76</v>
      </c>
      <c r="M159" t="s">
        <v>16</v>
      </c>
    </row>
    <row r="160" spans="1:13" x14ac:dyDescent="0.25">
      <c r="A160">
        <v>25503</v>
      </c>
      <c r="B160" t="s">
        <v>75</v>
      </c>
      <c r="C160">
        <v>25</v>
      </c>
      <c r="D160">
        <v>55</v>
      </c>
      <c r="E160">
        <v>9.3580000000000005</v>
      </c>
      <c r="F160">
        <v>16</v>
      </c>
      <c r="G160">
        <v>3.988</v>
      </c>
      <c r="H160">
        <v>5</v>
      </c>
      <c r="I160" t="s">
        <v>70</v>
      </c>
      <c r="J160">
        <v>55.1559666666667</v>
      </c>
      <c r="K160">
        <v>16.066466666666699</v>
      </c>
      <c r="L160" t="s">
        <v>76</v>
      </c>
      <c r="M160" t="s">
        <v>16</v>
      </c>
    </row>
    <row r="161" spans="1:13" x14ac:dyDescent="0.25">
      <c r="A161">
        <v>25505</v>
      </c>
      <c r="B161" t="s">
        <v>82</v>
      </c>
      <c r="C161">
        <v>25</v>
      </c>
      <c r="D161">
        <v>55</v>
      </c>
      <c r="E161">
        <v>43.552</v>
      </c>
      <c r="F161">
        <v>16</v>
      </c>
      <c r="G161">
        <v>40.631999999999998</v>
      </c>
      <c r="H161">
        <v>3</v>
      </c>
      <c r="I161" t="s">
        <v>67</v>
      </c>
      <c r="J161">
        <v>55.725866666666697</v>
      </c>
      <c r="K161">
        <v>16.677199999999999</v>
      </c>
      <c r="L161" t="s">
        <v>76</v>
      </c>
      <c r="M161" t="s">
        <v>15</v>
      </c>
    </row>
    <row r="162" spans="1:13" x14ac:dyDescent="0.25">
      <c r="A162">
        <v>25506</v>
      </c>
      <c r="B162" t="s">
        <v>86</v>
      </c>
      <c r="C162">
        <v>25</v>
      </c>
      <c r="D162">
        <v>55</v>
      </c>
      <c r="E162">
        <v>28.074000000000002</v>
      </c>
      <c r="F162">
        <v>15</v>
      </c>
      <c r="G162">
        <v>57.014000000000003</v>
      </c>
      <c r="H162">
        <v>5</v>
      </c>
      <c r="I162" t="s">
        <v>57</v>
      </c>
      <c r="J162">
        <v>55.4679</v>
      </c>
      <c r="K162">
        <v>15.9502333333333</v>
      </c>
      <c r="L162" t="s">
        <v>76</v>
      </c>
      <c r="M162" t="s">
        <v>15</v>
      </c>
    </row>
    <row r="163" spans="1:13" x14ac:dyDescent="0.25">
      <c r="A163">
        <v>25508</v>
      </c>
      <c r="B163" t="s">
        <v>87</v>
      </c>
      <c r="C163">
        <v>25</v>
      </c>
      <c r="D163">
        <v>55</v>
      </c>
      <c r="E163">
        <v>18.02</v>
      </c>
      <c r="F163">
        <v>16</v>
      </c>
      <c r="G163">
        <v>1.1299999999999999</v>
      </c>
      <c r="H163">
        <v>5</v>
      </c>
      <c r="I163" t="s">
        <v>57</v>
      </c>
      <c r="J163">
        <v>55.300333333333299</v>
      </c>
      <c r="K163">
        <v>16.018833333333301</v>
      </c>
      <c r="L163" t="s">
        <v>76</v>
      </c>
      <c r="M163" t="s">
        <v>15</v>
      </c>
    </row>
    <row r="164" spans="1:13" x14ac:dyDescent="0.25">
      <c r="A164">
        <v>25509</v>
      </c>
      <c r="B164" t="s">
        <v>82</v>
      </c>
      <c r="C164">
        <v>25</v>
      </c>
      <c r="D164">
        <v>55</v>
      </c>
      <c r="E164">
        <v>43.78</v>
      </c>
      <c r="F164">
        <v>16</v>
      </c>
      <c r="G164">
        <v>41</v>
      </c>
      <c r="H164">
        <v>4</v>
      </c>
      <c r="I164" t="s">
        <v>67</v>
      </c>
      <c r="J164">
        <v>55.729666666666702</v>
      </c>
      <c r="K164">
        <v>16.683333333333302</v>
      </c>
      <c r="L164" t="s">
        <v>76</v>
      </c>
      <c r="M164" t="s">
        <v>15</v>
      </c>
    </row>
    <row r="165" spans="1:13" x14ac:dyDescent="0.25">
      <c r="A165">
        <v>25511</v>
      </c>
      <c r="B165" t="s">
        <v>82</v>
      </c>
      <c r="C165">
        <v>25</v>
      </c>
      <c r="D165">
        <v>55</v>
      </c>
      <c r="E165">
        <v>31.3</v>
      </c>
      <c r="F165">
        <v>16</v>
      </c>
      <c r="G165">
        <v>18.5</v>
      </c>
      <c r="H165">
        <v>4</v>
      </c>
      <c r="I165" t="s">
        <v>67</v>
      </c>
      <c r="J165">
        <v>55.521666666666697</v>
      </c>
      <c r="K165">
        <v>16.308333333333302</v>
      </c>
      <c r="L165" t="s">
        <v>76</v>
      </c>
      <c r="M165" t="s">
        <v>15</v>
      </c>
    </row>
    <row r="166" spans="1:13" x14ac:dyDescent="0.25">
      <c r="A166">
        <v>26001</v>
      </c>
      <c r="B166" t="s">
        <v>90</v>
      </c>
      <c r="C166">
        <v>26</v>
      </c>
      <c r="D166">
        <v>54</v>
      </c>
      <c r="E166">
        <v>22.9</v>
      </c>
      <c r="F166">
        <v>19</v>
      </c>
      <c r="G166">
        <v>14.4</v>
      </c>
      <c r="H166">
        <v>2</v>
      </c>
      <c r="I166" t="s">
        <v>70</v>
      </c>
      <c r="J166">
        <v>54.381666666666703</v>
      </c>
      <c r="K166">
        <v>19.239999999999998</v>
      </c>
      <c r="L166" t="s">
        <v>76</v>
      </c>
      <c r="M166" t="s">
        <v>16</v>
      </c>
    </row>
    <row r="167" spans="1:13" x14ac:dyDescent="0.25">
      <c r="A167">
        <v>26005</v>
      </c>
      <c r="B167" t="s">
        <v>91</v>
      </c>
      <c r="C167">
        <v>26</v>
      </c>
      <c r="D167">
        <v>54</v>
      </c>
      <c r="E167">
        <v>53.7</v>
      </c>
      <c r="F167">
        <v>18</v>
      </c>
      <c r="G167">
        <v>11</v>
      </c>
      <c r="H167">
        <v>2</v>
      </c>
      <c r="I167" t="s">
        <v>70</v>
      </c>
      <c r="J167">
        <v>54.895000000000003</v>
      </c>
      <c r="K167">
        <v>18.183333333333302</v>
      </c>
      <c r="L167" t="s">
        <v>76</v>
      </c>
      <c r="M167" t="s">
        <v>16</v>
      </c>
    </row>
    <row r="168" spans="1:13" x14ac:dyDescent="0.25">
      <c r="A168">
        <v>26007</v>
      </c>
      <c r="B168" t="s">
        <v>91</v>
      </c>
      <c r="C168">
        <v>26</v>
      </c>
      <c r="D168">
        <v>54</v>
      </c>
      <c r="E168">
        <v>51.5</v>
      </c>
      <c r="F168">
        <v>18</v>
      </c>
      <c r="G168">
        <v>34</v>
      </c>
      <c r="H168">
        <v>2</v>
      </c>
      <c r="I168" t="s">
        <v>70</v>
      </c>
      <c r="J168">
        <v>54.858333333333299</v>
      </c>
      <c r="K168">
        <v>18.566666666666698</v>
      </c>
      <c r="L168" t="s">
        <v>76</v>
      </c>
      <c r="M168" t="s">
        <v>16</v>
      </c>
    </row>
    <row r="169" spans="1:13" x14ac:dyDescent="0.25">
      <c r="A169">
        <v>26013</v>
      </c>
      <c r="B169" t="s">
        <v>92</v>
      </c>
      <c r="C169">
        <v>26</v>
      </c>
      <c r="D169">
        <v>56</v>
      </c>
      <c r="E169">
        <v>22</v>
      </c>
      <c r="F169">
        <v>18</v>
      </c>
      <c r="G169">
        <v>29</v>
      </c>
      <c r="H169">
        <v>2</v>
      </c>
      <c r="I169" t="s">
        <v>67</v>
      </c>
      <c r="J169">
        <v>56.366666666666703</v>
      </c>
      <c r="K169">
        <v>18.483333333333299</v>
      </c>
      <c r="L169" t="s">
        <v>76</v>
      </c>
      <c r="M169" t="s">
        <v>16</v>
      </c>
    </row>
    <row r="170" spans="1:13" x14ac:dyDescent="0.25">
      <c r="A170">
        <v>26019</v>
      </c>
      <c r="B170" t="s">
        <v>91</v>
      </c>
      <c r="C170">
        <v>26</v>
      </c>
      <c r="D170">
        <v>54</v>
      </c>
      <c r="E170">
        <v>53.2</v>
      </c>
      <c r="F170">
        <v>18</v>
      </c>
      <c r="G170">
        <v>38</v>
      </c>
      <c r="H170">
        <v>3</v>
      </c>
      <c r="I170" t="s">
        <v>70</v>
      </c>
      <c r="J170">
        <v>54.886666666666699</v>
      </c>
      <c r="K170">
        <v>18.633333333333301</v>
      </c>
      <c r="L170" t="s">
        <v>76</v>
      </c>
      <c r="M170" t="s">
        <v>16</v>
      </c>
    </row>
    <row r="171" spans="1:13" x14ac:dyDescent="0.25">
      <c r="A171">
        <v>26020</v>
      </c>
      <c r="B171" t="s">
        <v>91</v>
      </c>
      <c r="C171">
        <v>26</v>
      </c>
      <c r="D171">
        <v>54</v>
      </c>
      <c r="E171">
        <v>47.2</v>
      </c>
      <c r="F171">
        <v>18</v>
      </c>
      <c r="G171">
        <v>42.3</v>
      </c>
      <c r="H171">
        <v>3</v>
      </c>
      <c r="I171" t="s">
        <v>70</v>
      </c>
      <c r="J171">
        <v>54.786666666666697</v>
      </c>
      <c r="K171">
        <v>18.704999999999998</v>
      </c>
      <c r="L171" t="s">
        <v>76</v>
      </c>
      <c r="M171" t="s">
        <v>16</v>
      </c>
    </row>
    <row r="172" spans="1:13" x14ac:dyDescent="0.25">
      <c r="A172">
        <v>26027</v>
      </c>
      <c r="B172" t="s">
        <v>93</v>
      </c>
      <c r="C172">
        <v>26</v>
      </c>
      <c r="D172">
        <v>55</v>
      </c>
      <c r="E172">
        <v>47.4</v>
      </c>
      <c r="F172">
        <v>20</v>
      </c>
      <c r="G172">
        <v>23.2</v>
      </c>
      <c r="H172">
        <v>3</v>
      </c>
      <c r="I172" t="s">
        <v>94</v>
      </c>
      <c r="J172">
        <v>55.79</v>
      </c>
      <c r="K172">
        <v>20.386666666666699</v>
      </c>
      <c r="L172" t="s">
        <v>76</v>
      </c>
      <c r="M172" t="s">
        <v>20</v>
      </c>
    </row>
    <row r="173" spans="1:13" x14ac:dyDescent="0.25">
      <c r="A173">
        <v>26031</v>
      </c>
      <c r="B173" t="s">
        <v>96</v>
      </c>
      <c r="C173">
        <v>26</v>
      </c>
      <c r="D173">
        <v>56</v>
      </c>
      <c r="E173">
        <v>11.5</v>
      </c>
      <c r="F173">
        <v>19</v>
      </c>
      <c r="G173">
        <v>54.8</v>
      </c>
      <c r="H173">
        <v>4</v>
      </c>
      <c r="I173" t="s">
        <v>97</v>
      </c>
      <c r="J173">
        <v>56.191666666666698</v>
      </c>
      <c r="K173">
        <v>19.913333333333298</v>
      </c>
      <c r="L173" t="s">
        <v>76</v>
      </c>
      <c r="M173" t="s">
        <v>18</v>
      </c>
    </row>
    <row r="174" spans="1:13" x14ac:dyDescent="0.25">
      <c r="A174">
        <v>26045</v>
      </c>
      <c r="B174" t="s">
        <v>99</v>
      </c>
      <c r="C174">
        <v>26</v>
      </c>
      <c r="D174">
        <v>55</v>
      </c>
      <c r="E174">
        <v>16.7</v>
      </c>
      <c r="F174">
        <v>19</v>
      </c>
      <c r="G174">
        <v>5</v>
      </c>
      <c r="H174">
        <v>4</v>
      </c>
      <c r="I174" t="s">
        <v>70</v>
      </c>
      <c r="J174">
        <v>55.2783333333333</v>
      </c>
      <c r="K174">
        <v>19.0833333333333</v>
      </c>
      <c r="L174" t="s">
        <v>76</v>
      </c>
      <c r="M174" t="s">
        <v>16</v>
      </c>
    </row>
    <row r="175" spans="1:13" x14ac:dyDescent="0.25">
      <c r="A175">
        <v>26050</v>
      </c>
      <c r="B175" t="s">
        <v>95</v>
      </c>
      <c r="C175">
        <v>26</v>
      </c>
      <c r="D175">
        <v>55</v>
      </c>
      <c r="E175">
        <v>38.299999999999997</v>
      </c>
      <c r="F175">
        <v>18</v>
      </c>
      <c r="G175">
        <v>3.6</v>
      </c>
      <c r="H175">
        <v>4</v>
      </c>
      <c r="I175" t="s">
        <v>70</v>
      </c>
      <c r="J175">
        <v>55.6383333333333</v>
      </c>
      <c r="K175">
        <v>18.059999999999999</v>
      </c>
      <c r="L175" t="s">
        <v>76</v>
      </c>
      <c r="M175" t="s">
        <v>16</v>
      </c>
    </row>
    <row r="176" spans="1:13" x14ac:dyDescent="0.25">
      <c r="A176">
        <v>26053</v>
      </c>
      <c r="B176" t="s">
        <v>95</v>
      </c>
      <c r="C176">
        <v>26</v>
      </c>
      <c r="D176">
        <v>55</v>
      </c>
      <c r="E176">
        <v>42</v>
      </c>
      <c r="F176">
        <v>18</v>
      </c>
      <c r="G176">
        <v>0.7</v>
      </c>
      <c r="H176">
        <v>4</v>
      </c>
      <c r="I176" t="s">
        <v>70</v>
      </c>
      <c r="J176">
        <v>55.7</v>
      </c>
      <c r="K176">
        <v>18.011666666666699</v>
      </c>
      <c r="L176" t="s">
        <v>76</v>
      </c>
      <c r="M176" t="s">
        <v>16</v>
      </c>
    </row>
    <row r="177" spans="1:13" x14ac:dyDescent="0.25">
      <c r="A177">
        <v>26057</v>
      </c>
      <c r="B177" t="s">
        <v>93</v>
      </c>
      <c r="C177">
        <v>26</v>
      </c>
      <c r="D177">
        <v>55</v>
      </c>
      <c r="E177">
        <v>43.1</v>
      </c>
      <c r="F177">
        <v>19</v>
      </c>
      <c r="G177">
        <v>58</v>
      </c>
      <c r="H177">
        <v>4</v>
      </c>
      <c r="I177" t="s">
        <v>94</v>
      </c>
      <c r="J177">
        <v>55.718333333333298</v>
      </c>
      <c r="K177">
        <v>19.966666666666701</v>
      </c>
      <c r="L177" t="s">
        <v>76</v>
      </c>
      <c r="M177" t="s">
        <v>20</v>
      </c>
    </row>
    <row r="178" spans="1:13" x14ac:dyDescent="0.25">
      <c r="A178">
        <v>26060</v>
      </c>
      <c r="B178" t="s">
        <v>100</v>
      </c>
      <c r="C178">
        <v>26</v>
      </c>
      <c r="D178">
        <v>55</v>
      </c>
      <c r="E178">
        <v>59.2</v>
      </c>
      <c r="F178">
        <v>19</v>
      </c>
      <c r="G178">
        <v>19.3</v>
      </c>
      <c r="H178">
        <v>4</v>
      </c>
      <c r="I178" t="s">
        <v>94</v>
      </c>
      <c r="J178">
        <v>55.9866666666667</v>
      </c>
      <c r="K178">
        <v>19.321666666666701</v>
      </c>
      <c r="L178" t="s">
        <v>76</v>
      </c>
      <c r="M178" t="s">
        <v>20</v>
      </c>
    </row>
    <row r="179" spans="1:13" x14ac:dyDescent="0.25">
      <c r="A179">
        <v>26069</v>
      </c>
      <c r="B179" t="s">
        <v>92</v>
      </c>
      <c r="C179">
        <v>26</v>
      </c>
      <c r="D179">
        <v>56</v>
      </c>
      <c r="E179">
        <v>13.1</v>
      </c>
      <c r="F179">
        <v>18</v>
      </c>
      <c r="G179">
        <v>25.2</v>
      </c>
      <c r="H179">
        <v>4</v>
      </c>
      <c r="I179" t="s">
        <v>67</v>
      </c>
      <c r="J179">
        <v>56.218333333333298</v>
      </c>
      <c r="K179">
        <v>18.420000000000002</v>
      </c>
      <c r="L179" t="s">
        <v>76</v>
      </c>
      <c r="M179" t="s">
        <v>16</v>
      </c>
    </row>
    <row r="180" spans="1:13" x14ac:dyDescent="0.25">
      <c r="A180">
        <v>26071</v>
      </c>
      <c r="B180" t="s">
        <v>96</v>
      </c>
      <c r="C180">
        <v>26</v>
      </c>
      <c r="D180">
        <v>56</v>
      </c>
      <c r="E180">
        <v>13.7</v>
      </c>
      <c r="F180">
        <v>19</v>
      </c>
      <c r="G180">
        <v>30.3</v>
      </c>
      <c r="H180">
        <v>6</v>
      </c>
      <c r="I180" t="s">
        <v>97</v>
      </c>
      <c r="J180">
        <v>56.228333333333303</v>
      </c>
      <c r="K180">
        <v>19.504999999999999</v>
      </c>
      <c r="L180" t="s">
        <v>76</v>
      </c>
      <c r="M180" t="s">
        <v>18</v>
      </c>
    </row>
    <row r="181" spans="1:13" x14ac:dyDescent="0.25">
      <c r="A181">
        <v>26073</v>
      </c>
      <c r="B181" t="s">
        <v>96</v>
      </c>
      <c r="C181">
        <v>26</v>
      </c>
      <c r="D181">
        <v>56</v>
      </c>
      <c r="E181">
        <v>15</v>
      </c>
      <c r="F181">
        <v>19</v>
      </c>
      <c r="G181">
        <v>39</v>
      </c>
      <c r="H181">
        <v>4</v>
      </c>
      <c r="I181" t="s">
        <v>97</v>
      </c>
      <c r="J181">
        <v>56.25</v>
      </c>
      <c r="K181">
        <v>19.649999999999999</v>
      </c>
      <c r="L181" t="s">
        <v>76</v>
      </c>
      <c r="M181" t="s">
        <v>18</v>
      </c>
    </row>
    <row r="182" spans="1:13" x14ac:dyDescent="0.25">
      <c r="A182">
        <v>26076</v>
      </c>
      <c r="B182" t="s">
        <v>92</v>
      </c>
      <c r="C182">
        <v>26</v>
      </c>
      <c r="D182">
        <v>56</v>
      </c>
      <c r="E182">
        <v>26</v>
      </c>
      <c r="F182">
        <v>18</v>
      </c>
      <c r="G182">
        <v>39</v>
      </c>
      <c r="H182">
        <v>4</v>
      </c>
      <c r="I182" t="s">
        <v>67</v>
      </c>
      <c r="J182">
        <v>56.433333333333302</v>
      </c>
      <c r="K182">
        <v>18.649999999999999</v>
      </c>
      <c r="L182" t="s">
        <v>76</v>
      </c>
      <c r="M182" t="s">
        <v>16</v>
      </c>
    </row>
    <row r="183" spans="1:13" x14ac:dyDescent="0.25">
      <c r="A183">
        <v>26077</v>
      </c>
      <c r="B183" t="s">
        <v>92</v>
      </c>
      <c r="C183">
        <v>26</v>
      </c>
      <c r="D183">
        <v>56</v>
      </c>
      <c r="E183">
        <v>27</v>
      </c>
      <c r="F183">
        <v>18</v>
      </c>
      <c r="G183">
        <v>40</v>
      </c>
      <c r="H183">
        <v>4</v>
      </c>
      <c r="I183" t="s">
        <v>67</v>
      </c>
      <c r="J183">
        <v>56.45</v>
      </c>
      <c r="K183">
        <v>18.6666666666667</v>
      </c>
      <c r="L183" t="s">
        <v>76</v>
      </c>
      <c r="M183" t="s">
        <v>16</v>
      </c>
    </row>
    <row r="184" spans="1:13" x14ac:dyDescent="0.25">
      <c r="A184">
        <v>26078</v>
      </c>
      <c r="B184" t="s">
        <v>98</v>
      </c>
      <c r="C184">
        <v>26</v>
      </c>
      <c r="D184">
        <v>56</v>
      </c>
      <c r="E184">
        <v>21</v>
      </c>
      <c r="F184">
        <v>20</v>
      </c>
      <c r="G184">
        <v>2</v>
      </c>
      <c r="H184">
        <v>4</v>
      </c>
      <c r="I184" t="s">
        <v>97</v>
      </c>
      <c r="J184">
        <v>56.35</v>
      </c>
      <c r="K184">
        <v>20.033333333333299</v>
      </c>
      <c r="L184" t="s">
        <v>76</v>
      </c>
      <c r="M184" t="s">
        <v>18</v>
      </c>
    </row>
    <row r="185" spans="1:13" x14ac:dyDescent="0.25">
      <c r="A185">
        <v>26081</v>
      </c>
      <c r="B185" t="s">
        <v>98</v>
      </c>
      <c r="C185">
        <v>26</v>
      </c>
      <c r="D185">
        <v>56</v>
      </c>
      <c r="E185">
        <v>27</v>
      </c>
      <c r="F185">
        <v>20</v>
      </c>
      <c r="G185">
        <v>12</v>
      </c>
      <c r="H185">
        <v>5</v>
      </c>
      <c r="I185" t="s">
        <v>97</v>
      </c>
      <c r="J185">
        <v>56.45</v>
      </c>
      <c r="K185">
        <v>20.2</v>
      </c>
      <c r="L185" t="s">
        <v>76</v>
      </c>
      <c r="M185" t="s">
        <v>18</v>
      </c>
    </row>
    <row r="186" spans="1:13" x14ac:dyDescent="0.25">
      <c r="A186">
        <v>26091</v>
      </c>
      <c r="B186" t="s">
        <v>99</v>
      </c>
      <c r="C186">
        <v>26</v>
      </c>
      <c r="D186">
        <v>55</v>
      </c>
      <c r="E186">
        <v>7</v>
      </c>
      <c r="F186">
        <v>19</v>
      </c>
      <c r="G186">
        <v>5</v>
      </c>
      <c r="H186">
        <v>5</v>
      </c>
      <c r="I186" t="s">
        <v>70</v>
      </c>
      <c r="J186">
        <v>55.116666666666703</v>
      </c>
      <c r="K186">
        <v>19.0833333333333</v>
      </c>
      <c r="L186" t="s">
        <v>76</v>
      </c>
      <c r="M186" t="s">
        <v>16</v>
      </c>
    </row>
    <row r="187" spans="1:13" x14ac:dyDescent="0.25">
      <c r="A187">
        <v>26093</v>
      </c>
      <c r="B187" t="s">
        <v>89</v>
      </c>
      <c r="C187">
        <v>26</v>
      </c>
      <c r="D187">
        <v>55</v>
      </c>
      <c r="E187">
        <v>10.5</v>
      </c>
      <c r="F187">
        <v>18</v>
      </c>
      <c r="G187">
        <v>39</v>
      </c>
      <c r="H187">
        <v>5</v>
      </c>
      <c r="I187" t="s">
        <v>70</v>
      </c>
      <c r="J187">
        <v>55.174999999999997</v>
      </c>
      <c r="K187">
        <v>18.649999999999999</v>
      </c>
      <c r="L187" t="s">
        <v>76</v>
      </c>
      <c r="M187" t="s">
        <v>16</v>
      </c>
    </row>
    <row r="188" spans="1:13" x14ac:dyDescent="0.25">
      <c r="A188">
        <v>26094</v>
      </c>
      <c r="B188" t="s">
        <v>89</v>
      </c>
      <c r="C188">
        <v>26</v>
      </c>
      <c r="D188">
        <v>55</v>
      </c>
      <c r="E188">
        <v>11.8</v>
      </c>
      <c r="F188">
        <v>18</v>
      </c>
      <c r="G188">
        <v>57</v>
      </c>
      <c r="H188">
        <v>5</v>
      </c>
      <c r="I188" t="s">
        <v>70</v>
      </c>
      <c r="J188">
        <v>55.196666666666701</v>
      </c>
      <c r="K188">
        <v>18.95</v>
      </c>
      <c r="L188" t="s">
        <v>76</v>
      </c>
      <c r="M188" t="s">
        <v>16</v>
      </c>
    </row>
    <row r="189" spans="1:13" x14ac:dyDescent="0.25">
      <c r="A189">
        <v>26099</v>
      </c>
      <c r="B189" t="s">
        <v>89</v>
      </c>
      <c r="C189">
        <v>26</v>
      </c>
      <c r="D189">
        <v>55</v>
      </c>
      <c r="E189">
        <v>28.3</v>
      </c>
      <c r="F189">
        <v>18</v>
      </c>
      <c r="G189">
        <v>18.2</v>
      </c>
      <c r="H189">
        <v>5</v>
      </c>
      <c r="I189" t="s">
        <v>70</v>
      </c>
      <c r="J189">
        <v>55.4716666666667</v>
      </c>
      <c r="K189">
        <v>18.303333333333299</v>
      </c>
      <c r="L189" t="s">
        <v>76</v>
      </c>
      <c r="M189" t="s">
        <v>16</v>
      </c>
    </row>
    <row r="190" spans="1:13" x14ac:dyDescent="0.25">
      <c r="A190">
        <v>26105</v>
      </c>
      <c r="B190" t="s">
        <v>89</v>
      </c>
      <c r="C190">
        <v>26</v>
      </c>
      <c r="D190">
        <v>55</v>
      </c>
      <c r="E190">
        <v>21</v>
      </c>
      <c r="F190">
        <v>18</v>
      </c>
      <c r="G190">
        <v>47</v>
      </c>
      <c r="H190">
        <v>5</v>
      </c>
      <c r="I190" t="s">
        <v>70</v>
      </c>
      <c r="J190">
        <v>55.35</v>
      </c>
      <c r="K190">
        <v>18.783333333333299</v>
      </c>
      <c r="L190" t="s">
        <v>76</v>
      </c>
      <c r="M190" t="s">
        <v>16</v>
      </c>
    </row>
    <row r="191" spans="1:13" x14ac:dyDescent="0.25">
      <c r="A191">
        <v>26107</v>
      </c>
      <c r="B191" t="s">
        <v>99</v>
      </c>
      <c r="C191">
        <v>26</v>
      </c>
      <c r="D191">
        <v>55</v>
      </c>
      <c r="E191">
        <v>30.1</v>
      </c>
      <c r="F191">
        <v>18</v>
      </c>
      <c r="G191">
        <v>59.7</v>
      </c>
      <c r="H191">
        <v>5</v>
      </c>
      <c r="I191" t="s">
        <v>70</v>
      </c>
      <c r="J191">
        <v>55.501666666666701</v>
      </c>
      <c r="K191">
        <v>18.995000000000001</v>
      </c>
      <c r="L191" t="s">
        <v>76</v>
      </c>
      <c r="M191" t="s">
        <v>16</v>
      </c>
    </row>
    <row r="192" spans="1:13" x14ac:dyDescent="0.25">
      <c r="A192">
        <v>26110</v>
      </c>
      <c r="B192" t="s">
        <v>95</v>
      </c>
      <c r="C192">
        <v>26</v>
      </c>
      <c r="D192">
        <v>55</v>
      </c>
      <c r="E192">
        <v>35</v>
      </c>
      <c r="F192">
        <v>18</v>
      </c>
      <c r="G192">
        <v>23</v>
      </c>
      <c r="H192">
        <v>5</v>
      </c>
      <c r="I192" t="s">
        <v>70</v>
      </c>
      <c r="J192">
        <v>55.5833333333333</v>
      </c>
      <c r="K192">
        <v>18.383333333333301</v>
      </c>
      <c r="L192" t="s">
        <v>76</v>
      </c>
      <c r="M192" t="s">
        <v>16</v>
      </c>
    </row>
    <row r="193" spans="1:13" x14ac:dyDescent="0.25">
      <c r="A193">
        <v>26122</v>
      </c>
      <c r="B193" t="s">
        <v>100</v>
      </c>
      <c r="C193">
        <v>26</v>
      </c>
      <c r="D193">
        <v>56</v>
      </c>
      <c r="E193">
        <v>0.1</v>
      </c>
      <c r="F193">
        <v>19</v>
      </c>
      <c r="G193">
        <v>17.899999999999999</v>
      </c>
      <c r="H193">
        <v>5</v>
      </c>
      <c r="I193" t="s">
        <v>94</v>
      </c>
      <c r="J193">
        <v>56.001666666666701</v>
      </c>
      <c r="K193">
        <v>19.2983333333333</v>
      </c>
      <c r="L193" t="s">
        <v>76</v>
      </c>
      <c r="M193" t="s">
        <v>20</v>
      </c>
    </row>
    <row r="194" spans="1:13" x14ac:dyDescent="0.25">
      <c r="A194">
        <v>26124</v>
      </c>
      <c r="B194" t="s">
        <v>92</v>
      </c>
      <c r="C194">
        <v>26</v>
      </c>
      <c r="D194">
        <v>56</v>
      </c>
      <c r="E194">
        <v>17</v>
      </c>
      <c r="F194">
        <v>18</v>
      </c>
      <c r="G194">
        <v>32</v>
      </c>
      <c r="H194">
        <v>5</v>
      </c>
      <c r="I194" t="s">
        <v>67</v>
      </c>
      <c r="J194">
        <v>56.283333333333303</v>
      </c>
      <c r="K194">
        <v>18.533333333333299</v>
      </c>
      <c r="L194" t="s">
        <v>76</v>
      </c>
      <c r="M194" t="s">
        <v>16</v>
      </c>
    </row>
    <row r="195" spans="1:13" x14ac:dyDescent="0.25">
      <c r="A195">
        <v>26125</v>
      </c>
      <c r="B195" t="s">
        <v>101</v>
      </c>
      <c r="C195">
        <v>26</v>
      </c>
      <c r="D195">
        <v>56</v>
      </c>
      <c r="E195">
        <v>24.08</v>
      </c>
      <c r="F195">
        <v>18</v>
      </c>
      <c r="G195">
        <v>36.479999999999997</v>
      </c>
      <c r="H195">
        <v>5</v>
      </c>
      <c r="I195" t="s">
        <v>67</v>
      </c>
      <c r="J195">
        <v>56.401333333333298</v>
      </c>
      <c r="K195">
        <v>18.608000000000001</v>
      </c>
      <c r="L195" t="s">
        <v>76</v>
      </c>
      <c r="M195" t="s">
        <v>17</v>
      </c>
    </row>
    <row r="196" spans="1:13" x14ac:dyDescent="0.25">
      <c r="A196">
        <v>26131</v>
      </c>
      <c r="B196" t="s">
        <v>90</v>
      </c>
      <c r="C196">
        <v>26</v>
      </c>
      <c r="D196">
        <v>54</v>
      </c>
      <c r="E196">
        <v>24</v>
      </c>
      <c r="F196">
        <v>19</v>
      </c>
      <c r="G196">
        <v>2.4</v>
      </c>
      <c r="H196">
        <v>2</v>
      </c>
      <c r="I196" t="s">
        <v>70</v>
      </c>
      <c r="J196">
        <v>54.4</v>
      </c>
      <c r="K196">
        <v>19.04</v>
      </c>
      <c r="L196" t="s">
        <v>76</v>
      </c>
      <c r="M196" t="s">
        <v>16</v>
      </c>
    </row>
    <row r="197" spans="1:13" x14ac:dyDescent="0.25">
      <c r="A197">
        <v>26133</v>
      </c>
      <c r="B197" t="s">
        <v>91</v>
      </c>
      <c r="C197">
        <v>26</v>
      </c>
      <c r="D197">
        <v>54</v>
      </c>
      <c r="E197">
        <v>42.1</v>
      </c>
      <c r="F197">
        <v>18</v>
      </c>
      <c r="G197">
        <v>46.6</v>
      </c>
      <c r="H197">
        <v>3</v>
      </c>
      <c r="I197" t="s">
        <v>70</v>
      </c>
      <c r="J197">
        <v>54.701666666666704</v>
      </c>
      <c r="K197">
        <v>18.776666666666699</v>
      </c>
      <c r="L197" t="s">
        <v>76</v>
      </c>
      <c r="M197" t="s">
        <v>16</v>
      </c>
    </row>
    <row r="198" spans="1:13" x14ac:dyDescent="0.25">
      <c r="A198">
        <v>26138</v>
      </c>
      <c r="B198" t="s">
        <v>95</v>
      </c>
      <c r="C198">
        <v>26</v>
      </c>
      <c r="D198">
        <v>55</v>
      </c>
      <c r="E198">
        <v>52.8</v>
      </c>
      <c r="F198">
        <v>18</v>
      </c>
      <c r="G198">
        <v>49</v>
      </c>
      <c r="H198">
        <v>6</v>
      </c>
      <c r="I198" t="s">
        <v>70</v>
      </c>
      <c r="J198">
        <v>55.88</v>
      </c>
      <c r="K198">
        <v>18.816666666666698</v>
      </c>
      <c r="L198" t="s">
        <v>76</v>
      </c>
      <c r="M198" t="s">
        <v>16</v>
      </c>
    </row>
    <row r="199" spans="1:13" x14ac:dyDescent="0.25">
      <c r="A199">
        <v>26140</v>
      </c>
      <c r="B199" t="s">
        <v>92</v>
      </c>
      <c r="C199">
        <v>26</v>
      </c>
      <c r="D199">
        <v>56</v>
      </c>
      <c r="E199">
        <v>0.4</v>
      </c>
      <c r="F199">
        <v>18</v>
      </c>
      <c r="G199">
        <v>54.1</v>
      </c>
      <c r="H199">
        <v>6</v>
      </c>
      <c r="I199" t="s">
        <v>67</v>
      </c>
      <c r="J199">
        <v>56.006666666666703</v>
      </c>
      <c r="K199">
        <v>18.901666666666699</v>
      </c>
      <c r="L199" t="s">
        <v>76</v>
      </c>
      <c r="M199" t="s">
        <v>16</v>
      </c>
    </row>
    <row r="200" spans="1:13" x14ac:dyDescent="0.25">
      <c r="A200">
        <v>26141</v>
      </c>
      <c r="B200" t="s">
        <v>92</v>
      </c>
      <c r="C200">
        <v>26</v>
      </c>
      <c r="D200">
        <v>56</v>
      </c>
      <c r="E200">
        <v>19</v>
      </c>
      <c r="F200">
        <v>18</v>
      </c>
      <c r="G200">
        <v>40</v>
      </c>
      <c r="H200">
        <v>6</v>
      </c>
      <c r="I200" t="s">
        <v>67</v>
      </c>
      <c r="J200">
        <v>56.316666666666698</v>
      </c>
      <c r="K200">
        <v>18.6666666666667</v>
      </c>
      <c r="L200" t="s">
        <v>76</v>
      </c>
      <c r="M200" t="s">
        <v>16</v>
      </c>
    </row>
    <row r="201" spans="1:13" x14ac:dyDescent="0.25">
      <c r="A201">
        <v>26142</v>
      </c>
      <c r="B201" t="s">
        <v>96</v>
      </c>
      <c r="C201">
        <v>26</v>
      </c>
      <c r="D201">
        <v>56</v>
      </c>
      <c r="E201">
        <v>12</v>
      </c>
      <c r="F201">
        <v>19</v>
      </c>
      <c r="G201">
        <v>28</v>
      </c>
      <c r="H201">
        <v>6</v>
      </c>
      <c r="I201" t="s">
        <v>97</v>
      </c>
      <c r="J201">
        <v>56.2</v>
      </c>
      <c r="K201">
        <v>19.466666666666701</v>
      </c>
      <c r="L201" t="s">
        <v>76</v>
      </c>
      <c r="M201" t="s">
        <v>18</v>
      </c>
    </row>
    <row r="202" spans="1:13" x14ac:dyDescent="0.25">
      <c r="A202">
        <v>26144</v>
      </c>
      <c r="B202" t="s">
        <v>96</v>
      </c>
      <c r="C202">
        <v>26</v>
      </c>
      <c r="D202">
        <v>56</v>
      </c>
      <c r="E202">
        <v>22</v>
      </c>
      <c r="F202">
        <v>19</v>
      </c>
      <c r="G202">
        <v>29</v>
      </c>
      <c r="H202">
        <v>6</v>
      </c>
      <c r="I202" t="s">
        <v>97</v>
      </c>
      <c r="J202">
        <v>56.366666666666703</v>
      </c>
      <c r="K202">
        <v>19.483333333333299</v>
      </c>
      <c r="L202" t="s">
        <v>76</v>
      </c>
      <c r="M202" t="s">
        <v>18</v>
      </c>
    </row>
    <row r="203" spans="1:13" x14ac:dyDescent="0.25">
      <c r="A203">
        <v>26145</v>
      </c>
      <c r="B203" t="s">
        <v>96</v>
      </c>
      <c r="C203">
        <v>26</v>
      </c>
      <c r="D203">
        <v>56</v>
      </c>
      <c r="E203">
        <v>27.9</v>
      </c>
      <c r="F203">
        <v>19</v>
      </c>
      <c r="G203">
        <v>49.7</v>
      </c>
      <c r="H203">
        <v>6</v>
      </c>
      <c r="I203" t="s">
        <v>97</v>
      </c>
      <c r="J203">
        <v>56.465000000000003</v>
      </c>
      <c r="K203">
        <v>19.828333333333301</v>
      </c>
      <c r="L203" t="s">
        <v>76</v>
      </c>
      <c r="M203" t="s">
        <v>18</v>
      </c>
    </row>
    <row r="204" spans="1:13" x14ac:dyDescent="0.25">
      <c r="A204">
        <v>26161</v>
      </c>
      <c r="B204" t="s">
        <v>81</v>
      </c>
      <c r="C204">
        <v>26</v>
      </c>
      <c r="D204">
        <v>55</v>
      </c>
      <c r="E204">
        <v>28.8</v>
      </c>
      <c r="F204">
        <v>18</v>
      </c>
      <c r="G204">
        <v>18.100000000000001</v>
      </c>
      <c r="H204">
        <v>5</v>
      </c>
      <c r="I204" t="s">
        <v>70</v>
      </c>
      <c r="J204">
        <v>55.48</v>
      </c>
      <c r="K204">
        <v>18.301666666666701</v>
      </c>
      <c r="L204" t="s">
        <v>76</v>
      </c>
      <c r="M204" t="s">
        <v>15</v>
      </c>
    </row>
    <row r="205" spans="1:13" x14ac:dyDescent="0.25">
      <c r="A205">
        <v>26165</v>
      </c>
      <c r="B205" t="s">
        <v>89</v>
      </c>
      <c r="C205">
        <v>26</v>
      </c>
      <c r="D205">
        <v>55</v>
      </c>
      <c r="E205">
        <v>26</v>
      </c>
      <c r="F205">
        <v>18</v>
      </c>
      <c r="G205">
        <v>34</v>
      </c>
      <c r="H205">
        <v>5</v>
      </c>
      <c r="I205" t="s">
        <v>70</v>
      </c>
      <c r="J205">
        <v>55.433333333333302</v>
      </c>
      <c r="K205">
        <v>18.566666666666698</v>
      </c>
      <c r="L205" t="s">
        <v>76</v>
      </c>
      <c r="M205" t="s">
        <v>16</v>
      </c>
    </row>
    <row r="206" spans="1:13" x14ac:dyDescent="0.25">
      <c r="A206">
        <v>26170</v>
      </c>
      <c r="B206" t="s">
        <v>92</v>
      </c>
      <c r="C206">
        <v>26</v>
      </c>
      <c r="D206">
        <v>56</v>
      </c>
      <c r="E206">
        <v>9.8905600000000007</v>
      </c>
      <c r="F206">
        <v>18</v>
      </c>
      <c r="G206">
        <v>20.27</v>
      </c>
      <c r="H206">
        <v>4</v>
      </c>
      <c r="I206" t="s">
        <v>67</v>
      </c>
      <c r="J206">
        <v>56.164842666666701</v>
      </c>
      <c r="K206">
        <v>18.3378333333333</v>
      </c>
      <c r="L206" t="s">
        <v>76</v>
      </c>
      <c r="M206" t="s">
        <v>16</v>
      </c>
    </row>
    <row r="207" spans="1:13" x14ac:dyDescent="0.25">
      <c r="A207">
        <v>26172</v>
      </c>
      <c r="B207" t="s">
        <v>95</v>
      </c>
      <c r="C207">
        <v>26</v>
      </c>
      <c r="D207">
        <v>55</v>
      </c>
      <c r="E207">
        <v>31.8</v>
      </c>
      <c r="F207">
        <v>18</v>
      </c>
      <c r="G207">
        <v>10.7</v>
      </c>
      <c r="H207">
        <v>5</v>
      </c>
      <c r="I207" t="s">
        <v>70</v>
      </c>
      <c r="J207">
        <v>55.53</v>
      </c>
      <c r="K207">
        <v>18.178333333333299</v>
      </c>
      <c r="L207" t="s">
        <v>76</v>
      </c>
      <c r="M207" t="s">
        <v>16</v>
      </c>
    </row>
    <row r="208" spans="1:13" x14ac:dyDescent="0.25">
      <c r="A208">
        <v>26177</v>
      </c>
      <c r="B208" t="s">
        <v>91</v>
      </c>
      <c r="C208">
        <v>26</v>
      </c>
      <c r="D208">
        <v>54</v>
      </c>
      <c r="E208">
        <v>54</v>
      </c>
      <c r="F208">
        <v>18</v>
      </c>
      <c r="G208">
        <v>10</v>
      </c>
      <c r="H208">
        <v>2</v>
      </c>
      <c r="I208" t="s">
        <v>70</v>
      </c>
      <c r="J208">
        <v>54.9</v>
      </c>
      <c r="K208">
        <v>18.1666666666667</v>
      </c>
      <c r="L208" t="s">
        <v>76</v>
      </c>
      <c r="M208" t="s">
        <v>16</v>
      </c>
    </row>
    <row r="209" spans="1:13" x14ac:dyDescent="0.25">
      <c r="A209">
        <v>26182</v>
      </c>
      <c r="B209" t="s">
        <v>92</v>
      </c>
      <c r="C209">
        <v>26</v>
      </c>
      <c r="D209">
        <v>55</v>
      </c>
      <c r="E209">
        <v>2.8</v>
      </c>
      <c r="F209">
        <v>18</v>
      </c>
      <c r="G209">
        <v>18.7</v>
      </c>
      <c r="H209">
        <v>4</v>
      </c>
      <c r="I209" t="s">
        <v>70</v>
      </c>
      <c r="J209">
        <v>55.046666666666702</v>
      </c>
      <c r="K209">
        <v>18.311666666666699</v>
      </c>
      <c r="L209" t="s">
        <v>76</v>
      </c>
      <c r="M209" t="s">
        <v>16</v>
      </c>
    </row>
    <row r="210" spans="1:13" x14ac:dyDescent="0.25">
      <c r="A210">
        <v>26191</v>
      </c>
      <c r="B210" t="s">
        <v>100</v>
      </c>
      <c r="C210">
        <v>26</v>
      </c>
      <c r="D210">
        <v>54</v>
      </c>
      <c r="E210">
        <v>40.700000000000003</v>
      </c>
      <c r="F210">
        <v>19</v>
      </c>
      <c r="G210">
        <v>17.8</v>
      </c>
      <c r="H210">
        <v>5</v>
      </c>
      <c r="I210" t="s">
        <v>70</v>
      </c>
      <c r="J210">
        <v>54.678333333333299</v>
      </c>
      <c r="K210">
        <v>19.296666666666699</v>
      </c>
      <c r="L210" t="s">
        <v>76</v>
      </c>
      <c r="M210" t="s">
        <v>16</v>
      </c>
    </row>
    <row r="211" spans="1:13" x14ac:dyDescent="0.25">
      <c r="A211">
        <v>26199</v>
      </c>
      <c r="B211" t="s">
        <v>96</v>
      </c>
      <c r="C211">
        <v>26</v>
      </c>
      <c r="D211">
        <v>56</v>
      </c>
      <c r="E211">
        <v>22.8</v>
      </c>
      <c r="F211">
        <v>19</v>
      </c>
      <c r="G211">
        <v>42.4</v>
      </c>
      <c r="H211">
        <v>6</v>
      </c>
      <c r="I211" t="s">
        <v>97</v>
      </c>
      <c r="J211">
        <v>56.38</v>
      </c>
      <c r="K211">
        <v>19.706666666666699</v>
      </c>
      <c r="L211" t="s">
        <v>76</v>
      </c>
      <c r="M211" t="s">
        <v>18</v>
      </c>
    </row>
    <row r="212" spans="1:13" x14ac:dyDescent="0.25">
      <c r="A212">
        <v>26205</v>
      </c>
      <c r="B212" t="s">
        <v>93</v>
      </c>
      <c r="C212">
        <v>26</v>
      </c>
      <c r="D212">
        <v>55</v>
      </c>
      <c r="E212">
        <v>45.5</v>
      </c>
      <c r="F212">
        <v>20</v>
      </c>
      <c r="G212">
        <v>22.2</v>
      </c>
      <c r="H212">
        <v>3</v>
      </c>
      <c r="I212" t="s">
        <v>94</v>
      </c>
      <c r="J212">
        <v>55.758333333333297</v>
      </c>
      <c r="K212">
        <v>20.37</v>
      </c>
      <c r="L212" t="s">
        <v>76</v>
      </c>
      <c r="M212" t="s">
        <v>20</v>
      </c>
    </row>
    <row r="213" spans="1:13" x14ac:dyDescent="0.25">
      <c r="A213">
        <v>26206</v>
      </c>
      <c r="B213" t="s">
        <v>93</v>
      </c>
      <c r="C213">
        <v>26</v>
      </c>
      <c r="D213">
        <v>55</v>
      </c>
      <c r="E213">
        <v>45.8</v>
      </c>
      <c r="F213">
        <v>20</v>
      </c>
      <c r="G213">
        <v>20</v>
      </c>
      <c r="H213">
        <v>3</v>
      </c>
      <c r="I213" t="s">
        <v>94</v>
      </c>
      <c r="J213">
        <v>55.7633333333333</v>
      </c>
      <c r="K213">
        <v>20.3333333333333</v>
      </c>
      <c r="L213" t="s">
        <v>76</v>
      </c>
      <c r="M213" t="s">
        <v>20</v>
      </c>
    </row>
    <row r="214" spans="1:13" x14ac:dyDescent="0.25">
      <c r="A214">
        <v>26209</v>
      </c>
      <c r="B214" t="s">
        <v>96</v>
      </c>
      <c r="C214">
        <v>26</v>
      </c>
      <c r="D214">
        <v>56</v>
      </c>
      <c r="E214">
        <v>18</v>
      </c>
      <c r="F214">
        <v>19</v>
      </c>
      <c r="G214">
        <v>31.5</v>
      </c>
      <c r="H214">
        <v>6</v>
      </c>
      <c r="I214" t="s">
        <v>97</v>
      </c>
      <c r="J214">
        <v>56.3</v>
      </c>
      <c r="K214">
        <v>19.524999999999999</v>
      </c>
      <c r="L214" t="s">
        <v>76</v>
      </c>
      <c r="M214" t="s">
        <v>18</v>
      </c>
    </row>
    <row r="215" spans="1:13" x14ac:dyDescent="0.25">
      <c r="A215">
        <v>26211</v>
      </c>
      <c r="B215" t="s">
        <v>103</v>
      </c>
      <c r="C215">
        <v>26</v>
      </c>
      <c r="D215">
        <v>54</v>
      </c>
      <c r="E215">
        <v>30.6</v>
      </c>
      <c r="F215">
        <v>19</v>
      </c>
      <c r="G215">
        <v>21</v>
      </c>
      <c r="H215">
        <v>4</v>
      </c>
      <c r="I215" t="s">
        <v>70</v>
      </c>
      <c r="J215">
        <v>54.51</v>
      </c>
      <c r="K215">
        <v>19.350000000000001</v>
      </c>
      <c r="L215" t="s">
        <v>76</v>
      </c>
      <c r="M215" t="s">
        <v>16</v>
      </c>
    </row>
    <row r="216" spans="1:13" x14ac:dyDescent="0.25">
      <c r="A216">
        <v>26216</v>
      </c>
      <c r="B216" t="s">
        <v>90</v>
      </c>
      <c r="C216">
        <v>26</v>
      </c>
      <c r="D216">
        <v>54</v>
      </c>
      <c r="E216">
        <v>23.9</v>
      </c>
      <c r="F216">
        <v>19</v>
      </c>
      <c r="G216">
        <v>16.3</v>
      </c>
      <c r="H216">
        <v>2</v>
      </c>
      <c r="I216" t="s">
        <v>70</v>
      </c>
      <c r="J216">
        <v>54.398333333333298</v>
      </c>
      <c r="K216">
        <v>19.2716666666667</v>
      </c>
      <c r="L216" t="s">
        <v>76</v>
      </c>
      <c r="M216" t="s">
        <v>16</v>
      </c>
    </row>
    <row r="217" spans="1:13" x14ac:dyDescent="0.25">
      <c r="A217">
        <v>26219</v>
      </c>
      <c r="B217" t="s">
        <v>102</v>
      </c>
      <c r="C217">
        <v>26</v>
      </c>
      <c r="D217">
        <v>54</v>
      </c>
      <c r="E217">
        <v>23.5</v>
      </c>
      <c r="F217">
        <v>18</v>
      </c>
      <c r="G217">
        <v>58.5</v>
      </c>
      <c r="H217">
        <v>2</v>
      </c>
      <c r="I217" t="s">
        <v>70</v>
      </c>
      <c r="J217">
        <v>54.391666666666701</v>
      </c>
      <c r="K217">
        <v>18.975000000000001</v>
      </c>
      <c r="L217" t="s">
        <v>76</v>
      </c>
      <c r="M217" t="s">
        <v>16</v>
      </c>
    </row>
    <row r="218" spans="1:13" x14ac:dyDescent="0.25">
      <c r="A218">
        <v>26220</v>
      </c>
      <c r="B218" t="s">
        <v>90</v>
      </c>
      <c r="C218">
        <v>26</v>
      </c>
      <c r="D218">
        <v>54</v>
      </c>
      <c r="E218">
        <v>25.1</v>
      </c>
      <c r="F218">
        <v>19</v>
      </c>
      <c r="G218">
        <v>5.0999999999999996</v>
      </c>
      <c r="H218">
        <v>3</v>
      </c>
      <c r="I218" t="s">
        <v>70</v>
      </c>
      <c r="J218">
        <v>54.418333333333301</v>
      </c>
      <c r="K218">
        <v>19.085000000000001</v>
      </c>
      <c r="L218" t="s">
        <v>76</v>
      </c>
      <c r="M218" t="s">
        <v>16</v>
      </c>
    </row>
    <row r="219" spans="1:13" x14ac:dyDescent="0.25">
      <c r="A219">
        <v>26221</v>
      </c>
      <c r="B219" t="s">
        <v>95</v>
      </c>
      <c r="C219">
        <v>26</v>
      </c>
      <c r="D219">
        <v>55</v>
      </c>
      <c r="E219">
        <v>55.2</v>
      </c>
      <c r="F219">
        <v>18</v>
      </c>
      <c r="G219">
        <v>35.21</v>
      </c>
      <c r="H219">
        <v>6</v>
      </c>
      <c r="I219" t="s">
        <v>67</v>
      </c>
      <c r="J219">
        <v>55.92</v>
      </c>
      <c r="K219">
        <v>18.586833333333299</v>
      </c>
      <c r="L219" t="s">
        <v>76</v>
      </c>
      <c r="M219" t="s">
        <v>17</v>
      </c>
    </row>
    <row r="220" spans="1:13" x14ac:dyDescent="0.25">
      <c r="A220">
        <v>26224</v>
      </c>
      <c r="B220" t="s">
        <v>92</v>
      </c>
      <c r="C220">
        <v>26</v>
      </c>
      <c r="D220">
        <v>56</v>
      </c>
      <c r="E220">
        <v>22.01</v>
      </c>
      <c r="F220">
        <v>18</v>
      </c>
      <c r="G220">
        <v>26.8</v>
      </c>
      <c r="H220">
        <v>2</v>
      </c>
      <c r="I220" t="s">
        <v>67</v>
      </c>
      <c r="J220">
        <v>56.366833333333297</v>
      </c>
      <c r="K220">
        <v>18.446666666666701</v>
      </c>
      <c r="L220" t="s">
        <v>76</v>
      </c>
      <c r="M220" t="s">
        <v>16</v>
      </c>
    </row>
    <row r="221" spans="1:13" x14ac:dyDescent="0.25">
      <c r="A221">
        <v>26257</v>
      </c>
      <c r="B221" t="s">
        <v>103</v>
      </c>
      <c r="C221">
        <v>26</v>
      </c>
      <c r="D221">
        <v>54</v>
      </c>
      <c r="E221">
        <v>55.5</v>
      </c>
      <c r="F221">
        <v>19</v>
      </c>
      <c r="G221">
        <v>3</v>
      </c>
      <c r="H221">
        <v>6</v>
      </c>
      <c r="I221" t="s">
        <v>70</v>
      </c>
      <c r="J221">
        <v>54.924999999999997</v>
      </c>
      <c r="K221">
        <v>19.05</v>
      </c>
      <c r="L221" t="s">
        <v>76</v>
      </c>
      <c r="M221" t="s">
        <v>16</v>
      </c>
    </row>
    <row r="222" spans="1:13" x14ac:dyDescent="0.25">
      <c r="A222">
        <v>26258</v>
      </c>
      <c r="B222" t="s">
        <v>90</v>
      </c>
      <c r="C222">
        <v>26</v>
      </c>
      <c r="D222">
        <v>54</v>
      </c>
      <c r="E222">
        <v>26.9</v>
      </c>
      <c r="F222">
        <v>19</v>
      </c>
      <c r="G222">
        <v>18</v>
      </c>
      <c r="H222">
        <v>4</v>
      </c>
      <c r="I222" t="s">
        <v>70</v>
      </c>
      <c r="J222">
        <v>54.448333333333302</v>
      </c>
      <c r="K222">
        <v>19.3</v>
      </c>
      <c r="L222" t="s">
        <v>76</v>
      </c>
      <c r="M222" t="s">
        <v>16</v>
      </c>
    </row>
    <row r="223" spans="1:13" x14ac:dyDescent="0.25">
      <c r="A223">
        <v>26259</v>
      </c>
      <c r="B223" t="s">
        <v>96</v>
      </c>
      <c r="C223">
        <v>26</v>
      </c>
      <c r="D223">
        <v>56</v>
      </c>
      <c r="E223">
        <v>22</v>
      </c>
      <c r="F223">
        <v>19</v>
      </c>
      <c r="G223">
        <v>52</v>
      </c>
      <c r="H223">
        <v>5</v>
      </c>
      <c r="I223" t="s">
        <v>97</v>
      </c>
      <c r="J223">
        <v>56.366666666666703</v>
      </c>
      <c r="K223">
        <v>19.866666666666699</v>
      </c>
      <c r="L223" t="s">
        <v>76</v>
      </c>
      <c r="M223" t="s">
        <v>18</v>
      </c>
    </row>
    <row r="224" spans="1:13" x14ac:dyDescent="0.25">
      <c r="A224">
        <v>26263</v>
      </c>
      <c r="B224" t="s">
        <v>102</v>
      </c>
      <c r="C224">
        <v>26</v>
      </c>
      <c r="D224">
        <v>54</v>
      </c>
      <c r="E224">
        <v>23.7</v>
      </c>
      <c r="F224">
        <v>18</v>
      </c>
      <c r="G224">
        <v>59.5</v>
      </c>
      <c r="H224">
        <v>2</v>
      </c>
      <c r="I224" t="s">
        <v>70</v>
      </c>
      <c r="J224">
        <v>54.395000000000003</v>
      </c>
      <c r="K224">
        <v>18.991666666666699</v>
      </c>
      <c r="L224" t="s">
        <v>76</v>
      </c>
      <c r="M224" t="s">
        <v>16</v>
      </c>
    </row>
    <row r="225" spans="1:13" x14ac:dyDescent="0.25">
      <c r="A225">
        <v>26264</v>
      </c>
      <c r="B225" t="s">
        <v>90</v>
      </c>
      <c r="C225">
        <v>26</v>
      </c>
      <c r="D225">
        <v>54</v>
      </c>
      <c r="E225">
        <v>25.2</v>
      </c>
      <c r="F225">
        <v>19</v>
      </c>
      <c r="G225">
        <v>2.1</v>
      </c>
      <c r="H225">
        <v>3</v>
      </c>
      <c r="I225" t="s">
        <v>70</v>
      </c>
      <c r="J225">
        <v>54.42</v>
      </c>
      <c r="K225">
        <v>19.035</v>
      </c>
      <c r="L225" t="s">
        <v>76</v>
      </c>
      <c r="M225" t="s">
        <v>16</v>
      </c>
    </row>
    <row r="226" spans="1:13" x14ac:dyDescent="0.25">
      <c r="A226">
        <v>26265</v>
      </c>
      <c r="B226" t="s">
        <v>90</v>
      </c>
      <c r="C226">
        <v>26</v>
      </c>
      <c r="D226">
        <v>54</v>
      </c>
      <c r="E226">
        <v>26</v>
      </c>
      <c r="F226">
        <v>19</v>
      </c>
      <c r="G226">
        <v>6</v>
      </c>
      <c r="H226">
        <v>3</v>
      </c>
      <c r="I226" t="s">
        <v>70</v>
      </c>
      <c r="J226">
        <v>54.433333333333302</v>
      </c>
      <c r="K226">
        <v>19.100000000000001</v>
      </c>
      <c r="L226" t="s">
        <v>76</v>
      </c>
      <c r="M226" t="s">
        <v>16</v>
      </c>
    </row>
    <row r="227" spans="1:13" x14ac:dyDescent="0.25">
      <c r="A227">
        <v>26266</v>
      </c>
      <c r="B227" t="s">
        <v>91</v>
      </c>
      <c r="C227">
        <v>26</v>
      </c>
      <c r="D227">
        <v>54</v>
      </c>
      <c r="E227">
        <v>48.2</v>
      </c>
      <c r="F227">
        <v>18</v>
      </c>
      <c r="G227">
        <v>32.9</v>
      </c>
      <c r="H227">
        <v>2</v>
      </c>
      <c r="I227" t="s">
        <v>70</v>
      </c>
      <c r="J227">
        <v>54.803333333333299</v>
      </c>
      <c r="K227">
        <v>18.5483333333333</v>
      </c>
      <c r="L227" t="s">
        <v>76</v>
      </c>
      <c r="M227" t="s">
        <v>16</v>
      </c>
    </row>
    <row r="228" spans="1:13" x14ac:dyDescent="0.25">
      <c r="A228">
        <v>26267</v>
      </c>
      <c r="B228" t="s">
        <v>91</v>
      </c>
      <c r="C228">
        <v>26</v>
      </c>
      <c r="D228">
        <v>54</v>
      </c>
      <c r="E228">
        <v>54.6</v>
      </c>
      <c r="F228">
        <v>18</v>
      </c>
      <c r="G228">
        <v>36.1</v>
      </c>
      <c r="H228">
        <v>3</v>
      </c>
      <c r="I228" t="s">
        <v>70</v>
      </c>
      <c r="J228">
        <v>54.91</v>
      </c>
      <c r="K228">
        <v>18.601666666666699</v>
      </c>
      <c r="L228" t="s">
        <v>76</v>
      </c>
      <c r="M228" t="s">
        <v>16</v>
      </c>
    </row>
    <row r="229" spans="1:13" x14ac:dyDescent="0.25">
      <c r="A229">
        <v>26268</v>
      </c>
      <c r="B229" t="s">
        <v>91</v>
      </c>
      <c r="C229">
        <v>26</v>
      </c>
      <c r="D229">
        <v>54</v>
      </c>
      <c r="E229">
        <v>59.3</v>
      </c>
      <c r="F229">
        <v>18</v>
      </c>
      <c r="G229">
        <v>31.7</v>
      </c>
      <c r="H229">
        <v>4</v>
      </c>
      <c r="I229" t="s">
        <v>70</v>
      </c>
      <c r="J229">
        <v>54.988333333333301</v>
      </c>
      <c r="K229">
        <v>18.5283333333333</v>
      </c>
      <c r="L229" t="s">
        <v>76</v>
      </c>
      <c r="M229" t="s">
        <v>16</v>
      </c>
    </row>
    <row r="230" spans="1:13" x14ac:dyDescent="0.25">
      <c r="A230">
        <v>26269</v>
      </c>
      <c r="B230" t="s">
        <v>103</v>
      </c>
      <c r="C230">
        <v>26</v>
      </c>
      <c r="D230">
        <v>54</v>
      </c>
      <c r="E230">
        <v>36.700000000000003</v>
      </c>
      <c r="F230">
        <v>19</v>
      </c>
      <c r="G230">
        <v>9.1999999999999993</v>
      </c>
      <c r="H230">
        <v>5</v>
      </c>
      <c r="I230" t="s">
        <v>70</v>
      </c>
      <c r="J230">
        <v>54.6116666666667</v>
      </c>
      <c r="K230">
        <v>19.1533333333333</v>
      </c>
      <c r="L230" t="s">
        <v>76</v>
      </c>
      <c r="M230" t="s">
        <v>16</v>
      </c>
    </row>
    <row r="231" spans="1:13" x14ac:dyDescent="0.25">
      <c r="A231">
        <v>26273</v>
      </c>
      <c r="B231" t="s">
        <v>89</v>
      </c>
      <c r="C231">
        <v>26</v>
      </c>
      <c r="D231">
        <v>55</v>
      </c>
      <c r="E231">
        <v>7.9</v>
      </c>
      <c r="F231">
        <v>18</v>
      </c>
      <c r="G231">
        <v>43.4</v>
      </c>
      <c r="H231">
        <v>5</v>
      </c>
      <c r="I231" t="s">
        <v>70</v>
      </c>
      <c r="J231">
        <v>55.131666666666703</v>
      </c>
      <c r="K231">
        <v>18.723333333333301</v>
      </c>
      <c r="L231" t="s">
        <v>76</v>
      </c>
      <c r="M231" t="s">
        <v>16</v>
      </c>
    </row>
    <row r="232" spans="1:13" x14ac:dyDescent="0.25">
      <c r="A232">
        <v>26274</v>
      </c>
      <c r="B232" t="s">
        <v>91</v>
      </c>
      <c r="C232">
        <v>26</v>
      </c>
      <c r="D232">
        <v>54</v>
      </c>
      <c r="E232">
        <v>53.8</v>
      </c>
      <c r="F232">
        <v>18</v>
      </c>
      <c r="G232">
        <v>10.199999999999999</v>
      </c>
      <c r="H232">
        <v>2</v>
      </c>
      <c r="I232" t="s">
        <v>70</v>
      </c>
      <c r="J232">
        <v>54.896666666666697</v>
      </c>
      <c r="K232">
        <v>18.170000000000002</v>
      </c>
      <c r="L232" t="s">
        <v>76</v>
      </c>
      <c r="M232" t="s">
        <v>16</v>
      </c>
    </row>
    <row r="233" spans="1:13" x14ac:dyDescent="0.25">
      <c r="A233">
        <v>26278</v>
      </c>
      <c r="B233" t="s">
        <v>91</v>
      </c>
      <c r="C233">
        <v>26</v>
      </c>
      <c r="D233">
        <v>54</v>
      </c>
      <c r="E233">
        <v>59</v>
      </c>
      <c r="F233">
        <v>18</v>
      </c>
      <c r="G233">
        <v>46.2</v>
      </c>
      <c r="H233">
        <v>5</v>
      </c>
      <c r="I233" t="s">
        <v>70</v>
      </c>
      <c r="J233">
        <v>54.983333333333299</v>
      </c>
      <c r="K233">
        <v>18.77</v>
      </c>
      <c r="L233" t="s">
        <v>76</v>
      </c>
      <c r="M233" t="s">
        <v>16</v>
      </c>
    </row>
    <row r="234" spans="1:13" x14ac:dyDescent="0.25">
      <c r="A234">
        <v>26279</v>
      </c>
      <c r="B234" t="s">
        <v>91</v>
      </c>
      <c r="C234">
        <v>26</v>
      </c>
      <c r="D234">
        <v>54</v>
      </c>
      <c r="E234">
        <v>32.799999999999997</v>
      </c>
      <c r="F234">
        <v>18</v>
      </c>
      <c r="G234">
        <v>56.6</v>
      </c>
      <c r="H234">
        <v>4</v>
      </c>
      <c r="I234" t="s">
        <v>70</v>
      </c>
      <c r="J234">
        <v>54.546666666666702</v>
      </c>
      <c r="K234">
        <v>18.9433333333333</v>
      </c>
      <c r="L234" t="s">
        <v>76</v>
      </c>
      <c r="M234" t="s">
        <v>16</v>
      </c>
    </row>
    <row r="235" spans="1:13" x14ac:dyDescent="0.25">
      <c r="A235">
        <v>26280</v>
      </c>
      <c r="B235" t="s">
        <v>91</v>
      </c>
      <c r="C235">
        <v>26</v>
      </c>
      <c r="D235">
        <v>54</v>
      </c>
      <c r="E235">
        <v>29.6</v>
      </c>
      <c r="F235">
        <v>18</v>
      </c>
      <c r="G235">
        <v>53.4</v>
      </c>
      <c r="H235">
        <v>4</v>
      </c>
      <c r="I235" t="s">
        <v>70</v>
      </c>
      <c r="J235">
        <v>54.493333333333297</v>
      </c>
      <c r="K235">
        <v>18.89</v>
      </c>
      <c r="L235" t="s">
        <v>76</v>
      </c>
      <c r="M235" t="s">
        <v>16</v>
      </c>
    </row>
    <row r="236" spans="1:13" x14ac:dyDescent="0.25">
      <c r="A236">
        <v>26281</v>
      </c>
      <c r="B236" t="s">
        <v>90</v>
      </c>
      <c r="C236">
        <v>26</v>
      </c>
      <c r="D236">
        <v>54</v>
      </c>
      <c r="E236">
        <v>26.3</v>
      </c>
      <c r="F236">
        <v>19</v>
      </c>
      <c r="G236">
        <v>4</v>
      </c>
      <c r="H236">
        <v>3</v>
      </c>
      <c r="I236" t="s">
        <v>70</v>
      </c>
      <c r="J236">
        <v>54.438333333333297</v>
      </c>
      <c r="K236">
        <v>19.066666666666698</v>
      </c>
      <c r="L236" t="s">
        <v>76</v>
      </c>
      <c r="M236" t="s">
        <v>16</v>
      </c>
    </row>
    <row r="237" spans="1:13" x14ac:dyDescent="0.25">
      <c r="A237">
        <v>26282</v>
      </c>
      <c r="B237" t="s">
        <v>90</v>
      </c>
      <c r="C237">
        <v>26</v>
      </c>
      <c r="D237">
        <v>54</v>
      </c>
      <c r="E237">
        <v>25.3</v>
      </c>
      <c r="F237">
        <v>19</v>
      </c>
      <c r="G237">
        <v>3.9</v>
      </c>
      <c r="H237">
        <v>3</v>
      </c>
      <c r="I237" t="s">
        <v>70</v>
      </c>
      <c r="J237">
        <v>54.421666666666702</v>
      </c>
      <c r="K237">
        <v>19.065000000000001</v>
      </c>
      <c r="L237" t="s">
        <v>76</v>
      </c>
      <c r="M237" t="s">
        <v>16</v>
      </c>
    </row>
    <row r="238" spans="1:13" x14ac:dyDescent="0.25">
      <c r="A238">
        <v>26289</v>
      </c>
      <c r="B238" t="s">
        <v>90</v>
      </c>
      <c r="C238">
        <v>26</v>
      </c>
      <c r="D238">
        <v>54</v>
      </c>
      <c r="E238">
        <v>26.1</v>
      </c>
      <c r="F238">
        <v>19</v>
      </c>
      <c r="G238">
        <v>6.4</v>
      </c>
      <c r="H238">
        <v>3</v>
      </c>
      <c r="I238" t="s">
        <v>70</v>
      </c>
      <c r="J238">
        <v>54.435000000000002</v>
      </c>
      <c r="K238">
        <v>19.106666666666701</v>
      </c>
      <c r="L238" t="s">
        <v>76</v>
      </c>
      <c r="M238" t="s">
        <v>16</v>
      </c>
    </row>
    <row r="239" spans="1:13" x14ac:dyDescent="0.25">
      <c r="A239">
        <v>27003</v>
      </c>
      <c r="B239" t="s">
        <v>104</v>
      </c>
      <c r="C239">
        <v>27</v>
      </c>
      <c r="D239">
        <v>57</v>
      </c>
      <c r="E239">
        <v>24.8</v>
      </c>
      <c r="F239">
        <v>17</v>
      </c>
      <c r="G239">
        <v>1.5</v>
      </c>
      <c r="H239">
        <v>3</v>
      </c>
      <c r="I239" t="s">
        <v>67</v>
      </c>
      <c r="J239">
        <v>57.413333333333298</v>
      </c>
      <c r="K239">
        <v>17.024999999999999</v>
      </c>
      <c r="L239" t="s">
        <v>76</v>
      </c>
      <c r="M239" t="s">
        <v>17</v>
      </c>
    </row>
    <row r="240" spans="1:13" x14ac:dyDescent="0.25">
      <c r="A240">
        <v>27005</v>
      </c>
      <c r="B240" t="s">
        <v>133</v>
      </c>
      <c r="C240">
        <v>27</v>
      </c>
      <c r="D240">
        <v>56</v>
      </c>
      <c r="E240">
        <v>57.6</v>
      </c>
      <c r="F240">
        <v>17</v>
      </c>
      <c r="G240">
        <v>10.8</v>
      </c>
      <c r="H240">
        <v>5</v>
      </c>
      <c r="I240" t="s">
        <v>67</v>
      </c>
      <c r="J240">
        <v>56.96</v>
      </c>
      <c r="K240">
        <v>17.18</v>
      </c>
      <c r="L240" t="s">
        <v>76</v>
      </c>
      <c r="M240" t="s">
        <v>17</v>
      </c>
    </row>
    <row r="241" spans="1:13" x14ac:dyDescent="0.25">
      <c r="A241">
        <v>27007</v>
      </c>
      <c r="B241" t="s">
        <v>104</v>
      </c>
      <c r="C241">
        <v>27</v>
      </c>
      <c r="D241">
        <v>56</v>
      </c>
      <c r="E241">
        <v>59.35</v>
      </c>
      <c r="F241">
        <v>17</v>
      </c>
      <c r="G241">
        <v>56.63</v>
      </c>
      <c r="H241">
        <v>4</v>
      </c>
      <c r="I241" t="s">
        <v>67</v>
      </c>
      <c r="J241">
        <v>56.989166666666698</v>
      </c>
      <c r="K241">
        <v>17.943833333333298</v>
      </c>
      <c r="L241" t="s">
        <v>76</v>
      </c>
      <c r="M241" t="s">
        <v>17</v>
      </c>
    </row>
    <row r="242" spans="1:13" x14ac:dyDescent="0.25">
      <c r="A242">
        <v>27009</v>
      </c>
      <c r="B242" t="s">
        <v>104</v>
      </c>
      <c r="C242">
        <v>27</v>
      </c>
      <c r="D242">
        <v>57</v>
      </c>
      <c r="E242">
        <v>4</v>
      </c>
      <c r="F242">
        <v>17</v>
      </c>
      <c r="G242">
        <v>54</v>
      </c>
      <c r="H242">
        <v>4</v>
      </c>
      <c r="I242" t="s">
        <v>67</v>
      </c>
      <c r="J242">
        <v>57.066666666666698</v>
      </c>
      <c r="K242">
        <v>17.899999999999999</v>
      </c>
      <c r="L242" t="s">
        <v>76</v>
      </c>
      <c r="M242" t="s">
        <v>17</v>
      </c>
    </row>
    <row r="243" spans="1:13" x14ac:dyDescent="0.25">
      <c r="A243">
        <v>27011</v>
      </c>
      <c r="B243" t="s">
        <v>104</v>
      </c>
      <c r="C243">
        <v>27</v>
      </c>
      <c r="D243">
        <v>57</v>
      </c>
      <c r="E243">
        <v>27.5</v>
      </c>
      <c r="F243">
        <v>17</v>
      </c>
      <c r="G243">
        <v>32.799999999999997</v>
      </c>
      <c r="H243">
        <v>5</v>
      </c>
      <c r="I243" t="s">
        <v>67</v>
      </c>
      <c r="J243">
        <v>57.4583333333333</v>
      </c>
      <c r="K243">
        <v>17.546666666666699</v>
      </c>
      <c r="L243" t="s">
        <v>76</v>
      </c>
      <c r="M243" t="s">
        <v>17</v>
      </c>
    </row>
    <row r="244" spans="1:13" x14ac:dyDescent="0.25">
      <c r="A244">
        <v>27017</v>
      </c>
      <c r="B244" t="s">
        <v>104</v>
      </c>
      <c r="C244">
        <v>27</v>
      </c>
      <c r="D244">
        <v>57</v>
      </c>
      <c r="E244">
        <v>30</v>
      </c>
      <c r="F244">
        <v>17</v>
      </c>
      <c r="G244">
        <v>43</v>
      </c>
      <c r="H244">
        <v>5</v>
      </c>
      <c r="I244" t="s">
        <v>67</v>
      </c>
      <c r="J244">
        <v>57.5</v>
      </c>
      <c r="K244">
        <v>17.716666666666701</v>
      </c>
      <c r="L244" t="s">
        <v>76</v>
      </c>
      <c r="M244" t="s">
        <v>17</v>
      </c>
    </row>
    <row r="245" spans="1:13" x14ac:dyDescent="0.25">
      <c r="A245">
        <v>27019</v>
      </c>
      <c r="B245" t="s">
        <v>105</v>
      </c>
      <c r="C245">
        <v>27</v>
      </c>
      <c r="D245">
        <v>57</v>
      </c>
      <c r="E245">
        <v>42.8</v>
      </c>
      <c r="F245">
        <v>18</v>
      </c>
      <c r="G245">
        <v>16.2</v>
      </c>
      <c r="H245">
        <v>5</v>
      </c>
      <c r="I245" t="s">
        <v>67</v>
      </c>
      <c r="J245">
        <v>57.713333333333303</v>
      </c>
      <c r="K245">
        <v>18.27</v>
      </c>
      <c r="L245" t="s">
        <v>76</v>
      </c>
      <c r="M245" t="s">
        <v>17</v>
      </c>
    </row>
    <row r="246" spans="1:13" x14ac:dyDescent="0.25">
      <c r="A246">
        <v>27020</v>
      </c>
      <c r="B246" t="s">
        <v>134</v>
      </c>
      <c r="C246">
        <v>27</v>
      </c>
      <c r="D246">
        <v>57</v>
      </c>
      <c r="E246">
        <v>21.9</v>
      </c>
      <c r="F246">
        <v>16</v>
      </c>
      <c r="G246">
        <v>55.1</v>
      </c>
      <c r="H246">
        <v>3</v>
      </c>
      <c r="I246" t="s">
        <v>67</v>
      </c>
      <c r="J246">
        <v>57.365000000000002</v>
      </c>
      <c r="K246">
        <v>16.918333333333301</v>
      </c>
      <c r="L246" t="s">
        <v>76</v>
      </c>
      <c r="M246" t="s">
        <v>17</v>
      </c>
    </row>
    <row r="247" spans="1:13" x14ac:dyDescent="0.25">
      <c r="A247">
        <v>27022</v>
      </c>
      <c r="B247" t="s">
        <v>106</v>
      </c>
      <c r="C247">
        <v>27</v>
      </c>
      <c r="D247">
        <v>56</v>
      </c>
      <c r="E247">
        <v>42.2</v>
      </c>
      <c r="F247">
        <v>16</v>
      </c>
      <c r="G247">
        <v>59.1</v>
      </c>
      <c r="H247">
        <v>4</v>
      </c>
      <c r="I247" t="s">
        <v>67</v>
      </c>
      <c r="J247">
        <v>56.703333333333298</v>
      </c>
      <c r="K247">
        <v>16.984999999999999</v>
      </c>
      <c r="L247" t="s">
        <v>76</v>
      </c>
      <c r="M247" t="s">
        <v>17</v>
      </c>
    </row>
    <row r="248" spans="1:13" x14ac:dyDescent="0.25">
      <c r="A248">
        <v>27029</v>
      </c>
      <c r="B248" t="s">
        <v>104</v>
      </c>
      <c r="C248">
        <v>27</v>
      </c>
      <c r="D248">
        <v>57</v>
      </c>
      <c r="E248">
        <v>18.13</v>
      </c>
      <c r="F248">
        <v>17</v>
      </c>
      <c r="G248">
        <v>24.98</v>
      </c>
      <c r="H248">
        <v>4</v>
      </c>
      <c r="I248" t="s">
        <v>67</v>
      </c>
      <c r="J248">
        <v>57.3021666666667</v>
      </c>
      <c r="K248">
        <v>17.416333333333299</v>
      </c>
      <c r="L248" t="s">
        <v>76</v>
      </c>
      <c r="M248" t="s">
        <v>17</v>
      </c>
    </row>
    <row r="249" spans="1:13" x14ac:dyDescent="0.25">
      <c r="A249">
        <v>28002</v>
      </c>
      <c r="B249" t="s">
        <v>109</v>
      </c>
      <c r="C249">
        <v>28</v>
      </c>
      <c r="D249">
        <v>56</v>
      </c>
      <c r="E249">
        <v>36.5</v>
      </c>
      <c r="F249">
        <v>20</v>
      </c>
      <c r="G249">
        <v>41.3</v>
      </c>
      <c r="H249">
        <v>3</v>
      </c>
      <c r="I249" t="s">
        <v>97</v>
      </c>
      <c r="J249">
        <v>56.608333333333299</v>
      </c>
      <c r="K249">
        <v>20.688333333333301</v>
      </c>
      <c r="L249" t="s">
        <v>76</v>
      </c>
      <c r="M249" t="s">
        <v>18</v>
      </c>
    </row>
    <row r="250" spans="1:13" x14ac:dyDescent="0.25">
      <c r="A250">
        <v>28009</v>
      </c>
      <c r="B250" t="s">
        <v>108</v>
      </c>
      <c r="C250">
        <v>28</v>
      </c>
      <c r="D250">
        <v>57</v>
      </c>
      <c r="E250">
        <v>24.2</v>
      </c>
      <c r="F250">
        <v>21</v>
      </c>
      <c r="G250">
        <v>20.7</v>
      </c>
      <c r="H250">
        <v>2</v>
      </c>
      <c r="I250" t="s">
        <v>97</v>
      </c>
      <c r="J250">
        <v>57.4033333333333</v>
      </c>
      <c r="K250">
        <v>21.344999999999999</v>
      </c>
      <c r="L250" t="s">
        <v>76</v>
      </c>
      <c r="M250" t="s">
        <v>18</v>
      </c>
    </row>
    <row r="251" spans="1:13" x14ac:dyDescent="0.25">
      <c r="A251">
        <v>28016</v>
      </c>
      <c r="B251" t="s">
        <v>111</v>
      </c>
      <c r="C251">
        <v>28</v>
      </c>
      <c r="D251">
        <v>57</v>
      </c>
      <c r="E251">
        <v>10</v>
      </c>
      <c r="F251">
        <v>18</v>
      </c>
      <c r="G251">
        <v>51</v>
      </c>
      <c r="H251">
        <v>3</v>
      </c>
      <c r="I251" t="s">
        <v>67</v>
      </c>
      <c r="J251">
        <v>57.1666666666667</v>
      </c>
      <c r="K251">
        <v>18.850000000000001</v>
      </c>
      <c r="L251" t="s">
        <v>76</v>
      </c>
      <c r="M251" t="s">
        <v>17</v>
      </c>
    </row>
    <row r="252" spans="1:13" x14ac:dyDescent="0.25">
      <c r="A252">
        <v>28017</v>
      </c>
      <c r="B252" t="s">
        <v>107</v>
      </c>
      <c r="C252">
        <v>28</v>
      </c>
      <c r="D252">
        <v>57</v>
      </c>
      <c r="E252">
        <v>13.5</v>
      </c>
      <c r="F252">
        <v>20</v>
      </c>
      <c r="G252">
        <v>44.8</v>
      </c>
      <c r="H252">
        <v>3</v>
      </c>
      <c r="I252" t="s">
        <v>97</v>
      </c>
      <c r="J252">
        <v>57.225000000000001</v>
      </c>
      <c r="K252">
        <v>20.746666666666702</v>
      </c>
      <c r="L252" t="s">
        <v>76</v>
      </c>
      <c r="M252" t="s">
        <v>18</v>
      </c>
    </row>
    <row r="253" spans="1:13" x14ac:dyDescent="0.25">
      <c r="A253">
        <v>28023</v>
      </c>
      <c r="B253" t="s">
        <v>108</v>
      </c>
      <c r="C253">
        <v>28</v>
      </c>
      <c r="D253">
        <v>57</v>
      </c>
      <c r="E253">
        <v>25.7</v>
      </c>
      <c r="F253">
        <v>21</v>
      </c>
      <c r="G253">
        <v>16.600000000000001</v>
      </c>
      <c r="H253">
        <v>4</v>
      </c>
      <c r="I253" t="s">
        <v>97</v>
      </c>
      <c r="J253">
        <v>57.428333333333299</v>
      </c>
      <c r="K253">
        <v>21.276666666666699</v>
      </c>
      <c r="L253" t="s">
        <v>76</v>
      </c>
      <c r="M253" t="s">
        <v>18</v>
      </c>
    </row>
    <row r="254" spans="1:13" x14ac:dyDescent="0.25">
      <c r="A254">
        <v>28039</v>
      </c>
      <c r="B254" t="s">
        <v>107</v>
      </c>
      <c r="C254">
        <v>28</v>
      </c>
      <c r="D254">
        <v>57</v>
      </c>
      <c r="E254">
        <v>1.9</v>
      </c>
      <c r="F254">
        <v>20</v>
      </c>
      <c r="G254">
        <v>32.200000000000003</v>
      </c>
      <c r="H254">
        <v>5</v>
      </c>
      <c r="I254" t="s">
        <v>97</v>
      </c>
      <c r="J254">
        <v>57.031666666666702</v>
      </c>
      <c r="K254">
        <v>20.536666666666701</v>
      </c>
      <c r="L254" t="s">
        <v>76</v>
      </c>
      <c r="M254" t="s">
        <v>18</v>
      </c>
    </row>
    <row r="255" spans="1:13" x14ac:dyDescent="0.25">
      <c r="A255">
        <v>28049</v>
      </c>
      <c r="B255" t="s">
        <v>108</v>
      </c>
      <c r="C255">
        <v>28</v>
      </c>
      <c r="D255">
        <v>57</v>
      </c>
      <c r="E255">
        <v>13.5</v>
      </c>
      <c r="F255">
        <v>21</v>
      </c>
      <c r="G255">
        <v>2.2000000000000002</v>
      </c>
      <c r="H255">
        <v>3</v>
      </c>
      <c r="I255" t="s">
        <v>97</v>
      </c>
      <c r="J255">
        <v>57.225000000000001</v>
      </c>
      <c r="K255">
        <v>21.036666666666701</v>
      </c>
      <c r="L255" t="s">
        <v>76</v>
      </c>
      <c r="M255" t="s">
        <v>18</v>
      </c>
    </row>
    <row r="256" spans="1:13" x14ac:dyDescent="0.25">
      <c r="A256">
        <v>28051</v>
      </c>
      <c r="B256" t="s">
        <v>111</v>
      </c>
      <c r="C256">
        <v>28</v>
      </c>
      <c r="D256">
        <v>57</v>
      </c>
      <c r="E256">
        <v>21.2</v>
      </c>
      <c r="F256">
        <v>19</v>
      </c>
      <c r="G256">
        <v>9.1999999999999993</v>
      </c>
      <c r="H256">
        <v>4</v>
      </c>
      <c r="I256" t="s">
        <v>67</v>
      </c>
      <c r="J256">
        <v>57.353333333333303</v>
      </c>
      <c r="K256">
        <v>19.1533333333333</v>
      </c>
      <c r="L256" t="s">
        <v>76</v>
      </c>
      <c r="M256" t="s">
        <v>17</v>
      </c>
    </row>
    <row r="257" spans="1:13" x14ac:dyDescent="0.25">
      <c r="A257">
        <v>28053</v>
      </c>
      <c r="B257" t="s">
        <v>110</v>
      </c>
      <c r="C257">
        <v>28</v>
      </c>
      <c r="D257">
        <v>57</v>
      </c>
      <c r="E257">
        <v>32.1</v>
      </c>
      <c r="F257">
        <v>19</v>
      </c>
      <c r="G257">
        <v>17.5</v>
      </c>
      <c r="H257">
        <v>4</v>
      </c>
      <c r="I257" t="s">
        <v>67</v>
      </c>
      <c r="J257">
        <v>57.534999999999997</v>
      </c>
      <c r="K257">
        <v>19.2916666666667</v>
      </c>
      <c r="L257" t="s">
        <v>76</v>
      </c>
      <c r="M257" t="s">
        <v>17</v>
      </c>
    </row>
    <row r="258" spans="1:13" x14ac:dyDescent="0.25">
      <c r="A258">
        <v>28063</v>
      </c>
      <c r="B258" t="s">
        <v>109</v>
      </c>
      <c r="C258">
        <v>28</v>
      </c>
      <c r="D258">
        <v>56</v>
      </c>
      <c r="E258">
        <v>31.9</v>
      </c>
      <c r="F258">
        <v>20</v>
      </c>
      <c r="G258">
        <v>14.9</v>
      </c>
      <c r="H258">
        <v>5</v>
      </c>
      <c r="I258" t="s">
        <v>97</v>
      </c>
      <c r="J258">
        <v>56.531666666666702</v>
      </c>
      <c r="K258">
        <v>20.248333333333299</v>
      </c>
      <c r="L258" t="s">
        <v>76</v>
      </c>
      <c r="M258" t="s">
        <v>18</v>
      </c>
    </row>
    <row r="259" spans="1:13" x14ac:dyDescent="0.25">
      <c r="A259">
        <v>28067</v>
      </c>
      <c r="B259" t="s">
        <v>111</v>
      </c>
      <c r="C259">
        <v>28</v>
      </c>
      <c r="D259">
        <v>57</v>
      </c>
      <c r="E259">
        <v>6.5</v>
      </c>
      <c r="F259">
        <v>18</v>
      </c>
      <c r="G259">
        <v>57.1</v>
      </c>
      <c r="H259">
        <v>5</v>
      </c>
      <c r="I259" t="s">
        <v>67</v>
      </c>
      <c r="J259">
        <v>57.108333333333299</v>
      </c>
      <c r="K259">
        <v>18.9516666666667</v>
      </c>
      <c r="L259" t="s">
        <v>76</v>
      </c>
      <c r="M259" t="s">
        <v>17</v>
      </c>
    </row>
    <row r="260" spans="1:13" x14ac:dyDescent="0.25">
      <c r="A260">
        <v>28071</v>
      </c>
      <c r="B260" t="s">
        <v>111</v>
      </c>
      <c r="C260">
        <v>28</v>
      </c>
      <c r="D260">
        <v>57</v>
      </c>
      <c r="E260">
        <v>10</v>
      </c>
      <c r="F260">
        <v>19</v>
      </c>
      <c r="G260">
        <v>1.4</v>
      </c>
      <c r="H260">
        <v>5</v>
      </c>
      <c r="I260" t="s">
        <v>67</v>
      </c>
      <c r="J260">
        <v>57.1666666666667</v>
      </c>
      <c r="K260">
        <v>19.023333333333301</v>
      </c>
      <c r="L260" t="s">
        <v>76</v>
      </c>
      <c r="M260" t="s">
        <v>17</v>
      </c>
    </row>
    <row r="261" spans="1:13" x14ac:dyDescent="0.25">
      <c r="A261">
        <v>28074</v>
      </c>
      <c r="B261" t="s">
        <v>107</v>
      </c>
      <c r="C261">
        <v>28</v>
      </c>
      <c r="D261">
        <v>57</v>
      </c>
      <c r="E261">
        <v>10.5</v>
      </c>
      <c r="F261">
        <v>20</v>
      </c>
      <c r="G261">
        <v>35.200000000000003</v>
      </c>
      <c r="H261">
        <v>5</v>
      </c>
      <c r="I261" t="s">
        <v>97</v>
      </c>
      <c r="J261">
        <v>57.174999999999997</v>
      </c>
      <c r="K261">
        <v>20.586666666666702</v>
      </c>
      <c r="L261" t="s">
        <v>76</v>
      </c>
      <c r="M261" t="s">
        <v>18</v>
      </c>
    </row>
    <row r="262" spans="1:13" x14ac:dyDescent="0.25">
      <c r="A262">
        <v>28077</v>
      </c>
      <c r="B262" t="s">
        <v>135</v>
      </c>
      <c r="C262">
        <v>28</v>
      </c>
      <c r="D262">
        <v>58</v>
      </c>
      <c r="E262">
        <v>3</v>
      </c>
      <c r="F262">
        <v>21</v>
      </c>
      <c r="G262">
        <v>1</v>
      </c>
      <c r="H262">
        <v>4</v>
      </c>
      <c r="I262" t="s">
        <v>136</v>
      </c>
      <c r="J262">
        <v>58.05</v>
      </c>
      <c r="K262">
        <v>21.016666666666701</v>
      </c>
      <c r="L262" t="s">
        <v>76</v>
      </c>
      <c r="M262" t="s">
        <v>49</v>
      </c>
    </row>
    <row r="263" spans="1:13" x14ac:dyDescent="0.25">
      <c r="A263">
        <v>28078</v>
      </c>
      <c r="B263" t="s">
        <v>112</v>
      </c>
      <c r="C263">
        <v>28</v>
      </c>
      <c r="D263">
        <v>58</v>
      </c>
      <c r="E263">
        <v>3.4</v>
      </c>
      <c r="F263">
        <v>19</v>
      </c>
      <c r="G263">
        <v>27.9</v>
      </c>
      <c r="H263">
        <v>5</v>
      </c>
      <c r="I263" t="s">
        <v>67</v>
      </c>
      <c r="J263">
        <v>58.0566666666667</v>
      </c>
      <c r="K263">
        <v>19.465</v>
      </c>
      <c r="L263" t="s">
        <v>76</v>
      </c>
      <c r="M263" t="s">
        <v>17</v>
      </c>
    </row>
    <row r="264" spans="1:13" x14ac:dyDescent="0.25">
      <c r="A264">
        <v>28084</v>
      </c>
      <c r="B264" t="s">
        <v>109</v>
      </c>
      <c r="C264">
        <v>28</v>
      </c>
      <c r="D264">
        <v>56</v>
      </c>
      <c r="E264">
        <v>36</v>
      </c>
      <c r="F264">
        <v>20</v>
      </c>
      <c r="G264">
        <v>20.3</v>
      </c>
      <c r="H264">
        <v>5</v>
      </c>
      <c r="I264" t="s">
        <v>97</v>
      </c>
      <c r="J264">
        <v>56.6</v>
      </c>
      <c r="K264">
        <v>20.338333333333299</v>
      </c>
      <c r="L264" t="s">
        <v>76</v>
      </c>
      <c r="M264" t="s">
        <v>18</v>
      </c>
    </row>
    <row r="265" spans="1:13" x14ac:dyDescent="0.25">
      <c r="A265">
        <v>28085</v>
      </c>
      <c r="B265" t="s">
        <v>107</v>
      </c>
      <c r="C265">
        <v>28</v>
      </c>
      <c r="D265">
        <v>57</v>
      </c>
      <c r="E265">
        <v>18.3</v>
      </c>
      <c r="F265">
        <v>20</v>
      </c>
      <c r="G265">
        <v>17.5</v>
      </c>
      <c r="H265">
        <v>6</v>
      </c>
      <c r="I265" t="s">
        <v>97</v>
      </c>
      <c r="J265">
        <v>57.305</v>
      </c>
      <c r="K265">
        <v>20.2916666666667</v>
      </c>
      <c r="L265" t="s">
        <v>76</v>
      </c>
      <c r="M265" t="s">
        <v>18</v>
      </c>
    </row>
    <row r="266" spans="1:13" x14ac:dyDescent="0.25">
      <c r="A266">
        <v>28088</v>
      </c>
      <c r="B266" t="s">
        <v>107</v>
      </c>
      <c r="C266">
        <v>28</v>
      </c>
      <c r="D266">
        <v>57</v>
      </c>
      <c r="E266">
        <v>26.7</v>
      </c>
      <c r="F266">
        <v>20</v>
      </c>
      <c r="G266">
        <v>34.200000000000003</v>
      </c>
      <c r="H266">
        <v>6</v>
      </c>
      <c r="I266" t="s">
        <v>97</v>
      </c>
      <c r="J266">
        <v>57.445</v>
      </c>
      <c r="K266">
        <v>20.57</v>
      </c>
      <c r="L266" t="s">
        <v>76</v>
      </c>
      <c r="M266" t="s">
        <v>18</v>
      </c>
    </row>
    <row r="267" spans="1:13" x14ac:dyDescent="0.25">
      <c r="A267">
        <v>28090</v>
      </c>
      <c r="B267" t="s">
        <v>113</v>
      </c>
      <c r="C267">
        <v>28</v>
      </c>
      <c r="D267">
        <v>57</v>
      </c>
      <c r="E267">
        <v>45.9</v>
      </c>
      <c r="F267">
        <v>20</v>
      </c>
      <c r="G267">
        <v>42.4</v>
      </c>
      <c r="H267">
        <v>6</v>
      </c>
      <c r="I267" t="s">
        <v>97</v>
      </c>
      <c r="J267">
        <v>57.765000000000001</v>
      </c>
      <c r="K267">
        <v>20.706666666666699</v>
      </c>
      <c r="L267" t="s">
        <v>76</v>
      </c>
      <c r="M267" t="s">
        <v>18</v>
      </c>
    </row>
    <row r="268" spans="1:13" x14ac:dyDescent="0.25">
      <c r="A268">
        <v>28092</v>
      </c>
      <c r="B268" t="s">
        <v>107</v>
      </c>
      <c r="C268">
        <v>28</v>
      </c>
      <c r="D268">
        <v>57</v>
      </c>
      <c r="E268">
        <v>20.399999999999999</v>
      </c>
      <c r="F268">
        <v>20</v>
      </c>
      <c r="G268">
        <v>35.6</v>
      </c>
      <c r="H268">
        <v>5</v>
      </c>
      <c r="I268" t="s">
        <v>97</v>
      </c>
      <c r="J268">
        <v>57.34</v>
      </c>
      <c r="K268">
        <v>20.593333333333302</v>
      </c>
      <c r="L268" t="s">
        <v>76</v>
      </c>
      <c r="M268" t="s">
        <v>18</v>
      </c>
    </row>
    <row r="269" spans="1:13" x14ac:dyDescent="0.25">
      <c r="A269">
        <v>28093</v>
      </c>
      <c r="B269" t="s">
        <v>108</v>
      </c>
      <c r="C269">
        <v>28</v>
      </c>
      <c r="D269">
        <v>57</v>
      </c>
      <c r="E269">
        <v>29.3</v>
      </c>
      <c r="F269">
        <v>21</v>
      </c>
      <c r="G269">
        <v>26.2</v>
      </c>
      <c r="H269">
        <v>2</v>
      </c>
      <c r="I269" t="s">
        <v>97</v>
      </c>
      <c r="J269">
        <v>57.488333333333301</v>
      </c>
      <c r="K269">
        <v>21.436666666666699</v>
      </c>
      <c r="L269" t="s">
        <v>76</v>
      </c>
      <c r="M269" t="s">
        <v>18</v>
      </c>
    </row>
    <row r="270" spans="1:13" x14ac:dyDescent="0.25">
      <c r="A270">
        <v>28094</v>
      </c>
      <c r="B270" t="s">
        <v>109</v>
      </c>
      <c r="C270">
        <v>28</v>
      </c>
      <c r="D270">
        <v>56</v>
      </c>
      <c r="E270">
        <v>56.4</v>
      </c>
      <c r="F270">
        <v>20</v>
      </c>
      <c r="G270">
        <v>23</v>
      </c>
      <c r="H270">
        <v>5</v>
      </c>
      <c r="I270" t="s">
        <v>97</v>
      </c>
      <c r="J270">
        <v>56.94</v>
      </c>
      <c r="K270">
        <v>20.383333333333301</v>
      </c>
      <c r="L270" t="s">
        <v>76</v>
      </c>
      <c r="M270" t="s">
        <v>18</v>
      </c>
    </row>
    <row r="271" spans="1:13" x14ac:dyDescent="0.25">
      <c r="A271">
        <v>28096</v>
      </c>
      <c r="B271" t="s">
        <v>111</v>
      </c>
      <c r="C271">
        <v>28</v>
      </c>
      <c r="D271">
        <v>57</v>
      </c>
      <c r="E271">
        <v>9.6</v>
      </c>
      <c r="F271">
        <v>18</v>
      </c>
      <c r="G271">
        <v>48.5</v>
      </c>
      <c r="H271">
        <v>3</v>
      </c>
      <c r="I271" t="s">
        <v>67</v>
      </c>
      <c r="J271">
        <v>57.16</v>
      </c>
      <c r="K271">
        <v>18.808333333333302</v>
      </c>
      <c r="L271" t="s">
        <v>76</v>
      </c>
      <c r="M271" t="s">
        <v>17</v>
      </c>
    </row>
    <row r="272" spans="1:13" x14ac:dyDescent="0.25">
      <c r="A272">
        <v>28097</v>
      </c>
      <c r="B272" t="s">
        <v>110</v>
      </c>
      <c r="C272">
        <v>28</v>
      </c>
      <c r="D272">
        <v>57</v>
      </c>
      <c r="E272">
        <v>52.5</v>
      </c>
      <c r="F272">
        <v>19</v>
      </c>
      <c r="G272">
        <v>25.6</v>
      </c>
      <c r="H272">
        <v>3</v>
      </c>
      <c r="I272" t="s">
        <v>67</v>
      </c>
      <c r="J272">
        <v>57.875</v>
      </c>
      <c r="K272">
        <v>19.426666666666701</v>
      </c>
      <c r="L272" t="s">
        <v>76</v>
      </c>
      <c r="M272" t="s">
        <v>17</v>
      </c>
    </row>
    <row r="273" spans="1:13" x14ac:dyDescent="0.25">
      <c r="A273">
        <v>28098</v>
      </c>
      <c r="B273" t="s">
        <v>111</v>
      </c>
      <c r="C273">
        <v>28</v>
      </c>
      <c r="D273">
        <v>57</v>
      </c>
      <c r="E273">
        <v>20.2</v>
      </c>
      <c r="F273">
        <v>19</v>
      </c>
      <c r="G273">
        <v>8.1</v>
      </c>
      <c r="H273">
        <v>5</v>
      </c>
      <c r="I273" t="s">
        <v>67</v>
      </c>
      <c r="J273">
        <v>57.336666666666702</v>
      </c>
      <c r="K273">
        <v>19.135000000000002</v>
      </c>
      <c r="L273" t="s">
        <v>76</v>
      </c>
      <c r="M273" t="s">
        <v>17</v>
      </c>
    </row>
    <row r="274" spans="1:13" x14ac:dyDescent="0.25">
      <c r="A274">
        <v>28099</v>
      </c>
      <c r="B274" t="s">
        <v>110</v>
      </c>
      <c r="C274">
        <v>28</v>
      </c>
      <c r="D274">
        <v>57</v>
      </c>
      <c r="E274">
        <v>48.8</v>
      </c>
      <c r="F274">
        <v>19</v>
      </c>
      <c r="G274">
        <v>32</v>
      </c>
      <c r="H274">
        <v>5</v>
      </c>
      <c r="I274" t="s">
        <v>67</v>
      </c>
      <c r="J274">
        <v>57.813333333333297</v>
      </c>
      <c r="K274">
        <v>19.533333333333299</v>
      </c>
      <c r="L274" t="s">
        <v>76</v>
      </c>
      <c r="M274" t="s">
        <v>17</v>
      </c>
    </row>
    <row r="275" spans="1:13" x14ac:dyDescent="0.25">
      <c r="A275">
        <v>28112</v>
      </c>
      <c r="B275" t="s">
        <v>114</v>
      </c>
      <c r="C275">
        <v>28</v>
      </c>
      <c r="D275">
        <v>57</v>
      </c>
      <c r="E275">
        <v>53</v>
      </c>
      <c r="F275">
        <v>21</v>
      </c>
      <c r="G275">
        <v>18.5</v>
      </c>
      <c r="H275">
        <v>4</v>
      </c>
      <c r="I275" t="s">
        <v>136</v>
      </c>
      <c r="J275">
        <v>57.883333333333297</v>
      </c>
      <c r="K275">
        <v>21.308333333333302</v>
      </c>
      <c r="L275" t="s">
        <v>76</v>
      </c>
      <c r="M275" t="s">
        <v>49</v>
      </c>
    </row>
    <row r="276" spans="1:13" x14ac:dyDescent="0.25">
      <c r="A276">
        <v>28136</v>
      </c>
      <c r="B276" t="s">
        <v>108</v>
      </c>
      <c r="C276">
        <v>28</v>
      </c>
      <c r="D276">
        <v>57</v>
      </c>
      <c r="E276">
        <v>1.86</v>
      </c>
      <c r="F276">
        <v>21</v>
      </c>
      <c r="G276">
        <v>5.66</v>
      </c>
      <c r="H276">
        <v>2</v>
      </c>
      <c r="I276" t="s">
        <v>97</v>
      </c>
      <c r="J276">
        <v>57.030999999999999</v>
      </c>
      <c r="K276">
        <v>21.094333333333299</v>
      </c>
      <c r="L276" t="s">
        <v>76</v>
      </c>
      <c r="M276" t="s">
        <v>18</v>
      </c>
    </row>
    <row r="277" spans="1:13" x14ac:dyDescent="0.25">
      <c r="A277">
        <v>28138</v>
      </c>
      <c r="B277" t="s">
        <v>108</v>
      </c>
      <c r="C277">
        <v>28</v>
      </c>
      <c r="D277">
        <v>57</v>
      </c>
      <c r="E277">
        <v>4.05</v>
      </c>
      <c r="F277">
        <v>21</v>
      </c>
      <c r="G277">
        <v>7.77</v>
      </c>
      <c r="H277">
        <v>2</v>
      </c>
      <c r="I277" t="s">
        <v>97</v>
      </c>
      <c r="J277">
        <v>57.067500000000003</v>
      </c>
      <c r="K277">
        <v>21.1295</v>
      </c>
      <c r="L277" t="s">
        <v>76</v>
      </c>
      <c r="M277" t="s">
        <v>18</v>
      </c>
    </row>
    <row r="278" spans="1:13" x14ac:dyDescent="0.25">
      <c r="A278">
        <v>28157</v>
      </c>
      <c r="B278" t="s">
        <v>109</v>
      </c>
      <c r="C278">
        <v>28</v>
      </c>
      <c r="D278">
        <v>56</v>
      </c>
      <c r="E278">
        <v>39.380000000000003</v>
      </c>
      <c r="F278">
        <v>20</v>
      </c>
      <c r="G278">
        <v>45.92</v>
      </c>
      <c r="H278">
        <v>2</v>
      </c>
      <c r="I278" t="s">
        <v>97</v>
      </c>
      <c r="J278">
        <v>56.656333333333301</v>
      </c>
      <c r="K278">
        <v>20.765333333333299</v>
      </c>
      <c r="L278" t="s">
        <v>76</v>
      </c>
      <c r="M278" t="s">
        <v>18</v>
      </c>
    </row>
    <row r="279" spans="1:13" x14ac:dyDescent="0.25">
      <c r="A279">
        <v>28161</v>
      </c>
      <c r="B279" t="s">
        <v>109</v>
      </c>
      <c r="C279">
        <v>28</v>
      </c>
      <c r="D279">
        <v>56</v>
      </c>
      <c r="E279">
        <v>38.1</v>
      </c>
      <c r="F279">
        <v>20</v>
      </c>
      <c r="G279">
        <v>43.9</v>
      </c>
      <c r="H279">
        <v>2</v>
      </c>
      <c r="I279" t="s">
        <v>97</v>
      </c>
      <c r="J279">
        <v>56.634999999999998</v>
      </c>
      <c r="K279">
        <v>20.731666666666701</v>
      </c>
      <c r="L279" t="s">
        <v>76</v>
      </c>
      <c r="M279" t="s">
        <v>18</v>
      </c>
    </row>
    <row r="280" spans="1:13" x14ac:dyDescent="0.25">
      <c r="A280">
        <v>28190</v>
      </c>
      <c r="B280" t="s">
        <v>113</v>
      </c>
      <c r="C280">
        <v>28</v>
      </c>
      <c r="D280">
        <v>57</v>
      </c>
      <c r="E280">
        <v>58.9</v>
      </c>
      <c r="F280">
        <v>20</v>
      </c>
      <c r="G280">
        <v>58.43</v>
      </c>
      <c r="H280">
        <v>5</v>
      </c>
      <c r="I280" t="s">
        <v>136</v>
      </c>
      <c r="J280">
        <v>57.981666666666698</v>
      </c>
      <c r="K280">
        <v>20.9738333333333</v>
      </c>
      <c r="L280" t="s">
        <v>76</v>
      </c>
      <c r="M280" t="s">
        <v>49</v>
      </c>
    </row>
    <row r="281" spans="1:13" x14ac:dyDescent="0.25">
      <c r="A281">
        <v>24008</v>
      </c>
      <c r="B281" t="s">
        <v>68</v>
      </c>
      <c r="C281">
        <v>24</v>
      </c>
      <c r="D281">
        <v>54</v>
      </c>
      <c r="E281">
        <v>30.01</v>
      </c>
      <c r="F281">
        <v>13</v>
      </c>
      <c r="G281">
        <v>58.73</v>
      </c>
      <c r="H281">
        <v>2</v>
      </c>
      <c r="I281" t="s">
        <v>52</v>
      </c>
      <c r="J281">
        <v>54.500166666666701</v>
      </c>
      <c r="K281">
        <v>13.9788333333333</v>
      </c>
      <c r="L281" t="s">
        <v>53</v>
      </c>
      <c r="M281" t="s">
        <v>13</v>
      </c>
    </row>
    <row r="282" spans="1:13" x14ac:dyDescent="0.25">
      <c r="A282">
        <v>24009</v>
      </c>
      <c r="B282" t="s">
        <v>68</v>
      </c>
      <c r="C282">
        <v>24</v>
      </c>
      <c r="D282">
        <v>54</v>
      </c>
      <c r="E282">
        <v>31.54</v>
      </c>
      <c r="F282">
        <v>13</v>
      </c>
      <c r="G282">
        <v>57.76</v>
      </c>
      <c r="H282">
        <v>2</v>
      </c>
      <c r="I282" t="s">
        <v>52</v>
      </c>
      <c r="J282">
        <v>54.525666666666702</v>
      </c>
      <c r="K282">
        <v>13.962666666666699</v>
      </c>
      <c r="L282" t="s">
        <v>53</v>
      </c>
      <c r="M282" t="s">
        <v>13</v>
      </c>
    </row>
    <row r="283" spans="1:13" x14ac:dyDescent="0.25">
      <c r="A283">
        <v>24021</v>
      </c>
      <c r="B283" t="s">
        <v>68</v>
      </c>
      <c r="C283">
        <v>24</v>
      </c>
      <c r="D283">
        <v>54</v>
      </c>
      <c r="E283">
        <v>29.57</v>
      </c>
      <c r="F283">
        <v>13</v>
      </c>
      <c r="G283">
        <v>43.66</v>
      </c>
      <c r="H283">
        <v>2</v>
      </c>
      <c r="I283" t="s">
        <v>52</v>
      </c>
      <c r="J283">
        <v>54.492833333333301</v>
      </c>
      <c r="K283">
        <v>13.7276666666667</v>
      </c>
      <c r="L283" t="s">
        <v>53</v>
      </c>
      <c r="M283" t="s">
        <v>13</v>
      </c>
    </row>
    <row r="284" spans="1:13" x14ac:dyDescent="0.25">
      <c r="A284">
        <v>24280</v>
      </c>
      <c r="B284" t="s">
        <v>65</v>
      </c>
      <c r="C284">
        <v>24</v>
      </c>
      <c r="D284">
        <v>54</v>
      </c>
      <c r="E284">
        <v>41.32</v>
      </c>
      <c r="F284">
        <v>12</v>
      </c>
      <c r="G284">
        <v>11.83</v>
      </c>
      <c r="H284">
        <v>2</v>
      </c>
      <c r="I284" t="s">
        <v>57</v>
      </c>
      <c r="J284">
        <v>54.688666666666698</v>
      </c>
      <c r="K284">
        <v>12.1971666666667</v>
      </c>
      <c r="L284" t="s">
        <v>53</v>
      </c>
      <c r="M284" t="s">
        <v>13</v>
      </c>
    </row>
    <row r="285" spans="1:13" x14ac:dyDescent="0.25">
      <c r="A285">
        <v>24281</v>
      </c>
      <c r="B285" t="s">
        <v>65</v>
      </c>
      <c r="C285">
        <v>24</v>
      </c>
      <c r="D285">
        <v>54</v>
      </c>
      <c r="E285">
        <v>50.68</v>
      </c>
      <c r="F285">
        <v>12</v>
      </c>
      <c r="G285">
        <v>40.729999999999997</v>
      </c>
      <c r="H285">
        <v>2</v>
      </c>
      <c r="I285" t="s">
        <v>57</v>
      </c>
      <c r="J285">
        <v>54.844666666666697</v>
      </c>
      <c r="K285">
        <v>12.6788333333333</v>
      </c>
      <c r="L285" t="s">
        <v>53</v>
      </c>
      <c r="M285" t="s">
        <v>13</v>
      </c>
    </row>
    <row r="286" spans="1:13" x14ac:dyDescent="0.25">
      <c r="A286">
        <v>25380</v>
      </c>
      <c r="B286" t="s">
        <v>82</v>
      </c>
      <c r="C286">
        <v>25</v>
      </c>
      <c r="D286">
        <v>55</v>
      </c>
      <c r="E286">
        <v>38.5</v>
      </c>
      <c r="F286">
        <v>17</v>
      </c>
      <c r="G286">
        <v>37.799999999999997</v>
      </c>
      <c r="H286">
        <v>3</v>
      </c>
      <c r="I286" t="s">
        <v>70</v>
      </c>
      <c r="J286">
        <v>55.641666666666701</v>
      </c>
      <c r="K286">
        <v>17.63</v>
      </c>
      <c r="L286" t="s">
        <v>76</v>
      </c>
      <c r="M286" t="s">
        <v>15</v>
      </c>
    </row>
    <row r="287" spans="1:13" x14ac:dyDescent="0.25">
      <c r="A287">
        <v>25403</v>
      </c>
      <c r="B287" t="s">
        <v>82</v>
      </c>
      <c r="C287">
        <v>25</v>
      </c>
      <c r="D287">
        <v>55</v>
      </c>
      <c r="E287">
        <v>51.93</v>
      </c>
      <c r="F287">
        <v>16</v>
      </c>
      <c r="G287">
        <v>26.14</v>
      </c>
      <c r="H287">
        <v>3</v>
      </c>
      <c r="I287" t="s">
        <v>67</v>
      </c>
      <c r="J287">
        <v>55.865499999999997</v>
      </c>
      <c r="K287">
        <v>16.435666666666702</v>
      </c>
      <c r="L287" t="s">
        <v>76</v>
      </c>
      <c r="M287" t="s">
        <v>15</v>
      </c>
    </row>
    <row r="288" spans="1:13" x14ac:dyDescent="0.25">
      <c r="A288">
        <v>25416</v>
      </c>
      <c r="B288" t="s">
        <v>88</v>
      </c>
      <c r="C288">
        <v>25</v>
      </c>
      <c r="D288">
        <v>55</v>
      </c>
      <c r="E288">
        <v>41.56</v>
      </c>
      <c r="F288">
        <v>14</v>
      </c>
      <c r="G288">
        <v>22.75</v>
      </c>
      <c r="H288">
        <v>3</v>
      </c>
      <c r="I288" t="s">
        <v>67</v>
      </c>
      <c r="J288">
        <v>55.692666666666703</v>
      </c>
      <c r="K288">
        <v>14.3791666666667</v>
      </c>
      <c r="L288" t="s">
        <v>76</v>
      </c>
      <c r="M288" t="s">
        <v>17</v>
      </c>
    </row>
    <row r="289" spans="1:13" x14ac:dyDescent="0.25">
      <c r="A289">
        <v>25421</v>
      </c>
      <c r="B289" t="s">
        <v>88</v>
      </c>
      <c r="C289">
        <v>25</v>
      </c>
      <c r="D289">
        <v>55</v>
      </c>
      <c r="E289">
        <v>41.2</v>
      </c>
      <c r="F289">
        <v>14</v>
      </c>
      <c r="G289">
        <v>27.3</v>
      </c>
      <c r="H289">
        <v>3</v>
      </c>
      <c r="I289" t="s">
        <v>67</v>
      </c>
      <c r="J289">
        <v>55.686666666666703</v>
      </c>
      <c r="K289">
        <v>14.455</v>
      </c>
      <c r="L289" t="s">
        <v>76</v>
      </c>
      <c r="M289" t="s">
        <v>17</v>
      </c>
    </row>
    <row r="290" spans="1:13" x14ac:dyDescent="0.25">
      <c r="A290">
        <v>26086</v>
      </c>
      <c r="B290" t="s">
        <v>91</v>
      </c>
      <c r="C290">
        <v>26</v>
      </c>
      <c r="D290">
        <v>54</v>
      </c>
      <c r="E290">
        <v>58.5</v>
      </c>
      <c r="F290">
        <v>18</v>
      </c>
      <c r="G290">
        <v>48</v>
      </c>
      <c r="H290">
        <v>5</v>
      </c>
      <c r="I290" t="s">
        <v>70</v>
      </c>
      <c r="J290">
        <v>54.975000000000001</v>
      </c>
      <c r="K290">
        <v>18.8</v>
      </c>
      <c r="L290" t="s">
        <v>76</v>
      </c>
      <c r="M290" t="s">
        <v>16</v>
      </c>
    </row>
    <row r="291" spans="1:13" x14ac:dyDescent="0.25">
      <c r="A291">
        <v>26160</v>
      </c>
      <c r="B291" t="s">
        <v>98</v>
      </c>
      <c r="C291">
        <v>26</v>
      </c>
      <c r="D291">
        <v>56</v>
      </c>
      <c r="E291">
        <v>28.864999999999998</v>
      </c>
      <c r="F291">
        <v>20</v>
      </c>
      <c r="G291">
        <v>7.94</v>
      </c>
      <c r="H291">
        <v>5</v>
      </c>
      <c r="I291" t="s">
        <v>97</v>
      </c>
      <c r="J291">
        <v>56.481083333333302</v>
      </c>
      <c r="K291">
        <v>20.1323333333333</v>
      </c>
      <c r="L291" t="s">
        <v>76</v>
      </c>
      <c r="M291" t="s">
        <v>18</v>
      </c>
    </row>
    <row r="292" spans="1:13" x14ac:dyDescent="0.25">
      <c r="A292">
        <v>26164</v>
      </c>
      <c r="B292" t="s">
        <v>95</v>
      </c>
      <c r="C292">
        <v>26</v>
      </c>
      <c r="D292">
        <v>55</v>
      </c>
      <c r="E292">
        <v>31.7</v>
      </c>
      <c r="F292">
        <v>18</v>
      </c>
      <c r="G292">
        <v>33</v>
      </c>
      <c r="H292">
        <v>5</v>
      </c>
      <c r="I292" t="s">
        <v>70</v>
      </c>
      <c r="J292">
        <v>55.5283333333333</v>
      </c>
      <c r="K292">
        <v>18.55</v>
      </c>
      <c r="L292" t="s">
        <v>76</v>
      </c>
      <c r="M292" t="s">
        <v>16</v>
      </c>
    </row>
    <row r="293" spans="1:13" x14ac:dyDescent="0.25">
      <c r="A293">
        <v>26287</v>
      </c>
      <c r="B293" t="s">
        <v>103</v>
      </c>
      <c r="C293">
        <v>26</v>
      </c>
      <c r="D293">
        <v>54</v>
      </c>
      <c r="E293">
        <v>36.700000000000003</v>
      </c>
      <c r="F293">
        <v>19</v>
      </c>
      <c r="G293">
        <v>2.1</v>
      </c>
      <c r="H293">
        <v>5</v>
      </c>
      <c r="I293" t="s">
        <v>70</v>
      </c>
      <c r="J293">
        <v>54.6116666666667</v>
      </c>
      <c r="K293">
        <v>19.035</v>
      </c>
      <c r="L293" t="s">
        <v>76</v>
      </c>
      <c r="M293" t="s">
        <v>16</v>
      </c>
    </row>
    <row r="294" spans="1:13" x14ac:dyDescent="0.25">
      <c r="A294">
        <v>28011</v>
      </c>
      <c r="B294" t="s">
        <v>109</v>
      </c>
      <c r="C294">
        <v>28</v>
      </c>
      <c r="D294">
        <v>56</v>
      </c>
      <c r="E294">
        <v>37.799999999999997</v>
      </c>
      <c r="F294">
        <v>20</v>
      </c>
      <c r="G294">
        <v>38</v>
      </c>
      <c r="H294">
        <v>3</v>
      </c>
      <c r="I294" t="s">
        <v>97</v>
      </c>
      <c r="J294">
        <v>56.63</v>
      </c>
      <c r="K294">
        <v>20.633333333333301</v>
      </c>
      <c r="L294" t="s">
        <v>76</v>
      </c>
      <c r="M294" t="s">
        <v>18</v>
      </c>
    </row>
    <row r="295" spans="1:13" x14ac:dyDescent="0.25">
      <c r="A295">
        <v>28160</v>
      </c>
      <c r="B295" t="s">
        <v>109</v>
      </c>
      <c r="C295">
        <v>28</v>
      </c>
      <c r="D295">
        <v>56</v>
      </c>
      <c r="E295">
        <v>36.49</v>
      </c>
      <c r="F295">
        <v>20</v>
      </c>
      <c r="G295">
        <v>41.28</v>
      </c>
      <c r="H295">
        <v>3</v>
      </c>
      <c r="I295" t="s">
        <v>97</v>
      </c>
      <c r="J295">
        <v>56.608166666666698</v>
      </c>
      <c r="K295">
        <v>20.687999999999999</v>
      </c>
      <c r="L295" t="s">
        <v>76</v>
      </c>
      <c r="M295" t="s">
        <v>18</v>
      </c>
    </row>
    <row r="296" spans="1:13" x14ac:dyDescent="0.25">
      <c r="A296">
        <v>28173</v>
      </c>
      <c r="B296" t="s">
        <v>109</v>
      </c>
      <c r="C296">
        <v>28</v>
      </c>
      <c r="D296">
        <v>56</v>
      </c>
      <c r="E296">
        <v>38.85</v>
      </c>
      <c r="F296">
        <v>20</v>
      </c>
      <c r="G296">
        <v>36.28</v>
      </c>
      <c r="H296">
        <v>3</v>
      </c>
      <c r="I296" t="s">
        <v>97</v>
      </c>
      <c r="J296">
        <v>56.647500000000001</v>
      </c>
      <c r="K296">
        <v>20.604666666666699</v>
      </c>
      <c r="L296" t="s">
        <v>76</v>
      </c>
      <c r="M296" t="s">
        <v>18</v>
      </c>
    </row>
    <row r="297" spans="1:1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</sheetData>
  <autoFilter ref="A1:M29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T314"/>
  <sheetViews>
    <sheetView zoomScale="60" zoomScaleNormal="60" workbookViewId="0">
      <pane ySplit="4" topLeftCell="A272" activePane="bottomLeft" state="frozen"/>
      <selection activeCell="H1" sqref="H1"/>
      <selection pane="bottomLeft" activeCell="N318" sqref="N318"/>
    </sheetView>
  </sheetViews>
  <sheetFormatPr defaultRowHeight="15" x14ac:dyDescent="0.25"/>
  <cols>
    <col min="1" max="1" width="19.5703125" bestFit="1" customWidth="1"/>
    <col min="2" max="2" width="19.5703125" customWidth="1"/>
    <col min="7" max="7" width="7.28515625" bestFit="1" customWidth="1"/>
    <col min="8" max="8" width="15.140625" customWidth="1"/>
    <col min="9" max="9" width="15.5703125" bestFit="1" customWidth="1"/>
    <col min="11" max="11" width="10" style="14" customWidth="1"/>
    <col min="12" max="13" width="9.7109375" style="14" customWidth="1"/>
    <col min="14" max="14" width="12" style="14" customWidth="1"/>
    <col min="15" max="15" width="9.140625" style="14" customWidth="1"/>
    <col min="16" max="16" width="10.5703125" style="14" customWidth="1"/>
    <col min="17" max="17" width="8.140625" style="14" customWidth="1"/>
    <col min="18" max="18" width="11.140625" style="14" customWidth="1"/>
    <col min="19" max="19" width="8.42578125" style="14" customWidth="1"/>
    <col min="20" max="20" width="12" style="14" customWidth="1"/>
    <col min="21" max="21" width="7.85546875" style="14" customWidth="1"/>
    <col min="22" max="22" width="11.42578125" style="14" customWidth="1"/>
    <col min="23" max="23" width="12.42578125" style="14" customWidth="1"/>
    <col min="24" max="24" width="10.5703125" style="14" customWidth="1"/>
    <col min="25" max="25" width="8.42578125" style="14" customWidth="1"/>
    <col min="26" max="26" width="11.140625" style="14" customWidth="1"/>
    <col min="27" max="27" width="9.140625" style="14"/>
    <col min="28" max="28" width="10.7109375" style="14" customWidth="1"/>
    <col min="29" max="29" width="10.28515625" style="14" customWidth="1"/>
    <col min="30" max="30" width="10.42578125" style="14" customWidth="1"/>
    <col min="38" max="38" width="13.28515625" customWidth="1"/>
    <col min="39" max="39" width="9.5703125" customWidth="1"/>
    <col min="42" max="42" width="8.7109375" customWidth="1"/>
  </cols>
  <sheetData>
    <row r="1" spans="1:46" x14ac:dyDescent="0.25">
      <c r="C1" t="s">
        <v>29</v>
      </c>
      <c r="D1" s="4">
        <f>'Cover sheet'!B3</f>
        <v>1</v>
      </c>
      <c r="E1" s="4"/>
    </row>
    <row r="2" spans="1:46" hidden="1" x14ac:dyDescent="0.25">
      <c r="K2" s="15" t="s">
        <v>14</v>
      </c>
      <c r="L2" s="16"/>
      <c r="M2" s="14" t="s">
        <v>15</v>
      </c>
      <c r="O2" s="14" t="s">
        <v>17</v>
      </c>
      <c r="Q2" s="14" t="s">
        <v>48</v>
      </c>
      <c r="S2" s="14" t="s">
        <v>16</v>
      </c>
      <c r="U2" s="14" t="s">
        <v>18</v>
      </c>
      <c r="W2" s="14" t="s">
        <v>49</v>
      </c>
      <c r="Y2" s="14" t="s">
        <v>13</v>
      </c>
      <c r="AA2" s="14" t="s">
        <v>20</v>
      </c>
      <c r="AC2" s="14" t="s">
        <v>19</v>
      </c>
    </row>
    <row r="3" spans="1:46" x14ac:dyDescent="0.25">
      <c r="K3" s="31" t="s">
        <v>34</v>
      </c>
      <c r="L3" s="29"/>
      <c r="M3" s="29" t="s">
        <v>35</v>
      </c>
      <c r="N3" s="29"/>
      <c r="O3" s="29" t="s">
        <v>36</v>
      </c>
      <c r="P3" s="29"/>
      <c r="Q3" s="29" t="s">
        <v>42</v>
      </c>
      <c r="R3" s="29"/>
      <c r="S3" s="29" t="s">
        <v>37</v>
      </c>
      <c r="T3" s="29"/>
      <c r="U3" s="29" t="s">
        <v>38</v>
      </c>
      <c r="V3" s="29"/>
      <c r="W3" s="29" t="s">
        <v>39</v>
      </c>
      <c r="X3" s="29"/>
      <c r="Y3" s="29" t="s">
        <v>43</v>
      </c>
      <c r="Z3" s="29"/>
      <c r="AA3" s="29" t="s">
        <v>40</v>
      </c>
      <c r="AB3" s="29"/>
      <c r="AC3" s="29" t="s">
        <v>41</v>
      </c>
      <c r="AD3" s="30"/>
    </row>
    <row r="4" spans="1:46" x14ac:dyDescent="0.2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">
        <v>131</v>
      </c>
      <c r="F4" t="str">
        <f>'Final list of total hauls pros'!B1</f>
        <v>RectangleAlpha</v>
      </c>
      <c r="G4" t="str">
        <f>'Final list of total hauls pros'!I1</f>
        <v>EEZ</v>
      </c>
      <c r="H4" t="str">
        <f>'Final list of total hauls pros'!L1</f>
        <v>codstock</v>
      </c>
      <c r="I4" t="s">
        <v>47</v>
      </c>
      <c r="K4" s="17" t="s">
        <v>45</v>
      </c>
      <c r="L4" s="18" t="s">
        <v>46</v>
      </c>
      <c r="M4" s="18" t="s">
        <v>45</v>
      </c>
      <c r="N4" s="18" t="s">
        <v>46</v>
      </c>
      <c r="O4" s="18" t="s">
        <v>45</v>
      </c>
      <c r="P4" s="18" t="s">
        <v>46</v>
      </c>
      <c r="Q4" s="18" t="s">
        <v>45</v>
      </c>
      <c r="R4" s="18" t="s">
        <v>46</v>
      </c>
      <c r="S4" s="18" t="s">
        <v>45</v>
      </c>
      <c r="T4" s="18" t="s">
        <v>46</v>
      </c>
      <c r="U4" s="18" t="s">
        <v>45</v>
      </c>
      <c r="V4" s="18" t="s">
        <v>46</v>
      </c>
      <c r="W4" s="18" t="s">
        <v>45</v>
      </c>
      <c r="X4" s="18" t="s">
        <v>46</v>
      </c>
      <c r="Y4" s="18" t="s">
        <v>45</v>
      </c>
      <c r="Z4" s="18" t="s">
        <v>46</v>
      </c>
      <c r="AA4" s="18" t="s">
        <v>45</v>
      </c>
      <c r="AB4" s="18" t="s">
        <v>46</v>
      </c>
      <c r="AC4" s="18" t="s">
        <v>45</v>
      </c>
      <c r="AD4" s="19" t="s">
        <v>46</v>
      </c>
      <c r="AG4" s="27" t="s">
        <v>24</v>
      </c>
      <c r="AK4" s="7" t="s">
        <v>34</v>
      </c>
      <c r="AL4" s="8" t="s">
        <v>35</v>
      </c>
      <c r="AM4" s="8" t="s">
        <v>36</v>
      </c>
      <c r="AN4" s="8" t="s">
        <v>42</v>
      </c>
      <c r="AO4" s="8" t="s">
        <v>37</v>
      </c>
      <c r="AP4" s="8" t="s">
        <v>38</v>
      </c>
      <c r="AQ4" s="8" t="s">
        <v>39</v>
      </c>
      <c r="AR4" s="8" t="s">
        <v>43</v>
      </c>
      <c r="AS4" s="8" t="s">
        <v>40</v>
      </c>
      <c r="AT4" s="9" t="s">
        <v>41</v>
      </c>
    </row>
    <row r="5" spans="1:46" ht="18.75" x14ac:dyDescent="0.25">
      <c r="A5" s="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22002</v>
      </c>
      <c r="E5" t="str">
        <f t="shared" ref="E5:E68" si="0">IF(D5&lt;&gt;"",LEFT(D5,2),"")</f>
        <v>22</v>
      </c>
      <c r="F5" t="str">
        <f>'Final list of total hauls pros'!B2</f>
        <v>37G1</v>
      </c>
      <c r="G5" t="str">
        <f>'Final list of total hauls pros'!I2</f>
        <v>GFR</v>
      </c>
      <c r="H5" t="str">
        <f>'Final list of total hauls pros'!L2</f>
        <v>21-24</v>
      </c>
      <c r="I5" t="str">
        <f>IF(L5="+",$K$2,IF(N5="+",$M$2,IF(P5="+",$O$2,IF(R5="+",$Q$2,IF(T5="+",$S$2,IF(V5="+",$U$2,IF(X5="+",$W$2,IF(Z5="+",$Y$2,IF(AB5="+",$AA$2,IF(AD5="+",$AC$2,B5))))))))))</f>
        <v>GFR (SD 21-24)</v>
      </c>
      <c r="K5" s="20" t="str">
        <f>IF(L5="+",1,IF(L5="-","",IF(L5="",AK5)))</f>
        <v/>
      </c>
      <c r="L5" s="23"/>
      <c r="M5" s="21" t="str">
        <f>IF(N5="+",1,IF(N5="-","",IF(N5="",AL5)))</f>
        <v/>
      </c>
      <c r="N5" s="23"/>
      <c r="O5" s="21" t="str">
        <f>IF(P5="+",1,IF(P5="-","",IF(P5="",AM5)))</f>
        <v/>
      </c>
      <c r="P5" s="23"/>
      <c r="Q5" s="21" t="str">
        <f>IF(R5="+",1,IF(R5="-","",IF(R5="",AN5)))</f>
        <v/>
      </c>
      <c r="R5" s="23"/>
      <c r="S5" s="21" t="str">
        <f>IF(T5="+",1,IF(T5="-","",IF(T5="",AO5)))</f>
        <v/>
      </c>
      <c r="T5" s="23"/>
      <c r="U5" s="21" t="str">
        <f>IF(V5="+",1,IF(V5="-","",IF(V5="",AP5)))</f>
        <v/>
      </c>
      <c r="V5" s="23"/>
      <c r="W5" s="21" t="str">
        <f>IF(X5="+",1,IF(X5="-","",IF(X5="",AQ5)))</f>
        <v/>
      </c>
      <c r="X5" s="23"/>
      <c r="Y5" s="21">
        <f>IF(Z5="+",1,IF(Z5="-","",IF(Z5="",AR5)))</f>
        <v>1</v>
      </c>
      <c r="Z5" s="23"/>
      <c r="AA5" s="21" t="str">
        <f>IF(AB5="+",1,IF(AB5="-","",IF(AB5="",AS5)))</f>
        <v/>
      </c>
      <c r="AB5" s="23"/>
      <c r="AC5" s="21" t="str">
        <f>IF(AD5="+",1,IF(AD5="-","",IF(AD5="",AT5)))</f>
        <v/>
      </c>
      <c r="AD5" s="23"/>
      <c r="AG5" s="24" t="str">
        <f>IF(SUM(K5:AC5)&lt;&gt;1,"FEJL","")</f>
        <v/>
      </c>
      <c r="AK5" s="10" t="str">
        <f t="shared" ref="AK5:AK68" si="1">IF(B5="DEN (SD 21-24)",1,"")</f>
        <v/>
      </c>
      <c r="AL5" s="11" t="str">
        <f t="shared" ref="AL5:AL68" si="2">IF(B5="DEN (SD 25-32)",1,"")</f>
        <v/>
      </c>
      <c r="AM5" s="11" t="str">
        <f t="shared" ref="AM5:AM68" si="3">IF(B5="SWE (SD 25-32)",1,"")</f>
        <v/>
      </c>
      <c r="AN5" s="11" t="str">
        <f t="shared" ref="AN5:AN68" si="4">IF(B5="POL (SD 21-24)",1,"")</f>
        <v/>
      </c>
      <c r="AO5" s="11" t="str">
        <f t="shared" ref="AO5:AO68" si="5">IF(B5="POL (SD 25-32)",1,"")</f>
        <v/>
      </c>
      <c r="AP5" s="11" t="str">
        <f t="shared" ref="AP5:AP68" si="6">IF(B5="LAT (SD 25-32)",1,"")</f>
        <v/>
      </c>
      <c r="AQ5" s="11" t="str">
        <f t="shared" ref="AQ5:AQ68" si="7">IF(B5="EST (SD 25-32)",1,"")</f>
        <v/>
      </c>
      <c r="AR5" s="11">
        <f t="shared" ref="AR5:AR68" si="8">IF(B5="GFR (SD 21-24)",1,"")</f>
        <v>1</v>
      </c>
      <c r="AS5" s="11" t="str">
        <f t="shared" ref="AS5:AS68" si="9">IF(B5="LTU (SD 25-32)",1,"")</f>
        <v/>
      </c>
      <c r="AT5" s="12" t="str">
        <f t="shared" ref="AT5:AT68" si="10">IF(B5="RUS (SD 25-32)",1,"")</f>
        <v/>
      </c>
    </row>
    <row r="6" spans="1:46" ht="18.75" x14ac:dyDescent="0.25">
      <c r="A6" s="5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22008</v>
      </c>
      <c r="E6" t="str">
        <f t="shared" si="0"/>
        <v>22</v>
      </c>
      <c r="F6" t="str">
        <f>'Final list of total hauls pros'!B3</f>
        <v>37G1</v>
      </c>
      <c r="G6" t="str">
        <f>'Final list of total hauls pros'!I3</f>
        <v>GFR</v>
      </c>
      <c r="H6" t="str">
        <f>'Final list of total hauls pros'!L3</f>
        <v>21-24</v>
      </c>
      <c r="I6" t="str">
        <f t="shared" ref="I6:I69" si="11">IF(L6="+",$K$2,IF(N6="+",$M$2,IF(P6="+",$O$2,IF(R6="+",$Q$2,IF(T6="+",$S$2,IF(V6="+",$U$2,IF(X6="+",$W$2,IF(Z6="+",$Y$2,IF(AB6="+",$AA$2,IF(AD6="+",$AC$2,B6))))))))))</f>
        <v>GFR (SD 21-24)</v>
      </c>
      <c r="K6" s="20" t="str">
        <f t="shared" ref="K6:K24" si="12">IF(L6="+",1,IF(L6="-","",IF(L6="",AK6)))</f>
        <v/>
      </c>
      <c r="L6" s="23"/>
      <c r="M6" s="21" t="str">
        <f t="shared" ref="M6:M24" si="13">IF(N6="+",1,IF(N6="-","",IF(N6="",AL6)))</f>
        <v/>
      </c>
      <c r="N6" s="23"/>
      <c r="O6" s="21" t="str">
        <f t="shared" ref="O6:O24" si="14">IF(P6="+",1,IF(P6="-","",IF(P6="",AM6)))</f>
        <v/>
      </c>
      <c r="P6" s="23"/>
      <c r="Q6" s="21" t="str">
        <f t="shared" ref="Q6:Q24" si="15">IF(R6="+",1,IF(R6="-","",IF(R6="",AN6)))</f>
        <v/>
      </c>
      <c r="R6" s="23"/>
      <c r="S6" s="21" t="str">
        <f t="shared" ref="S6:S24" si="16">IF(T6="+",1,IF(T6="-","",IF(T6="",AO6)))</f>
        <v/>
      </c>
      <c r="T6" s="23"/>
      <c r="U6" s="21" t="str">
        <f t="shared" ref="U6:U24" si="17">IF(V6="+",1,IF(V6="-","",IF(V6="",AP6)))</f>
        <v/>
      </c>
      <c r="V6" s="23"/>
      <c r="W6" s="21" t="str">
        <f t="shared" ref="W6:W24" si="18">IF(X6="+",1,IF(X6="-","",IF(X6="",AQ6)))</f>
        <v/>
      </c>
      <c r="X6" s="23"/>
      <c r="Y6" s="21">
        <f t="shared" ref="Y6:Y24" si="19">IF(Z6="+",1,IF(Z6="-","",IF(Z6="",AR6)))</f>
        <v>1</v>
      </c>
      <c r="Z6" s="23"/>
      <c r="AA6" s="21" t="str">
        <f t="shared" ref="AA6:AA24" si="20">IF(AB6="+",1,IF(AB6="-","",IF(AB6="",AS6)))</f>
        <v/>
      </c>
      <c r="AB6" s="23"/>
      <c r="AC6" s="21" t="str">
        <f t="shared" ref="AC6:AC24" si="21">IF(AD6="+",1,IF(AD6="-","",IF(AD6="",AT6)))</f>
        <v/>
      </c>
      <c r="AD6" s="23"/>
      <c r="AG6" s="25" t="str">
        <f t="shared" ref="AG6:AG69" si="22">IF(SUM(K6:AC6)&lt;&gt;1,"FEJL","")</f>
        <v/>
      </c>
      <c r="AK6" s="10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 t="str">
        <f t="shared" si="7"/>
        <v/>
      </c>
      <c r="AR6" s="11">
        <f t="shared" si="8"/>
        <v>1</v>
      </c>
      <c r="AS6" s="11" t="str">
        <f t="shared" si="9"/>
        <v/>
      </c>
      <c r="AT6" s="12" t="str">
        <f t="shared" si="10"/>
        <v/>
      </c>
    </row>
    <row r="7" spans="1:46" ht="18.75" x14ac:dyDescent="0.25">
      <c r="A7" s="5" t="s">
        <v>26</v>
      </c>
      <c r="B7" t="str">
        <f>'Final list of total hauls pros'!M4</f>
        <v>DEN (SD 21-24)</v>
      </c>
      <c r="C7">
        <v>3</v>
      </c>
      <c r="D7">
        <f>'Final list of total hauls pros'!A4</f>
        <v>22018</v>
      </c>
      <c r="E7" t="str">
        <f t="shared" si="0"/>
        <v>22</v>
      </c>
      <c r="F7" t="str">
        <f>'Final list of total hauls pros'!B4</f>
        <v>39G1</v>
      </c>
      <c r="G7" t="str">
        <f>'Final list of total hauls pros'!I4</f>
        <v>DEN</v>
      </c>
      <c r="H7" t="str">
        <f>'Final list of total hauls pros'!L4</f>
        <v>21-24</v>
      </c>
      <c r="I7" t="str">
        <f t="shared" si="11"/>
        <v>DEN (SD 21-24)</v>
      </c>
      <c r="K7" s="20">
        <f t="shared" si="12"/>
        <v>1</v>
      </c>
      <c r="L7" s="23"/>
      <c r="M7" s="21" t="str">
        <f t="shared" si="13"/>
        <v/>
      </c>
      <c r="N7" s="23"/>
      <c r="O7" s="21" t="str">
        <f t="shared" si="14"/>
        <v/>
      </c>
      <c r="P7" s="23"/>
      <c r="Q7" s="21" t="str">
        <f t="shared" si="15"/>
        <v/>
      </c>
      <c r="R7" s="23"/>
      <c r="S7" s="21" t="str">
        <f t="shared" si="16"/>
        <v/>
      </c>
      <c r="T7" s="23"/>
      <c r="U7" s="21" t="str">
        <f t="shared" si="17"/>
        <v/>
      </c>
      <c r="V7" s="23"/>
      <c r="W7" s="21" t="str">
        <f t="shared" si="18"/>
        <v/>
      </c>
      <c r="X7" s="23"/>
      <c r="Y7" s="21" t="str">
        <f t="shared" si="19"/>
        <v/>
      </c>
      <c r="Z7" s="23"/>
      <c r="AA7" s="21" t="str">
        <f t="shared" si="20"/>
        <v/>
      </c>
      <c r="AB7" s="23"/>
      <c r="AC7" s="21" t="str">
        <f t="shared" si="21"/>
        <v/>
      </c>
      <c r="AD7" s="23"/>
      <c r="AG7" s="25" t="str">
        <f t="shared" si="22"/>
        <v/>
      </c>
      <c r="AK7" s="10">
        <f t="shared" si="1"/>
        <v>1</v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 t="str">
        <f t="shared" si="8"/>
        <v/>
      </c>
      <c r="AS7" s="11" t="str">
        <f t="shared" si="9"/>
        <v/>
      </c>
      <c r="AT7" s="12" t="str">
        <f t="shared" si="10"/>
        <v/>
      </c>
    </row>
    <row r="8" spans="1:46" ht="18.75" x14ac:dyDescent="0.25">
      <c r="A8" s="5" t="s">
        <v>26</v>
      </c>
      <c r="B8" t="str">
        <f>'Final list of total hauls pros'!M5</f>
        <v>DEN (SD 21-24)</v>
      </c>
      <c r="C8">
        <v>4</v>
      </c>
      <c r="D8">
        <f>'Final list of total hauls pros'!A5</f>
        <v>22020</v>
      </c>
      <c r="E8" t="str">
        <f t="shared" si="0"/>
        <v>22</v>
      </c>
      <c r="F8" t="str">
        <f>'Final list of total hauls pros'!B5</f>
        <v>39G0</v>
      </c>
      <c r="G8" t="str">
        <f>'Final list of total hauls pros'!I5</f>
        <v>DEN</v>
      </c>
      <c r="H8" t="str">
        <f>'Final list of total hauls pros'!L5</f>
        <v>21-24</v>
      </c>
      <c r="I8" t="str">
        <f t="shared" si="11"/>
        <v>DEN (SD 21-24)</v>
      </c>
      <c r="K8" s="20">
        <f t="shared" si="12"/>
        <v>1</v>
      </c>
      <c r="L8" s="23"/>
      <c r="M8" s="21" t="str">
        <f t="shared" si="13"/>
        <v/>
      </c>
      <c r="N8" s="23"/>
      <c r="O8" s="21" t="str">
        <f t="shared" si="14"/>
        <v/>
      </c>
      <c r="P8" s="23"/>
      <c r="Q8" s="21" t="str">
        <f t="shared" si="15"/>
        <v/>
      </c>
      <c r="R8" s="23"/>
      <c r="S8" s="21" t="str">
        <f t="shared" si="16"/>
        <v/>
      </c>
      <c r="T8" s="23"/>
      <c r="U8" s="21" t="str">
        <f t="shared" si="17"/>
        <v/>
      </c>
      <c r="V8" s="23"/>
      <c r="W8" s="21" t="str">
        <f t="shared" si="18"/>
        <v/>
      </c>
      <c r="X8" s="23"/>
      <c r="Y8" s="21" t="str">
        <f t="shared" si="19"/>
        <v/>
      </c>
      <c r="Z8" s="23"/>
      <c r="AA8" s="21" t="str">
        <f t="shared" si="20"/>
        <v/>
      </c>
      <c r="AB8" s="23"/>
      <c r="AC8" s="21" t="str">
        <f t="shared" si="21"/>
        <v/>
      </c>
      <c r="AD8" s="23"/>
      <c r="AG8" s="25" t="str">
        <f t="shared" si="22"/>
        <v/>
      </c>
      <c r="AK8" s="10">
        <f t="shared" si="1"/>
        <v>1</v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1" t="str">
        <f t="shared" si="9"/>
        <v/>
      </c>
      <c r="AT8" s="12" t="str">
        <f t="shared" si="10"/>
        <v/>
      </c>
    </row>
    <row r="9" spans="1:46" ht="18.75" x14ac:dyDescent="0.25">
      <c r="A9" s="5" t="s">
        <v>26</v>
      </c>
      <c r="B9" t="str">
        <f>'Final list of total hauls pros'!M6</f>
        <v>DEN (SD 21-24)</v>
      </c>
      <c r="C9">
        <v>5</v>
      </c>
      <c r="D9">
        <f>'Final list of total hauls pros'!A6</f>
        <v>22023</v>
      </c>
      <c r="E9" t="str">
        <f t="shared" si="0"/>
        <v>22</v>
      </c>
      <c r="F9" t="str">
        <f>'Final list of total hauls pros'!B6</f>
        <v>39G1</v>
      </c>
      <c r="G9" t="str">
        <f>'Final list of total hauls pros'!I6</f>
        <v>DEN</v>
      </c>
      <c r="H9" t="str">
        <f>'Final list of total hauls pros'!L6</f>
        <v>21-24</v>
      </c>
      <c r="I9" t="str">
        <f t="shared" si="11"/>
        <v>DEN (SD 21-24)</v>
      </c>
      <c r="K9" s="20">
        <f t="shared" si="12"/>
        <v>1</v>
      </c>
      <c r="L9" s="23"/>
      <c r="M9" s="21" t="str">
        <f t="shared" si="13"/>
        <v/>
      </c>
      <c r="N9" s="23"/>
      <c r="O9" s="21" t="str">
        <f t="shared" si="14"/>
        <v/>
      </c>
      <c r="P9" s="23"/>
      <c r="Q9" s="21" t="str">
        <f t="shared" si="15"/>
        <v/>
      </c>
      <c r="R9" s="23"/>
      <c r="S9" s="21" t="str">
        <f t="shared" si="16"/>
        <v/>
      </c>
      <c r="T9" s="23"/>
      <c r="U9" s="21" t="str">
        <f t="shared" si="17"/>
        <v/>
      </c>
      <c r="V9" s="23"/>
      <c r="W9" s="21" t="str">
        <f t="shared" si="18"/>
        <v/>
      </c>
      <c r="X9" s="23"/>
      <c r="Y9" s="21" t="str">
        <f t="shared" si="19"/>
        <v/>
      </c>
      <c r="Z9" s="23"/>
      <c r="AA9" s="21" t="str">
        <f t="shared" si="20"/>
        <v/>
      </c>
      <c r="AB9" s="23"/>
      <c r="AC9" s="21" t="str">
        <f t="shared" si="21"/>
        <v/>
      </c>
      <c r="AD9" s="23"/>
      <c r="AG9" s="25" t="str">
        <f t="shared" si="22"/>
        <v/>
      </c>
      <c r="AK9" s="10">
        <f t="shared" si="1"/>
        <v>1</v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1" t="str">
        <f t="shared" si="9"/>
        <v/>
      </c>
      <c r="AT9" s="12" t="str">
        <f t="shared" si="10"/>
        <v/>
      </c>
    </row>
    <row r="10" spans="1:46" ht="18.75" x14ac:dyDescent="0.25">
      <c r="A10" s="5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22024</v>
      </c>
      <c r="E10" t="str">
        <f t="shared" si="0"/>
        <v>22</v>
      </c>
      <c r="F10" t="str">
        <f>'Final list of total hauls pros'!B7</f>
        <v>39F9</v>
      </c>
      <c r="G10" t="str">
        <f>'Final list of total hauls pros'!I7</f>
        <v>DEN</v>
      </c>
      <c r="H10" t="str">
        <f>'Final list of total hauls pros'!L7</f>
        <v>21-24</v>
      </c>
      <c r="I10" t="str">
        <f t="shared" si="11"/>
        <v>DEN (SD 21-24)</v>
      </c>
      <c r="K10" s="20">
        <f t="shared" si="12"/>
        <v>1</v>
      </c>
      <c r="L10" s="23"/>
      <c r="M10" s="21" t="str">
        <f t="shared" si="13"/>
        <v/>
      </c>
      <c r="N10" s="23"/>
      <c r="O10" s="21" t="str">
        <f t="shared" si="14"/>
        <v/>
      </c>
      <c r="P10" s="23"/>
      <c r="Q10" s="21" t="str">
        <f t="shared" si="15"/>
        <v/>
      </c>
      <c r="R10" s="23"/>
      <c r="S10" s="21" t="str">
        <f t="shared" si="16"/>
        <v/>
      </c>
      <c r="T10" s="23"/>
      <c r="U10" s="21" t="str">
        <f t="shared" si="17"/>
        <v/>
      </c>
      <c r="V10" s="23"/>
      <c r="W10" s="21" t="str">
        <f t="shared" si="18"/>
        <v/>
      </c>
      <c r="X10" s="23"/>
      <c r="Y10" s="21" t="str">
        <f t="shared" si="19"/>
        <v/>
      </c>
      <c r="Z10" s="23"/>
      <c r="AA10" s="21" t="str">
        <f t="shared" si="20"/>
        <v/>
      </c>
      <c r="AB10" s="23"/>
      <c r="AC10" s="21" t="str">
        <f t="shared" si="21"/>
        <v/>
      </c>
      <c r="AD10" s="23"/>
      <c r="AG10" s="25" t="str">
        <f t="shared" si="22"/>
        <v/>
      </c>
      <c r="AK10" s="10">
        <f t="shared" si="1"/>
        <v>1</v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1" t="str">
        <f t="shared" si="9"/>
        <v/>
      </c>
      <c r="AT10" s="12" t="str">
        <f t="shared" si="10"/>
        <v/>
      </c>
    </row>
    <row r="11" spans="1:46" ht="18.75" x14ac:dyDescent="0.25">
      <c r="A11" s="5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22025</v>
      </c>
      <c r="E11" t="str">
        <f t="shared" si="0"/>
        <v>22</v>
      </c>
      <c r="F11" t="str">
        <f>'Final list of total hauls pros'!B8</f>
        <v>39G0</v>
      </c>
      <c r="G11" t="str">
        <f>'Final list of total hauls pros'!I8</f>
        <v>DEN</v>
      </c>
      <c r="H11" t="str">
        <f>'Final list of total hauls pros'!L8</f>
        <v>21-24</v>
      </c>
      <c r="I11" t="str">
        <f t="shared" si="11"/>
        <v>DEN (SD 21-24)</v>
      </c>
      <c r="K11" s="20">
        <f t="shared" si="12"/>
        <v>1</v>
      </c>
      <c r="L11" s="23"/>
      <c r="M11" s="21" t="str">
        <f t="shared" si="13"/>
        <v/>
      </c>
      <c r="N11" s="23"/>
      <c r="O11" s="21" t="str">
        <f t="shared" si="14"/>
        <v/>
      </c>
      <c r="P11" s="23"/>
      <c r="Q11" s="21" t="str">
        <f t="shared" si="15"/>
        <v/>
      </c>
      <c r="R11" s="23"/>
      <c r="S11" s="21" t="str">
        <f t="shared" si="16"/>
        <v/>
      </c>
      <c r="T11" s="23"/>
      <c r="U11" s="21" t="str">
        <f t="shared" si="17"/>
        <v/>
      </c>
      <c r="V11" s="23"/>
      <c r="W11" s="21" t="str">
        <f t="shared" si="18"/>
        <v/>
      </c>
      <c r="X11" s="23"/>
      <c r="Y11" s="21" t="str">
        <f t="shared" si="19"/>
        <v/>
      </c>
      <c r="Z11" s="23"/>
      <c r="AA11" s="21" t="str">
        <f t="shared" si="20"/>
        <v/>
      </c>
      <c r="AB11" s="23"/>
      <c r="AC11" s="21" t="str">
        <f t="shared" si="21"/>
        <v/>
      </c>
      <c r="AD11" s="23"/>
      <c r="AG11" s="25" t="str">
        <f t="shared" si="22"/>
        <v/>
      </c>
      <c r="AK11" s="10">
        <f t="shared" si="1"/>
        <v>1</v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1" t="str">
        <f t="shared" si="9"/>
        <v/>
      </c>
      <c r="AT11" s="12" t="str">
        <f t="shared" si="10"/>
        <v/>
      </c>
    </row>
    <row r="12" spans="1:46" ht="18.75" x14ac:dyDescent="0.25">
      <c r="A12" s="5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22026</v>
      </c>
      <c r="E12" t="str">
        <f t="shared" si="0"/>
        <v>22</v>
      </c>
      <c r="F12" t="str">
        <f>'Final list of total hauls pros'!B9</f>
        <v>39G0</v>
      </c>
      <c r="G12" t="str">
        <f>'Final list of total hauls pros'!I9</f>
        <v>DEN</v>
      </c>
      <c r="H12" t="str">
        <f>'Final list of total hauls pros'!L9</f>
        <v>21-24</v>
      </c>
      <c r="I12" t="str">
        <f t="shared" si="11"/>
        <v>DEN (SD 21-24)</v>
      </c>
      <c r="K12" s="20">
        <f t="shared" si="12"/>
        <v>1</v>
      </c>
      <c r="L12" s="23"/>
      <c r="M12" s="21" t="str">
        <f t="shared" si="13"/>
        <v/>
      </c>
      <c r="N12" s="23"/>
      <c r="O12" s="21" t="str">
        <f t="shared" si="14"/>
        <v/>
      </c>
      <c r="P12" s="23"/>
      <c r="Q12" s="21" t="str">
        <f t="shared" si="15"/>
        <v/>
      </c>
      <c r="R12" s="23"/>
      <c r="S12" s="21" t="str">
        <f t="shared" si="16"/>
        <v/>
      </c>
      <c r="T12" s="23"/>
      <c r="U12" s="21" t="str">
        <f t="shared" si="17"/>
        <v/>
      </c>
      <c r="V12" s="23"/>
      <c r="W12" s="21" t="str">
        <f t="shared" si="18"/>
        <v/>
      </c>
      <c r="X12" s="23"/>
      <c r="Y12" s="21" t="str">
        <f t="shared" si="19"/>
        <v/>
      </c>
      <c r="Z12" s="23"/>
      <c r="AA12" s="21" t="str">
        <f t="shared" si="20"/>
        <v/>
      </c>
      <c r="AB12" s="23"/>
      <c r="AC12" s="21" t="str">
        <f t="shared" si="21"/>
        <v/>
      </c>
      <c r="AD12" s="23"/>
      <c r="AG12" s="25" t="str">
        <f t="shared" si="22"/>
        <v/>
      </c>
      <c r="AK12" s="10">
        <f t="shared" si="1"/>
        <v>1</v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1" t="str">
        <f t="shared" si="9"/>
        <v/>
      </c>
      <c r="AT12" s="12" t="str">
        <f t="shared" si="10"/>
        <v/>
      </c>
    </row>
    <row r="13" spans="1:46" ht="18.75" x14ac:dyDescent="0.25">
      <c r="A13" s="5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22027</v>
      </c>
      <c r="E13" t="str">
        <f t="shared" si="0"/>
        <v>22</v>
      </c>
      <c r="F13" t="str">
        <f>'Final list of total hauls pros'!B10</f>
        <v>40G0</v>
      </c>
      <c r="G13" t="str">
        <f>'Final list of total hauls pros'!I10</f>
        <v>DEN</v>
      </c>
      <c r="H13" t="str">
        <f>'Final list of total hauls pros'!L10</f>
        <v>21-24</v>
      </c>
      <c r="I13" t="str">
        <f t="shared" si="11"/>
        <v>DEN (SD 21-24)</v>
      </c>
      <c r="K13" s="20">
        <f t="shared" si="12"/>
        <v>1</v>
      </c>
      <c r="L13" s="23"/>
      <c r="M13" s="21" t="str">
        <f t="shared" si="13"/>
        <v/>
      </c>
      <c r="N13" s="23"/>
      <c r="O13" s="21" t="str">
        <f t="shared" si="14"/>
        <v/>
      </c>
      <c r="P13" s="23"/>
      <c r="Q13" s="21" t="str">
        <f t="shared" si="15"/>
        <v/>
      </c>
      <c r="R13" s="23"/>
      <c r="S13" s="21" t="str">
        <f t="shared" si="16"/>
        <v/>
      </c>
      <c r="T13" s="23"/>
      <c r="U13" s="21" t="str">
        <f t="shared" si="17"/>
        <v/>
      </c>
      <c r="V13" s="23"/>
      <c r="W13" s="21" t="str">
        <f t="shared" si="18"/>
        <v/>
      </c>
      <c r="X13" s="23"/>
      <c r="Y13" s="21" t="str">
        <f t="shared" si="19"/>
        <v/>
      </c>
      <c r="Z13" s="23"/>
      <c r="AA13" s="21" t="str">
        <f t="shared" si="20"/>
        <v/>
      </c>
      <c r="AB13" s="23"/>
      <c r="AC13" s="21" t="str">
        <f t="shared" si="21"/>
        <v/>
      </c>
      <c r="AD13" s="23"/>
      <c r="AG13" s="25" t="str">
        <f t="shared" si="22"/>
        <v/>
      </c>
      <c r="AK13" s="10">
        <f t="shared" si="1"/>
        <v>1</v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1" t="str">
        <f t="shared" si="9"/>
        <v/>
      </c>
      <c r="AT13" s="12" t="str">
        <f t="shared" si="10"/>
        <v/>
      </c>
    </row>
    <row r="14" spans="1:46" ht="18.75" x14ac:dyDescent="0.25">
      <c r="A14" s="5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22032</v>
      </c>
      <c r="E14" t="str">
        <f t="shared" si="0"/>
        <v>22</v>
      </c>
      <c r="F14" t="str">
        <f>'Final list of total hauls pros'!B11</f>
        <v>40G0</v>
      </c>
      <c r="G14" t="str">
        <f>'Final list of total hauls pros'!I11</f>
        <v>DEN</v>
      </c>
      <c r="H14" t="str">
        <f>'Final list of total hauls pros'!L11</f>
        <v>21-24</v>
      </c>
      <c r="I14" t="str">
        <f t="shared" si="11"/>
        <v>DEN (SD 21-24)</v>
      </c>
      <c r="K14" s="20">
        <f t="shared" si="12"/>
        <v>1</v>
      </c>
      <c r="L14" s="23"/>
      <c r="M14" s="21" t="str">
        <f t="shared" si="13"/>
        <v/>
      </c>
      <c r="N14" s="23"/>
      <c r="O14" s="21" t="str">
        <f t="shared" si="14"/>
        <v/>
      </c>
      <c r="P14" s="23"/>
      <c r="Q14" s="21" t="str">
        <f t="shared" si="15"/>
        <v/>
      </c>
      <c r="R14" s="23"/>
      <c r="S14" s="21" t="str">
        <f t="shared" si="16"/>
        <v/>
      </c>
      <c r="T14" s="23"/>
      <c r="U14" s="21" t="str">
        <f t="shared" si="17"/>
        <v/>
      </c>
      <c r="V14" s="23"/>
      <c r="W14" s="21" t="str">
        <f t="shared" si="18"/>
        <v/>
      </c>
      <c r="X14" s="23"/>
      <c r="Y14" s="21" t="str">
        <f t="shared" si="19"/>
        <v/>
      </c>
      <c r="Z14" s="23"/>
      <c r="AA14" s="21" t="str">
        <f t="shared" si="20"/>
        <v/>
      </c>
      <c r="AB14" s="23"/>
      <c r="AC14" s="21" t="str">
        <f t="shared" si="21"/>
        <v/>
      </c>
      <c r="AD14" s="23"/>
      <c r="AG14" s="25" t="str">
        <f t="shared" si="22"/>
        <v/>
      </c>
      <c r="AK14" s="10">
        <f t="shared" si="1"/>
        <v>1</v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1" t="str">
        <f t="shared" si="9"/>
        <v/>
      </c>
      <c r="AT14" s="12" t="str">
        <f t="shared" si="10"/>
        <v/>
      </c>
    </row>
    <row r="15" spans="1:46" ht="18.75" x14ac:dyDescent="0.25">
      <c r="A15" s="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22034</v>
      </c>
      <c r="E15" t="str">
        <f t="shared" si="0"/>
        <v>22</v>
      </c>
      <c r="F15" t="str">
        <f>'Final list of total hauls pros'!B12</f>
        <v>40G0</v>
      </c>
      <c r="G15" t="str">
        <f>'Final list of total hauls pros'!I12</f>
        <v>DEN</v>
      </c>
      <c r="H15" t="str">
        <f>'Final list of total hauls pros'!L12</f>
        <v>21-24</v>
      </c>
      <c r="I15" t="str">
        <f t="shared" si="11"/>
        <v>DEN (SD 21-24)</v>
      </c>
      <c r="K15" s="20">
        <f t="shared" si="12"/>
        <v>1</v>
      </c>
      <c r="L15" s="23"/>
      <c r="M15" s="21" t="str">
        <f t="shared" si="13"/>
        <v/>
      </c>
      <c r="N15" s="23"/>
      <c r="O15" s="21" t="str">
        <f t="shared" si="14"/>
        <v/>
      </c>
      <c r="P15" s="23"/>
      <c r="Q15" s="21" t="str">
        <f t="shared" si="15"/>
        <v/>
      </c>
      <c r="R15" s="23"/>
      <c r="S15" s="21" t="str">
        <f t="shared" si="16"/>
        <v/>
      </c>
      <c r="T15" s="23"/>
      <c r="U15" s="21" t="str">
        <f t="shared" si="17"/>
        <v/>
      </c>
      <c r="V15" s="23"/>
      <c r="W15" s="21" t="str">
        <f t="shared" si="18"/>
        <v/>
      </c>
      <c r="X15" s="23"/>
      <c r="Y15" s="21" t="str">
        <f t="shared" si="19"/>
        <v/>
      </c>
      <c r="Z15" s="23"/>
      <c r="AA15" s="21" t="str">
        <f t="shared" si="20"/>
        <v/>
      </c>
      <c r="AB15" s="23"/>
      <c r="AC15" s="21" t="str">
        <f t="shared" si="21"/>
        <v/>
      </c>
      <c r="AD15" s="23"/>
      <c r="AG15" s="25" t="str">
        <f t="shared" si="22"/>
        <v/>
      </c>
      <c r="AK15" s="10">
        <f t="shared" si="1"/>
        <v>1</v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1" t="str">
        <f t="shared" si="9"/>
        <v/>
      </c>
      <c r="AT15" s="12" t="str">
        <f t="shared" si="10"/>
        <v/>
      </c>
    </row>
    <row r="16" spans="1:46" ht="18.75" x14ac:dyDescent="0.25">
      <c r="A16" s="5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22036</v>
      </c>
      <c r="E16" t="str">
        <f t="shared" si="0"/>
        <v>22</v>
      </c>
      <c r="F16" t="str">
        <f>'Final list of total hauls pros'!B13</f>
        <v>40G1</v>
      </c>
      <c r="G16" t="str">
        <f>'Final list of total hauls pros'!I13</f>
        <v>DEN</v>
      </c>
      <c r="H16" t="str">
        <f>'Final list of total hauls pros'!L13</f>
        <v>21-24</v>
      </c>
      <c r="I16" t="str">
        <f t="shared" si="11"/>
        <v>DEN (SD 21-24)</v>
      </c>
      <c r="K16" s="20">
        <f t="shared" si="12"/>
        <v>1</v>
      </c>
      <c r="L16" s="23"/>
      <c r="M16" s="21" t="str">
        <f t="shared" si="13"/>
        <v/>
      </c>
      <c r="N16" s="23"/>
      <c r="O16" s="21" t="str">
        <f t="shared" si="14"/>
        <v/>
      </c>
      <c r="P16" s="23"/>
      <c r="Q16" s="21" t="str">
        <f t="shared" si="15"/>
        <v/>
      </c>
      <c r="R16" s="23"/>
      <c r="S16" s="21" t="str">
        <f t="shared" si="16"/>
        <v/>
      </c>
      <c r="T16" s="23"/>
      <c r="U16" s="21" t="str">
        <f t="shared" si="17"/>
        <v/>
      </c>
      <c r="V16" s="23"/>
      <c r="W16" s="21" t="str">
        <f t="shared" si="18"/>
        <v/>
      </c>
      <c r="X16" s="23"/>
      <c r="Y16" s="21" t="str">
        <f t="shared" si="19"/>
        <v/>
      </c>
      <c r="Z16" s="23"/>
      <c r="AA16" s="21" t="str">
        <f t="shared" si="20"/>
        <v/>
      </c>
      <c r="AB16" s="23"/>
      <c r="AC16" s="21" t="str">
        <f t="shared" si="21"/>
        <v/>
      </c>
      <c r="AD16" s="23"/>
      <c r="AG16" s="25" t="str">
        <f t="shared" si="22"/>
        <v/>
      </c>
      <c r="AK16" s="10">
        <f t="shared" si="1"/>
        <v>1</v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1" t="str">
        <f t="shared" si="9"/>
        <v/>
      </c>
      <c r="AT16" s="12" t="str">
        <f t="shared" si="10"/>
        <v/>
      </c>
    </row>
    <row r="17" spans="1:46" ht="18.75" x14ac:dyDescent="0.25">
      <c r="A17" s="5" t="s">
        <v>26</v>
      </c>
      <c r="B17" t="str">
        <f>'Final list of total hauls pros'!M14</f>
        <v>DEN (SD 21-24)</v>
      </c>
      <c r="C17">
        <v>13</v>
      </c>
      <c r="D17">
        <f>'Final list of total hauls pros'!A14</f>
        <v>22037</v>
      </c>
      <c r="E17" t="str">
        <f t="shared" si="0"/>
        <v>22</v>
      </c>
      <c r="F17" t="str">
        <f>'Final list of total hauls pros'!B14</f>
        <v>40G1</v>
      </c>
      <c r="G17" t="str">
        <f>'Final list of total hauls pros'!I14</f>
        <v>DEN</v>
      </c>
      <c r="H17" t="str">
        <f>'Final list of total hauls pros'!L14</f>
        <v>21-24</v>
      </c>
      <c r="I17" t="str">
        <f t="shared" si="11"/>
        <v>DEN (SD 21-24)</v>
      </c>
      <c r="K17" s="20">
        <f t="shared" si="12"/>
        <v>1</v>
      </c>
      <c r="L17" s="23"/>
      <c r="M17" s="21" t="str">
        <f t="shared" si="13"/>
        <v/>
      </c>
      <c r="N17" s="23"/>
      <c r="O17" s="21" t="str">
        <f t="shared" si="14"/>
        <v/>
      </c>
      <c r="P17" s="23"/>
      <c r="Q17" s="21" t="str">
        <f t="shared" si="15"/>
        <v/>
      </c>
      <c r="R17" s="23"/>
      <c r="S17" s="21" t="str">
        <f t="shared" si="16"/>
        <v/>
      </c>
      <c r="T17" s="23"/>
      <c r="U17" s="21" t="str">
        <f t="shared" si="17"/>
        <v/>
      </c>
      <c r="V17" s="23"/>
      <c r="W17" s="21" t="str">
        <f t="shared" si="18"/>
        <v/>
      </c>
      <c r="X17" s="23"/>
      <c r="Y17" s="21" t="str">
        <f t="shared" si="19"/>
        <v/>
      </c>
      <c r="Z17" s="23"/>
      <c r="AA17" s="21" t="str">
        <f t="shared" si="20"/>
        <v/>
      </c>
      <c r="AB17" s="23"/>
      <c r="AC17" s="21" t="str">
        <f t="shared" si="21"/>
        <v/>
      </c>
      <c r="AD17" s="23"/>
      <c r="AG17" s="25" t="str">
        <f t="shared" si="22"/>
        <v/>
      </c>
      <c r="AK17" s="10">
        <f t="shared" si="1"/>
        <v>1</v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 t="str">
        <f t="shared" si="7"/>
        <v/>
      </c>
      <c r="AR17" s="11" t="str">
        <f t="shared" si="8"/>
        <v/>
      </c>
      <c r="AS17" s="11" t="str">
        <f t="shared" si="9"/>
        <v/>
      </c>
      <c r="AT17" s="12" t="str">
        <f t="shared" si="10"/>
        <v/>
      </c>
    </row>
    <row r="18" spans="1:46" ht="18.75" x14ac:dyDescent="0.25">
      <c r="A18" s="5" t="s">
        <v>26</v>
      </c>
      <c r="B18" t="str">
        <f>'Final list of total hauls pros'!M15</f>
        <v>GFR (SD 21-24)</v>
      </c>
      <c r="C18">
        <v>14</v>
      </c>
      <c r="D18">
        <f>'Final list of total hauls pros'!A15</f>
        <v>22044</v>
      </c>
      <c r="E18" t="str">
        <f t="shared" si="0"/>
        <v>22</v>
      </c>
      <c r="F18" t="str">
        <f>'Final list of total hauls pros'!B15</f>
        <v>37G1</v>
      </c>
      <c r="G18" t="str">
        <f>'Final list of total hauls pros'!I15</f>
        <v>GFR</v>
      </c>
      <c r="H18" t="str">
        <f>'Final list of total hauls pros'!L15</f>
        <v>21-24</v>
      </c>
      <c r="I18" t="str">
        <f t="shared" si="11"/>
        <v>GFR (SD 21-24)</v>
      </c>
      <c r="K18" s="20" t="str">
        <f t="shared" si="12"/>
        <v/>
      </c>
      <c r="L18" s="23"/>
      <c r="M18" s="21" t="str">
        <f t="shared" si="13"/>
        <v/>
      </c>
      <c r="N18" s="23"/>
      <c r="O18" s="21" t="str">
        <f t="shared" si="14"/>
        <v/>
      </c>
      <c r="P18" s="23"/>
      <c r="Q18" s="21" t="str">
        <f t="shared" si="15"/>
        <v/>
      </c>
      <c r="R18" s="23"/>
      <c r="S18" s="21" t="str">
        <f t="shared" si="16"/>
        <v/>
      </c>
      <c r="T18" s="23"/>
      <c r="U18" s="21" t="str">
        <f t="shared" si="17"/>
        <v/>
      </c>
      <c r="V18" s="23"/>
      <c r="W18" s="21" t="str">
        <f t="shared" si="18"/>
        <v/>
      </c>
      <c r="X18" s="23"/>
      <c r="Y18" s="21">
        <f t="shared" si="19"/>
        <v>1</v>
      </c>
      <c r="Z18" s="23"/>
      <c r="AA18" s="21" t="str">
        <f t="shared" si="20"/>
        <v/>
      </c>
      <c r="AB18" s="23"/>
      <c r="AC18" s="21" t="str">
        <f t="shared" si="21"/>
        <v/>
      </c>
      <c r="AD18" s="23"/>
      <c r="AG18" s="25" t="str">
        <f t="shared" si="22"/>
        <v/>
      </c>
      <c r="AK18" s="10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 t="str">
        <f t="shared" si="7"/>
        <v/>
      </c>
      <c r="AR18" s="11">
        <f t="shared" si="8"/>
        <v>1</v>
      </c>
      <c r="AS18" s="11" t="str">
        <f t="shared" si="9"/>
        <v/>
      </c>
      <c r="AT18" s="12" t="str">
        <f t="shared" si="10"/>
        <v/>
      </c>
    </row>
    <row r="19" spans="1:46" ht="18.75" x14ac:dyDescent="0.25">
      <c r="A19" s="5" t="s">
        <v>26</v>
      </c>
      <c r="B19" t="str">
        <f>'Final list of total hauls pros'!M16</f>
        <v>GFR (SD 21-24)</v>
      </c>
      <c r="C19">
        <v>15</v>
      </c>
      <c r="D19">
        <f>'Final list of total hauls pros'!A16</f>
        <v>22045</v>
      </c>
      <c r="E19" t="str">
        <f t="shared" si="0"/>
        <v>22</v>
      </c>
      <c r="F19" t="str">
        <f>'Final list of total hauls pros'!B16</f>
        <v>37G1</v>
      </c>
      <c r="G19" t="str">
        <f>'Final list of total hauls pros'!I16</f>
        <v>GFR</v>
      </c>
      <c r="H19" t="str">
        <f>'Final list of total hauls pros'!L16</f>
        <v>21-24</v>
      </c>
      <c r="I19" t="str">
        <f t="shared" si="11"/>
        <v>GFR (SD 21-24)</v>
      </c>
      <c r="K19" s="20" t="str">
        <f t="shared" si="12"/>
        <v/>
      </c>
      <c r="L19" s="23"/>
      <c r="M19" s="21" t="str">
        <f t="shared" si="13"/>
        <v/>
      </c>
      <c r="N19" s="23"/>
      <c r="O19" s="21" t="str">
        <f t="shared" si="14"/>
        <v/>
      </c>
      <c r="P19" s="23"/>
      <c r="Q19" s="21" t="str">
        <f t="shared" si="15"/>
        <v/>
      </c>
      <c r="R19" s="23"/>
      <c r="S19" s="21" t="str">
        <f t="shared" si="16"/>
        <v/>
      </c>
      <c r="T19" s="23"/>
      <c r="U19" s="21" t="str">
        <f t="shared" si="17"/>
        <v/>
      </c>
      <c r="V19" s="23"/>
      <c r="W19" s="21" t="str">
        <f t="shared" si="18"/>
        <v/>
      </c>
      <c r="X19" s="23"/>
      <c r="Y19" s="21">
        <f t="shared" si="19"/>
        <v>1</v>
      </c>
      <c r="Z19" s="23"/>
      <c r="AA19" s="21" t="str">
        <f t="shared" si="20"/>
        <v/>
      </c>
      <c r="AB19" s="23"/>
      <c r="AC19" s="21" t="str">
        <f t="shared" si="21"/>
        <v/>
      </c>
      <c r="AD19" s="23"/>
      <c r="AG19" s="25" t="str">
        <f t="shared" si="22"/>
        <v/>
      </c>
      <c r="AK19" s="10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 t="str">
        <f t="shared" si="7"/>
        <v/>
      </c>
      <c r="AR19" s="11">
        <f t="shared" si="8"/>
        <v>1</v>
      </c>
      <c r="AS19" s="11" t="str">
        <f t="shared" si="9"/>
        <v/>
      </c>
      <c r="AT19" s="12" t="str">
        <f t="shared" si="10"/>
        <v/>
      </c>
    </row>
    <row r="20" spans="1:46" ht="18.75" x14ac:dyDescent="0.25">
      <c r="A20" s="5" t="s">
        <v>26</v>
      </c>
      <c r="B20" t="str">
        <f>'Final list of total hauls pros'!M17</f>
        <v>GFR (SD 21-24)</v>
      </c>
      <c r="C20">
        <v>16</v>
      </c>
      <c r="D20">
        <f>'Final list of total hauls pros'!A17</f>
        <v>22051</v>
      </c>
      <c r="E20" t="str">
        <f t="shared" si="0"/>
        <v>22</v>
      </c>
      <c r="F20" t="str">
        <f>'Final list of total hauls pros'!B17</f>
        <v>37G1</v>
      </c>
      <c r="G20" t="str">
        <f>'Final list of total hauls pros'!I17</f>
        <v>GFR</v>
      </c>
      <c r="H20" t="str">
        <f>'Final list of total hauls pros'!L17</f>
        <v>21-24</v>
      </c>
      <c r="I20" t="str">
        <f t="shared" si="11"/>
        <v>GFR (SD 21-24)</v>
      </c>
      <c r="K20" s="20" t="str">
        <f t="shared" si="12"/>
        <v/>
      </c>
      <c r="L20" s="23"/>
      <c r="M20" s="21" t="str">
        <f t="shared" si="13"/>
        <v/>
      </c>
      <c r="N20" s="23"/>
      <c r="O20" s="21" t="str">
        <f t="shared" si="14"/>
        <v/>
      </c>
      <c r="P20" s="23"/>
      <c r="Q20" s="21" t="str">
        <f t="shared" si="15"/>
        <v/>
      </c>
      <c r="R20" s="23"/>
      <c r="S20" s="21" t="str">
        <f t="shared" si="16"/>
        <v/>
      </c>
      <c r="T20" s="23"/>
      <c r="U20" s="21" t="str">
        <f t="shared" si="17"/>
        <v/>
      </c>
      <c r="V20" s="23"/>
      <c r="W20" s="21" t="str">
        <f t="shared" si="18"/>
        <v/>
      </c>
      <c r="X20" s="23"/>
      <c r="Y20" s="21">
        <f t="shared" si="19"/>
        <v>1</v>
      </c>
      <c r="Z20" s="23"/>
      <c r="AA20" s="21" t="str">
        <f t="shared" si="20"/>
        <v/>
      </c>
      <c r="AB20" s="23"/>
      <c r="AC20" s="21" t="str">
        <f t="shared" si="21"/>
        <v/>
      </c>
      <c r="AD20" s="23"/>
      <c r="AG20" s="25" t="str">
        <f t="shared" si="22"/>
        <v/>
      </c>
      <c r="AK20" s="10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 t="str">
        <f t="shared" si="7"/>
        <v/>
      </c>
      <c r="AR20" s="11">
        <f t="shared" si="8"/>
        <v>1</v>
      </c>
      <c r="AS20" s="11" t="str">
        <f t="shared" si="9"/>
        <v/>
      </c>
      <c r="AT20" s="12" t="str">
        <f t="shared" si="10"/>
        <v/>
      </c>
    </row>
    <row r="21" spans="1:46" ht="18.75" x14ac:dyDescent="0.25">
      <c r="A21" s="5" t="s">
        <v>26</v>
      </c>
      <c r="B21" t="str">
        <f>'Final list of total hauls pros'!M18</f>
        <v>GFR (SD 21-24)</v>
      </c>
      <c r="C21">
        <v>17</v>
      </c>
      <c r="D21">
        <f>'Final list of total hauls pros'!A18</f>
        <v>22058</v>
      </c>
      <c r="E21" t="str">
        <f t="shared" si="0"/>
        <v>22</v>
      </c>
      <c r="F21" t="str">
        <f>'Final list of total hauls pros'!B18</f>
        <v>37G1</v>
      </c>
      <c r="G21" t="str">
        <f>'Final list of total hauls pros'!I18</f>
        <v>GFR</v>
      </c>
      <c r="H21" t="str">
        <f>'Final list of total hauls pros'!L18</f>
        <v>21-24</v>
      </c>
      <c r="I21" t="str">
        <f t="shared" si="11"/>
        <v>GFR (SD 21-24)</v>
      </c>
      <c r="K21" s="20" t="str">
        <f t="shared" si="12"/>
        <v/>
      </c>
      <c r="L21" s="23"/>
      <c r="M21" s="21" t="str">
        <f t="shared" si="13"/>
        <v/>
      </c>
      <c r="N21" s="23"/>
      <c r="O21" s="21" t="str">
        <f t="shared" si="14"/>
        <v/>
      </c>
      <c r="P21" s="23"/>
      <c r="Q21" s="21" t="str">
        <f t="shared" si="15"/>
        <v/>
      </c>
      <c r="R21" s="23"/>
      <c r="S21" s="21" t="str">
        <f t="shared" si="16"/>
        <v/>
      </c>
      <c r="T21" s="23"/>
      <c r="U21" s="21" t="str">
        <f t="shared" si="17"/>
        <v/>
      </c>
      <c r="V21" s="23"/>
      <c r="W21" s="21" t="str">
        <f t="shared" si="18"/>
        <v/>
      </c>
      <c r="X21" s="23"/>
      <c r="Y21" s="21">
        <f t="shared" si="19"/>
        <v>1</v>
      </c>
      <c r="Z21" s="23"/>
      <c r="AA21" s="21" t="str">
        <f t="shared" si="20"/>
        <v/>
      </c>
      <c r="AB21" s="23"/>
      <c r="AC21" s="21" t="str">
        <f t="shared" si="21"/>
        <v/>
      </c>
      <c r="AD21" s="23"/>
      <c r="AG21" s="25" t="str">
        <f t="shared" si="22"/>
        <v/>
      </c>
      <c r="AK21" s="10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 t="str">
        <f t="shared" si="7"/>
        <v/>
      </c>
      <c r="AR21" s="11">
        <f t="shared" si="8"/>
        <v>1</v>
      </c>
      <c r="AS21" s="11" t="str">
        <f t="shared" si="9"/>
        <v/>
      </c>
      <c r="AT21" s="12" t="str">
        <f t="shared" si="10"/>
        <v/>
      </c>
    </row>
    <row r="22" spans="1:46" ht="18.75" x14ac:dyDescent="0.25">
      <c r="A22" s="5" t="s">
        <v>26</v>
      </c>
      <c r="B22" t="str">
        <f>'Final list of total hauls pros'!M19</f>
        <v>DEN (SD 21-24)</v>
      </c>
      <c r="C22">
        <v>18</v>
      </c>
      <c r="D22">
        <f>'Final list of total hauls pros'!A19</f>
        <v>22071</v>
      </c>
      <c r="E22" t="str">
        <f t="shared" si="0"/>
        <v>22</v>
      </c>
      <c r="F22" t="str">
        <f>'Final list of total hauls pros'!B19</f>
        <v>38G1</v>
      </c>
      <c r="G22" t="str">
        <f>'Final list of total hauls pros'!I19</f>
        <v>DEN</v>
      </c>
      <c r="H22" t="str">
        <f>'Final list of total hauls pros'!L19</f>
        <v>21-24</v>
      </c>
      <c r="I22" t="str">
        <f t="shared" si="11"/>
        <v>GFR (SD 21-24)</v>
      </c>
      <c r="K22" s="20" t="str">
        <f t="shared" si="12"/>
        <v/>
      </c>
      <c r="L22" s="23" t="s">
        <v>132</v>
      </c>
      <c r="M22" s="21" t="str">
        <f t="shared" si="13"/>
        <v/>
      </c>
      <c r="N22" s="23"/>
      <c r="O22" s="21" t="str">
        <f t="shared" si="14"/>
        <v/>
      </c>
      <c r="P22" s="23"/>
      <c r="Q22" s="21" t="str">
        <f t="shared" si="15"/>
        <v/>
      </c>
      <c r="R22" s="23"/>
      <c r="S22" s="21" t="str">
        <f t="shared" si="16"/>
        <v/>
      </c>
      <c r="T22" s="23"/>
      <c r="U22" s="21" t="str">
        <f t="shared" si="17"/>
        <v/>
      </c>
      <c r="V22" s="23"/>
      <c r="W22" s="21" t="str">
        <f t="shared" si="18"/>
        <v/>
      </c>
      <c r="X22" s="23"/>
      <c r="Y22" s="21">
        <f t="shared" si="19"/>
        <v>1</v>
      </c>
      <c r="Z22" s="23" t="s">
        <v>138</v>
      </c>
      <c r="AA22" s="21" t="str">
        <f t="shared" si="20"/>
        <v/>
      </c>
      <c r="AB22" s="23"/>
      <c r="AC22" s="21" t="str">
        <f t="shared" si="21"/>
        <v/>
      </c>
      <c r="AD22" s="23"/>
      <c r="AG22" s="25" t="str">
        <f t="shared" si="22"/>
        <v/>
      </c>
      <c r="AK22" s="10">
        <f t="shared" si="1"/>
        <v>1</v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 t="str">
        <f t="shared" si="7"/>
        <v/>
      </c>
      <c r="AR22" s="11" t="str">
        <f t="shared" si="8"/>
        <v/>
      </c>
      <c r="AS22" s="11" t="str">
        <f t="shared" si="9"/>
        <v/>
      </c>
      <c r="AT22" s="12" t="str">
        <f t="shared" si="10"/>
        <v/>
      </c>
    </row>
    <row r="23" spans="1:46" ht="18.75" x14ac:dyDescent="0.25">
      <c r="A23" s="5" t="s">
        <v>26</v>
      </c>
      <c r="B23" t="str">
        <f>'Final list of total hauls pros'!M20</f>
        <v>GFR (SD 21-24)</v>
      </c>
      <c r="C23">
        <v>19</v>
      </c>
      <c r="D23">
        <f>'Final list of total hauls pros'!A20</f>
        <v>22072</v>
      </c>
      <c r="E23" t="str">
        <f t="shared" si="0"/>
        <v>22</v>
      </c>
      <c r="F23" t="str">
        <f>'Final list of total hauls pros'!B20</f>
        <v>38G1</v>
      </c>
      <c r="G23" t="str">
        <f>'Final list of total hauls pros'!I20</f>
        <v>GFR</v>
      </c>
      <c r="H23" t="str">
        <f>'Final list of total hauls pros'!L20</f>
        <v>21-24</v>
      </c>
      <c r="I23" t="str">
        <f t="shared" si="11"/>
        <v>GFR (SD 21-24)</v>
      </c>
      <c r="K23" s="20" t="str">
        <f t="shared" si="12"/>
        <v/>
      </c>
      <c r="L23" s="23"/>
      <c r="M23" s="21" t="str">
        <f t="shared" si="13"/>
        <v/>
      </c>
      <c r="N23" s="23"/>
      <c r="O23" s="21" t="str">
        <f t="shared" si="14"/>
        <v/>
      </c>
      <c r="P23" s="23"/>
      <c r="Q23" s="21" t="str">
        <f t="shared" si="15"/>
        <v/>
      </c>
      <c r="R23" s="23"/>
      <c r="S23" s="21" t="str">
        <f t="shared" si="16"/>
        <v/>
      </c>
      <c r="T23" s="23"/>
      <c r="U23" s="21" t="str">
        <f t="shared" si="17"/>
        <v/>
      </c>
      <c r="V23" s="23"/>
      <c r="W23" s="21" t="str">
        <f t="shared" si="18"/>
        <v/>
      </c>
      <c r="X23" s="23"/>
      <c r="Y23" s="21">
        <f t="shared" si="19"/>
        <v>1</v>
      </c>
      <c r="Z23" s="23"/>
      <c r="AA23" s="21" t="str">
        <f t="shared" si="20"/>
        <v/>
      </c>
      <c r="AB23" s="23"/>
      <c r="AC23" s="21" t="str">
        <f t="shared" si="21"/>
        <v/>
      </c>
      <c r="AD23" s="23"/>
      <c r="AG23" s="25" t="str">
        <f t="shared" si="22"/>
        <v/>
      </c>
      <c r="AK23" s="10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>
        <f t="shared" si="8"/>
        <v>1</v>
      </c>
      <c r="AS23" s="11" t="str">
        <f t="shared" si="9"/>
        <v/>
      </c>
      <c r="AT23" s="12" t="str">
        <f t="shared" si="10"/>
        <v/>
      </c>
    </row>
    <row r="24" spans="1:46" ht="18.75" x14ac:dyDescent="0.25">
      <c r="A24" s="5" t="s">
        <v>26</v>
      </c>
      <c r="B24" t="str">
        <f>'Final list of total hauls pros'!M21</f>
        <v>DEN (SD 21-24)</v>
      </c>
      <c r="C24">
        <v>20</v>
      </c>
      <c r="D24">
        <f>'Final list of total hauls pros'!A21</f>
        <v>22075</v>
      </c>
      <c r="E24" t="str">
        <f t="shared" si="0"/>
        <v>22</v>
      </c>
      <c r="F24" t="str">
        <f>'Final list of total hauls pros'!B21</f>
        <v>38G0</v>
      </c>
      <c r="G24" t="str">
        <f>'Final list of total hauls pros'!I21</f>
        <v>DEN</v>
      </c>
      <c r="H24" t="str">
        <f>'Final list of total hauls pros'!L21</f>
        <v>21-24</v>
      </c>
      <c r="I24" t="str">
        <f t="shared" si="11"/>
        <v>DEN (SD 21-24)</v>
      </c>
      <c r="K24" s="20">
        <f t="shared" si="12"/>
        <v>1</v>
      </c>
      <c r="L24" s="23"/>
      <c r="M24" s="21" t="str">
        <f t="shared" si="13"/>
        <v/>
      </c>
      <c r="N24" s="23"/>
      <c r="O24" s="21" t="str">
        <f t="shared" si="14"/>
        <v/>
      </c>
      <c r="P24" s="23"/>
      <c r="Q24" s="21" t="str">
        <f t="shared" si="15"/>
        <v/>
      </c>
      <c r="R24" s="23"/>
      <c r="S24" s="21" t="str">
        <f t="shared" si="16"/>
        <v/>
      </c>
      <c r="T24" s="23"/>
      <c r="U24" s="21" t="str">
        <f t="shared" si="17"/>
        <v/>
      </c>
      <c r="V24" s="23"/>
      <c r="W24" s="21" t="str">
        <f t="shared" si="18"/>
        <v/>
      </c>
      <c r="X24" s="23"/>
      <c r="Y24" s="21" t="str">
        <f t="shared" si="19"/>
        <v/>
      </c>
      <c r="Z24" s="23"/>
      <c r="AA24" s="21" t="str">
        <f t="shared" si="20"/>
        <v/>
      </c>
      <c r="AB24" s="23"/>
      <c r="AC24" s="21" t="str">
        <f t="shared" si="21"/>
        <v/>
      </c>
      <c r="AD24" s="23"/>
      <c r="AG24" s="25" t="str">
        <f t="shared" si="22"/>
        <v/>
      </c>
      <c r="AK24" s="10">
        <f t="shared" si="1"/>
        <v>1</v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1" t="str">
        <f t="shared" si="9"/>
        <v/>
      </c>
      <c r="AT24" s="12" t="str">
        <f t="shared" si="10"/>
        <v/>
      </c>
    </row>
    <row r="25" spans="1:46" ht="18.75" x14ac:dyDescent="0.25">
      <c r="A25" s="5" t="s">
        <v>26</v>
      </c>
      <c r="B25" t="str">
        <f>'Final list of total hauls pros'!M22</f>
        <v>DEN (SD 21-24)</v>
      </c>
      <c r="C25">
        <v>21</v>
      </c>
      <c r="D25">
        <f>'Final list of total hauls pros'!A22</f>
        <v>22076</v>
      </c>
      <c r="E25" t="str">
        <f t="shared" si="0"/>
        <v>22</v>
      </c>
      <c r="F25" t="str">
        <f>'Final list of total hauls pros'!B22</f>
        <v>38G0</v>
      </c>
      <c r="G25" t="str">
        <f>'Final list of total hauls pros'!I22</f>
        <v>DEN</v>
      </c>
      <c r="H25" t="str">
        <f>'Final list of total hauls pros'!L22</f>
        <v>21-24</v>
      </c>
      <c r="I25" t="str">
        <f t="shared" si="11"/>
        <v>DEN (SD 21-24)</v>
      </c>
      <c r="K25" s="20">
        <f t="shared" ref="K25:K88" si="23">IF(L25="+",1,IF(L25="-","",IF(L25="",AK25)))</f>
        <v>1</v>
      </c>
      <c r="L25" s="23"/>
      <c r="M25" s="21" t="str">
        <f t="shared" ref="M25:M88" si="24">IF(N25="+",1,IF(N25="-","",IF(N25="",AL25)))</f>
        <v/>
      </c>
      <c r="N25" s="23"/>
      <c r="O25" s="21" t="str">
        <f t="shared" ref="O25:O88" si="25">IF(P25="+",1,IF(P25="-","",IF(P25="",AM25)))</f>
        <v/>
      </c>
      <c r="P25" s="23"/>
      <c r="Q25" s="21" t="str">
        <f t="shared" ref="Q25:Q88" si="26">IF(R25="+",1,IF(R25="-","",IF(R25="",AN25)))</f>
        <v/>
      </c>
      <c r="R25" s="23"/>
      <c r="S25" s="21" t="str">
        <f t="shared" ref="S25:S88" si="27">IF(T25="+",1,IF(T25="-","",IF(T25="",AO25)))</f>
        <v/>
      </c>
      <c r="T25" s="23"/>
      <c r="U25" s="21" t="str">
        <f t="shared" ref="U25:U88" si="28">IF(V25="+",1,IF(V25="-","",IF(V25="",AP25)))</f>
        <v/>
      </c>
      <c r="V25" s="23"/>
      <c r="W25" s="21" t="str">
        <f t="shared" ref="W25:W88" si="29">IF(X25="+",1,IF(X25="-","",IF(X25="",AQ25)))</f>
        <v/>
      </c>
      <c r="X25" s="23"/>
      <c r="Y25" s="21" t="str">
        <f t="shared" ref="Y25:Y88" si="30">IF(Z25="+",1,IF(Z25="-","",IF(Z25="",AR25)))</f>
        <v/>
      </c>
      <c r="Z25" s="23"/>
      <c r="AA25" s="21" t="str">
        <f t="shared" ref="AA25:AA88" si="31">IF(AB25="+",1,IF(AB25="-","",IF(AB25="",AS25)))</f>
        <v/>
      </c>
      <c r="AB25" s="23"/>
      <c r="AC25" s="21" t="str">
        <f t="shared" ref="AC25:AC88" si="32">IF(AD25="+",1,IF(AD25="-","",IF(AD25="",AT25)))</f>
        <v/>
      </c>
      <c r="AD25" s="23"/>
      <c r="AG25" s="25" t="str">
        <f t="shared" si="22"/>
        <v/>
      </c>
      <c r="AK25" s="10">
        <f t="shared" si="1"/>
        <v>1</v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1" t="str">
        <f t="shared" si="9"/>
        <v/>
      </c>
      <c r="AT25" s="12" t="str">
        <f t="shared" si="10"/>
        <v/>
      </c>
    </row>
    <row r="26" spans="1:46" ht="18.75" x14ac:dyDescent="0.25">
      <c r="A26" s="5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22077</v>
      </c>
      <c r="E26" t="str">
        <f t="shared" si="0"/>
        <v>22</v>
      </c>
      <c r="F26" t="str">
        <f>'Final list of total hauls pros'!B23</f>
        <v>38G0</v>
      </c>
      <c r="G26" t="str">
        <f>'Final list of total hauls pros'!I23</f>
        <v>DEN</v>
      </c>
      <c r="H26" t="str">
        <f>'Final list of total hauls pros'!L23</f>
        <v>21-24</v>
      </c>
      <c r="I26" t="str">
        <f t="shared" si="11"/>
        <v>DEN (SD 21-24)</v>
      </c>
      <c r="K26" s="20">
        <f t="shared" si="23"/>
        <v>1</v>
      </c>
      <c r="L26" s="23"/>
      <c r="M26" s="21" t="str">
        <f t="shared" si="24"/>
        <v/>
      </c>
      <c r="N26" s="23"/>
      <c r="O26" s="21" t="str">
        <f t="shared" si="25"/>
        <v/>
      </c>
      <c r="P26" s="23"/>
      <c r="Q26" s="21" t="str">
        <f t="shared" si="26"/>
        <v/>
      </c>
      <c r="R26" s="23"/>
      <c r="S26" s="21" t="str">
        <f t="shared" si="27"/>
        <v/>
      </c>
      <c r="T26" s="23"/>
      <c r="U26" s="21" t="str">
        <f t="shared" si="28"/>
        <v/>
      </c>
      <c r="V26" s="23"/>
      <c r="W26" s="21" t="str">
        <f t="shared" si="29"/>
        <v/>
      </c>
      <c r="X26" s="23"/>
      <c r="Y26" s="21" t="str">
        <f t="shared" si="30"/>
        <v/>
      </c>
      <c r="Z26" s="23"/>
      <c r="AA26" s="21" t="str">
        <f t="shared" si="31"/>
        <v/>
      </c>
      <c r="AB26" s="23"/>
      <c r="AC26" s="21" t="str">
        <f t="shared" si="32"/>
        <v/>
      </c>
      <c r="AD26" s="23"/>
      <c r="AG26" s="25" t="str">
        <f t="shared" si="22"/>
        <v/>
      </c>
      <c r="AK26" s="10">
        <f t="shared" si="1"/>
        <v>1</v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1" t="str">
        <f t="shared" si="9"/>
        <v/>
      </c>
      <c r="AT26" s="12" t="str">
        <f t="shared" si="10"/>
        <v/>
      </c>
    </row>
    <row r="27" spans="1:46" ht="18.75" x14ac:dyDescent="0.25">
      <c r="A27" s="5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22079</v>
      </c>
      <c r="E27" t="str">
        <f t="shared" si="0"/>
        <v>22</v>
      </c>
      <c r="F27" t="str">
        <f>'Final list of total hauls pros'!B24</f>
        <v>38G0</v>
      </c>
      <c r="G27" t="str">
        <f>'Final list of total hauls pros'!I24</f>
        <v>DEN</v>
      </c>
      <c r="H27" t="str">
        <f>'Final list of total hauls pros'!L24</f>
        <v>21-24</v>
      </c>
      <c r="I27" t="str">
        <f t="shared" si="11"/>
        <v>DEN (SD 21-24)</v>
      </c>
      <c r="K27" s="20">
        <f t="shared" si="23"/>
        <v>1</v>
      </c>
      <c r="L27" s="23"/>
      <c r="M27" s="21" t="str">
        <f t="shared" si="24"/>
        <v/>
      </c>
      <c r="N27" s="23"/>
      <c r="O27" s="21" t="str">
        <f t="shared" si="25"/>
        <v/>
      </c>
      <c r="P27" s="23"/>
      <c r="Q27" s="21" t="str">
        <f t="shared" si="26"/>
        <v/>
      </c>
      <c r="R27" s="23"/>
      <c r="S27" s="21" t="str">
        <f t="shared" si="27"/>
        <v/>
      </c>
      <c r="T27" s="23"/>
      <c r="U27" s="21" t="str">
        <f t="shared" si="28"/>
        <v/>
      </c>
      <c r="V27" s="23"/>
      <c r="W27" s="21" t="str">
        <f t="shared" si="29"/>
        <v/>
      </c>
      <c r="X27" s="23"/>
      <c r="Y27" s="21" t="str">
        <f t="shared" si="30"/>
        <v/>
      </c>
      <c r="Z27" s="23"/>
      <c r="AA27" s="21" t="str">
        <f t="shared" si="31"/>
        <v/>
      </c>
      <c r="AB27" s="23"/>
      <c r="AC27" s="21" t="str">
        <f t="shared" si="32"/>
        <v/>
      </c>
      <c r="AD27" s="23"/>
      <c r="AG27" s="25" t="str">
        <f t="shared" si="22"/>
        <v/>
      </c>
      <c r="AK27" s="10">
        <f t="shared" si="1"/>
        <v>1</v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1" t="str">
        <f t="shared" si="9"/>
        <v/>
      </c>
      <c r="AT27" s="12" t="str">
        <f t="shared" si="10"/>
        <v/>
      </c>
    </row>
    <row r="28" spans="1:46" ht="18.75" x14ac:dyDescent="0.25">
      <c r="A28" s="5" t="s">
        <v>26</v>
      </c>
      <c r="B28" t="str">
        <f>'Final list of total hauls pros'!M25</f>
        <v>DEN (SD 21-24)</v>
      </c>
      <c r="C28">
        <v>24</v>
      </c>
      <c r="D28">
        <f>'Final list of total hauls pros'!A25</f>
        <v>22081</v>
      </c>
      <c r="E28" t="str">
        <f t="shared" si="0"/>
        <v>22</v>
      </c>
      <c r="F28" t="str">
        <f>'Final list of total hauls pros'!B25</f>
        <v>39F9</v>
      </c>
      <c r="G28" t="str">
        <f>'Final list of total hauls pros'!I25</f>
        <v>DEN</v>
      </c>
      <c r="H28" t="str">
        <f>'Final list of total hauls pros'!L25</f>
        <v>21-24</v>
      </c>
      <c r="I28" t="str">
        <f t="shared" si="11"/>
        <v>DEN (SD 21-24)</v>
      </c>
      <c r="K28" s="20">
        <f t="shared" si="23"/>
        <v>1</v>
      </c>
      <c r="L28" s="23"/>
      <c r="M28" s="21" t="str">
        <f t="shared" si="24"/>
        <v/>
      </c>
      <c r="N28" s="23"/>
      <c r="O28" s="21" t="str">
        <f t="shared" si="25"/>
        <v/>
      </c>
      <c r="P28" s="23"/>
      <c r="Q28" s="21" t="str">
        <f t="shared" si="26"/>
        <v/>
      </c>
      <c r="R28" s="23"/>
      <c r="S28" s="21" t="str">
        <f t="shared" si="27"/>
        <v/>
      </c>
      <c r="T28" s="23"/>
      <c r="U28" s="21" t="str">
        <f t="shared" si="28"/>
        <v/>
      </c>
      <c r="V28" s="23"/>
      <c r="W28" s="21" t="str">
        <f t="shared" si="29"/>
        <v/>
      </c>
      <c r="X28" s="23"/>
      <c r="Y28" s="21" t="str">
        <f t="shared" si="30"/>
        <v/>
      </c>
      <c r="Z28" s="23"/>
      <c r="AA28" s="21" t="str">
        <f t="shared" si="31"/>
        <v/>
      </c>
      <c r="AB28" s="23"/>
      <c r="AC28" s="21" t="str">
        <f t="shared" si="32"/>
        <v/>
      </c>
      <c r="AD28" s="23"/>
      <c r="AG28" s="25" t="str">
        <f t="shared" si="22"/>
        <v/>
      </c>
      <c r="AK28" s="10">
        <f t="shared" si="1"/>
        <v>1</v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 t="str">
        <f t="shared" si="7"/>
        <v/>
      </c>
      <c r="AR28" s="11" t="str">
        <f t="shared" si="8"/>
        <v/>
      </c>
      <c r="AS28" s="11" t="str">
        <f t="shared" si="9"/>
        <v/>
      </c>
      <c r="AT28" s="12" t="str">
        <f t="shared" si="10"/>
        <v/>
      </c>
    </row>
    <row r="29" spans="1:46" ht="18.75" x14ac:dyDescent="0.25">
      <c r="A29" s="5" t="s">
        <v>26</v>
      </c>
      <c r="B29" t="str">
        <f>'Final list of total hauls pros'!M26</f>
        <v>DEN (SD 21-24)</v>
      </c>
      <c r="C29">
        <v>25</v>
      </c>
      <c r="D29">
        <f>'Final list of total hauls pros'!A26</f>
        <v>22084</v>
      </c>
      <c r="E29" t="str">
        <f t="shared" si="0"/>
        <v>22</v>
      </c>
      <c r="F29" t="str">
        <f>'Final list of total hauls pros'!B26</f>
        <v>39G1</v>
      </c>
      <c r="G29" t="str">
        <f>'Final list of total hauls pros'!I26</f>
        <v>DEN</v>
      </c>
      <c r="H29" t="str">
        <f>'Final list of total hauls pros'!L26</f>
        <v>21-24</v>
      </c>
      <c r="I29" t="str">
        <f t="shared" si="11"/>
        <v>DEN (SD 21-24)</v>
      </c>
      <c r="K29" s="20">
        <f t="shared" si="23"/>
        <v>1</v>
      </c>
      <c r="L29" s="23"/>
      <c r="M29" s="21" t="str">
        <f t="shared" si="24"/>
        <v/>
      </c>
      <c r="N29" s="23"/>
      <c r="O29" s="21" t="str">
        <f t="shared" si="25"/>
        <v/>
      </c>
      <c r="P29" s="23"/>
      <c r="Q29" s="21" t="str">
        <f t="shared" si="26"/>
        <v/>
      </c>
      <c r="R29" s="23"/>
      <c r="S29" s="21" t="str">
        <f t="shared" si="27"/>
        <v/>
      </c>
      <c r="T29" s="23"/>
      <c r="U29" s="21" t="str">
        <f t="shared" si="28"/>
        <v/>
      </c>
      <c r="V29" s="23"/>
      <c r="W29" s="21" t="str">
        <f t="shared" si="29"/>
        <v/>
      </c>
      <c r="X29" s="23"/>
      <c r="Y29" s="21" t="str">
        <f t="shared" si="30"/>
        <v/>
      </c>
      <c r="Z29" s="23"/>
      <c r="AA29" s="21" t="str">
        <f t="shared" si="31"/>
        <v/>
      </c>
      <c r="AB29" s="23"/>
      <c r="AC29" s="21" t="str">
        <f t="shared" si="32"/>
        <v/>
      </c>
      <c r="AD29" s="23"/>
      <c r="AG29" s="25" t="str">
        <f t="shared" si="22"/>
        <v/>
      </c>
      <c r="AK29" s="10">
        <f t="shared" si="1"/>
        <v>1</v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1" t="str">
        <f t="shared" si="9"/>
        <v/>
      </c>
      <c r="AT29" s="12" t="str">
        <f t="shared" si="10"/>
        <v/>
      </c>
    </row>
    <row r="30" spans="1:46" ht="18.75" x14ac:dyDescent="0.25">
      <c r="A30" s="5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22085</v>
      </c>
      <c r="E30" t="str">
        <f t="shared" si="0"/>
        <v>22</v>
      </c>
      <c r="F30" t="str">
        <f>'Final list of total hauls pros'!B27</f>
        <v>40G0</v>
      </c>
      <c r="G30" t="str">
        <f>'Final list of total hauls pros'!I27</f>
        <v>DEN</v>
      </c>
      <c r="H30" t="str">
        <f>'Final list of total hauls pros'!L27</f>
        <v>21-24</v>
      </c>
      <c r="I30" t="str">
        <f t="shared" si="11"/>
        <v>DEN (SD 21-24)</v>
      </c>
      <c r="K30" s="20">
        <f t="shared" si="23"/>
        <v>1</v>
      </c>
      <c r="L30" s="23"/>
      <c r="M30" s="21" t="str">
        <f t="shared" si="24"/>
        <v/>
      </c>
      <c r="N30" s="23"/>
      <c r="O30" s="21" t="str">
        <f t="shared" si="25"/>
        <v/>
      </c>
      <c r="P30" s="23"/>
      <c r="Q30" s="21" t="str">
        <f t="shared" si="26"/>
        <v/>
      </c>
      <c r="R30" s="23"/>
      <c r="S30" s="21" t="str">
        <f t="shared" si="27"/>
        <v/>
      </c>
      <c r="T30" s="23"/>
      <c r="U30" s="21" t="str">
        <f t="shared" si="28"/>
        <v/>
      </c>
      <c r="V30" s="23"/>
      <c r="W30" s="21" t="str">
        <f t="shared" si="29"/>
        <v/>
      </c>
      <c r="X30" s="23"/>
      <c r="Y30" s="21" t="str">
        <f t="shared" si="30"/>
        <v/>
      </c>
      <c r="Z30" s="23"/>
      <c r="AA30" s="21" t="str">
        <f t="shared" si="31"/>
        <v/>
      </c>
      <c r="AB30" s="23"/>
      <c r="AC30" s="21" t="str">
        <f t="shared" si="32"/>
        <v/>
      </c>
      <c r="AD30" s="23"/>
      <c r="AG30" s="25" t="str">
        <f t="shared" si="22"/>
        <v/>
      </c>
      <c r="AK30" s="10">
        <f t="shared" si="1"/>
        <v>1</v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1" t="str">
        <f t="shared" si="9"/>
        <v/>
      </c>
      <c r="AT30" s="12" t="str">
        <f t="shared" si="10"/>
        <v/>
      </c>
    </row>
    <row r="31" spans="1:46" ht="18.75" x14ac:dyDescent="0.25">
      <c r="A31" s="5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22086</v>
      </c>
      <c r="E31" t="str">
        <f t="shared" si="0"/>
        <v>22</v>
      </c>
      <c r="F31" t="str">
        <f>'Final list of total hauls pros'!B28</f>
        <v>40G0</v>
      </c>
      <c r="G31" t="str">
        <f>'Final list of total hauls pros'!I28</f>
        <v>DEN</v>
      </c>
      <c r="H31" t="str">
        <f>'Final list of total hauls pros'!L28</f>
        <v>21-24</v>
      </c>
      <c r="I31" t="str">
        <f t="shared" si="11"/>
        <v>DEN (SD 21-24)</v>
      </c>
      <c r="K31" s="20">
        <f t="shared" si="23"/>
        <v>1</v>
      </c>
      <c r="L31" s="23"/>
      <c r="M31" s="21" t="str">
        <f t="shared" si="24"/>
        <v/>
      </c>
      <c r="N31" s="23"/>
      <c r="O31" s="21" t="str">
        <f t="shared" si="25"/>
        <v/>
      </c>
      <c r="P31" s="23"/>
      <c r="Q31" s="21" t="str">
        <f t="shared" si="26"/>
        <v/>
      </c>
      <c r="R31" s="23"/>
      <c r="S31" s="21" t="str">
        <f t="shared" si="27"/>
        <v/>
      </c>
      <c r="T31" s="23"/>
      <c r="U31" s="21" t="str">
        <f t="shared" si="28"/>
        <v/>
      </c>
      <c r="V31" s="23"/>
      <c r="W31" s="21" t="str">
        <f t="shared" si="29"/>
        <v/>
      </c>
      <c r="X31" s="23"/>
      <c r="Y31" s="21" t="str">
        <f t="shared" si="30"/>
        <v/>
      </c>
      <c r="Z31" s="23"/>
      <c r="AA31" s="21" t="str">
        <f t="shared" si="31"/>
        <v/>
      </c>
      <c r="AB31" s="23"/>
      <c r="AC31" s="21" t="str">
        <f t="shared" si="32"/>
        <v/>
      </c>
      <c r="AD31" s="23"/>
      <c r="AG31" s="25" t="str">
        <f t="shared" si="22"/>
        <v/>
      </c>
      <c r="AK31" s="10">
        <f t="shared" si="1"/>
        <v>1</v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1" t="str">
        <f t="shared" si="9"/>
        <v/>
      </c>
      <c r="AT31" s="12" t="str">
        <f t="shared" si="10"/>
        <v/>
      </c>
    </row>
    <row r="32" spans="1:46" ht="18.75" x14ac:dyDescent="0.25">
      <c r="A32" s="5" t="s">
        <v>26</v>
      </c>
      <c r="B32" t="str">
        <f>'Final list of total hauls pros'!M29</f>
        <v>DEN (SD 21-24)</v>
      </c>
      <c r="C32">
        <v>28</v>
      </c>
      <c r="D32">
        <f>'Final list of total hauls pros'!A29</f>
        <v>22092</v>
      </c>
      <c r="E32" t="str">
        <f t="shared" si="0"/>
        <v>22</v>
      </c>
      <c r="F32" t="str">
        <f>'Final list of total hauls pros'!B29</f>
        <v>40G0</v>
      </c>
      <c r="G32" t="str">
        <f>'Final list of total hauls pros'!I29</f>
        <v>DEN</v>
      </c>
      <c r="H32" t="str">
        <f>'Final list of total hauls pros'!L29</f>
        <v>21-24</v>
      </c>
      <c r="I32" t="str">
        <f t="shared" si="11"/>
        <v>DEN (SD 21-24)</v>
      </c>
      <c r="K32" s="20">
        <f t="shared" si="23"/>
        <v>1</v>
      </c>
      <c r="L32" s="23"/>
      <c r="M32" s="21" t="str">
        <f t="shared" si="24"/>
        <v/>
      </c>
      <c r="N32" s="23"/>
      <c r="O32" s="21" t="str">
        <f t="shared" si="25"/>
        <v/>
      </c>
      <c r="P32" s="23"/>
      <c r="Q32" s="21" t="str">
        <f t="shared" si="26"/>
        <v/>
      </c>
      <c r="R32" s="23"/>
      <c r="S32" s="21" t="str">
        <f t="shared" si="27"/>
        <v/>
      </c>
      <c r="T32" s="23"/>
      <c r="U32" s="21" t="str">
        <f t="shared" si="28"/>
        <v/>
      </c>
      <c r="V32" s="23"/>
      <c r="W32" s="21" t="str">
        <f t="shared" si="29"/>
        <v/>
      </c>
      <c r="X32" s="23"/>
      <c r="Y32" s="21" t="str">
        <f t="shared" si="30"/>
        <v/>
      </c>
      <c r="Z32" s="23"/>
      <c r="AA32" s="21" t="str">
        <f t="shared" si="31"/>
        <v/>
      </c>
      <c r="AB32" s="23"/>
      <c r="AC32" s="21" t="str">
        <f t="shared" si="32"/>
        <v/>
      </c>
      <c r="AD32" s="23"/>
      <c r="AG32" s="25" t="str">
        <f t="shared" si="22"/>
        <v/>
      </c>
      <c r="AK32" s="10">
        <f t="shared" si="1"/>
        <v>1</v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 t="str">
        <f t="shared" si="7"/>
        <v/>
      </c>
      <c r="AR32" s="11" t="str">
        <f t="shared" si="8"/>
        <v/>
      </c>
      <c r="AS32" s="11" t="str">
        <f t="shared" si="9"/>
        <v/>
      </c>
      <c r="AT32" s="12" t="str">
        <f t="shared" si="10"/>
        <v/>
      </c>
    </row>
    <row r="33" spans="1:46" ht="18.75" x14ac:dyDescent="0.25">
      <c r="A33" s="5" t="s">
        <v>26</v>
      </c>
      <c r="B33" t="str">
        <f>'Final list of total hauls pros'!M30</f>
        <v>DEN (SD 21-24)</v>
      </c>
      <c r="C33">
        <v>29</v>
      </c>
      <c r="D33">
        <f>'Final list of total hauls pros'!A30</f>
        <v>22103</v>
      </c>
      <c r="E33" t="str">
        <f t="shared" si="0"/>
        <v>22</v>
      </c>
      <c r="F33" t="str">
        <f>'Final list of total hauls pros'!B30</f>
        <v>39G1</v>
      </c>
      <c r="G33" t="str">
        <f>'Final list of total hauls pros'!I30</f>
        <v>DEN</v>
      </c>
      <c r="H33" t="str">
        <f>'Final list of total hauls pros'!L30</f>
        <v>21-24</v>
      </c>
      <c r="I33" t="str">
        <f t="shared" si="11"/>
        <v>DEN (SD 21-24)</v>
      </c>
      <c r="K33" s="20">
        <f t="shared" si="23"/>
        <v>1</v>
      </c>
      <c r="L33" s="23"/>
      <c r="M33" s="21" t="str">
        <f t="shared" si="24"/>
        <v/>
      </c>
      <c r="N33" s="23"/>
      <c r="O33" s="21" t="str">
        <f t="shared" si="25"/>
        <v/>
      </c>
      <c r="P33" s="23"/>
      <c r="Q33" s="21" t="str">
        <f t="shared" si="26"/>
        <v/>
      </c>
      <c r="R33" s="23"/>
      <c r="S33" s="21" t="str">
        <f t="shared" si="27"/>
        <v/>
      </c>
      <c r="T33" s="23"/>
      <c r="U33" s="21" t="str">
        <f t="shared" si="28"/>
        <v/>
      </c>
      <c r="V33" s="23"/>
      <c r="W33" s="21" t="str">
        <f t="shared" si="29"/>
        <v/>
      </c>
      <c r="X33" s="23"/>
      <c r="Y33" s="21" t="str">
        <f t="shared" si="30"/>
        <v/>
      </c>
      <c r="Z33" s="23"/>
      <c r="AA33" s="21" t="str">
        <f t="shared" si="31"/>
        <v/>
      </c>
      <c r="AB33" s="23"/>
      <c r="AC33" s="21" t="str">
        <f t="shared" si="32"/>
        <v/>
      </c>
      <c r="AD33" s="23"/>
      <c r="AG33" s="25" t="str">
        <f t="shared" si="22"/>
        <v/>
      </c>
      <c r="AK33" s="10">
        <f t="shared" si="1"/>
        <v>1</v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 t="str">
        <f t="shared" si="7"/>
        <v/>
      </c>
      <c r="AR33" s="11" t="str">
        <f t="shared" si="8"/>
        <v/>
      </c>
      <c r="AS33" s="11" t="str">
        <f t="shared" si="9"/>
        <v/>
      </c>
      <c r="AT33" s="12" t="str">
        <f t="shared" si="10"/>
        <v/>
      </c>
    </row>
    <row r="34" spans="1:46" ht="18.75" x14ac:dyDescent="0.25">
      <c r="A34" s="5" t="s">
        <v>26</v>
      </c>
      <c r="B34" t="str">
        <f>'Final list of total hauls pros'!M31</f>
        <v>DEN (SD 21-24)</v>
      </c>
      <c r="C34">
        <v>30</v>
      </c>
      <c r="D34">
        <f>'Final list of total hauls pros'!A31</f>
        <v>22111</v>
      </c>
      <c r="E34" t="str">
        <f t="shared" si="0"/>
        <v>22</v>
      </c>
      <c r="F34" t="str">
        <f>'Final list of total hauls pros'!B31</f>
        <v>38G0</v>
      </c>
      <c r="G34" t="str">
        <f>'Final list of total hauls pros'!I31</f>
        <v>DEN</v>
      </c>
      <c r="H34" t="str">
        <f>'Final list of total hauls pros'!L31</f>
        <v>21-24</v>
      </c>
      <c r="I34" t="str">
        <f t="shared" si="11"/>
        <v>DEN (SD 21-24)</v>
      </c>
      <c r="K34" s="20">
        <f t="shared" si="23"/>
        <v>1</v>
      </c>
      <c r="L34" s="23"/>
      <c r="M34" s="21" t="str">
        <f t="shared" si="24"/>
        <v/>
      </c>
      <c r="N34" s="23"/>
      <c r="O34" s="21" t="str">
        <f t="shared" si="25"/>
        <v/>
      </c>
      <c r="P34" s="23"/>
      <c r="Q34" s="21" t="str">
        <f t="shared" si="26"/>
        <v/>
      </c>
      <c r="R34" s="23"/>
      <c r="S34" s="21" t="str">
        <f t="shared" si="27"/>
        <v/>
      </c>
      <c r="T34" s="23"/>
      <c r="U34" s="21" t="str">
        <f t="shared" si="28"/>
        <v/>
      </c>
      <c r="V34" s="23"/>
      <c r="W34" s="21" t="str">
        <f t="shared" si="29"/>
        <v/>
      </c>
      <c r="X34" s="23"/>
      <c r="Y34" s="21" t="str">
        <f t="shared" si="30"/>
        <v/>
      </c>
      <c r="Z34" s="23"/>
      <c r="AA34" s="21" t="str">
        <f t="shared" si="31"/>
        <v/>
      </c>
      <c r="AB34" s="23"/>
      <c r="AC34" s="21" t="str">
        <f t="shared" si="32"/>
        <v/>
      </c>
      <c r="AD34" s="23"/>
      <c r="AG34" s="25" t="str">
        <f t="shared" si="22"/>
        <v/>
      </c>
      <c r="AK34" s="10">
        <f t="shared" si="1"/>
        <v>1</v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1" t="str">
        <f t="shared" si="9"/>
        <v/>
      </c>
      <c r="AT34" s="12" t="str">
        <f t="shared" si="10"/>
        <v/>
      </c>
    </row>
    <row r="35" spans="1:46" ht="18.75" x14ac:dyDescent="0.25">
      <c r="A35" s="5" t="s">
        <v>26</v>
      </c>
      <c r="B35" t="str">
        <f>'Final list of total hauls pros'!M32</f>
        <v>GFR (SD 21-24)</v>
      </c>
      <c r="C35">
        <v>31</v>
      </c>
      <c r="D35">
        <f>'Final list of total hauls pros'!A32</f>
        <v>22114</v>
      </c>
      <c r="E35" t="str">
        <f t="shared" si="0"/>
        <v>22</v>
      </c>
      <c r="F35" t="str">
        <f>'Final list of total hauls pros'!B32</f>
        <v>37G1</v>
      </c>
      <c r="G35" t="str">
        <f>'Final list of total hauls pros'!I32</f>
        <v>GFR</v>
      </c>
      <c r="H35" t="str">
        <f>'Final list of total hauls pros'!L32</f>
        <v>21-24</v>
      </c>
      <c r="I35" t="str">
        <f t="shared" si="11"/>
        <v>GFR (SD 21-24)</v>
      </c>
      <c r="K35" s="20" t="str">
        <f t="shared" si="23"/>
        <v/>
      </c>
      <c r="L35" s="23"/>
      <c r="M35" s="21" t="str">
        <f t="shared" si="24"/>
        <v/>
      </c>
      <c r="N35" s="23"/>
      <c r="O35" s="21" t="str">
        <f t="shared" si="25"/>
        <v/>
      </c>
      <c r="P35" s="23"/>
      <c r="Q35" s="21" t="str">
        <f t="shared" si="26"/>
        <v/>
      </c>
      <c r="R35" s="23"/>
      <c r="S35" s="21" t="str">
        <f t="shared" si="27"/>
        <v/>
      </c>
      <c r="T35" s="23"/>
      <c r="U35" s="21" t="str">
        <f t="shared" si="28"/>
        <v/>
      </c>
      <c r="V35" s="23"/>
      <c r="W35" s="21" t="str">
        <f t="shared" si="29"/>
        <v/>
      </c>
      <c r="X35" s="23"/>
      <c r="Y35" s="21">
        <f t="shared" si="30"/>
        <v>1</v>
      </c>
      <c r="Z35" s="23"/>
      <c r="AA35" s="21" t="str">
        <f t="shared" si="31"/>
        <v/>
      </c>
      <c r="AB35" s="23"/>
      <c r="AC35" s="21" t="str">
        <f t="shared" si="32"/>
        <v/>
      </c>
      <c r="AD35" s="23"/>
      <c r="AG35" s="25" t="str">
        <f t="shared" si="22"/>
        <v/>
      </c>
      <c r="AK35" s="10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 t="str">
        <f t="shared" si="7"/>
        <v/>
      </c>
      <c r="AR35" s="11">
        <f t="shared" si="8"/>
        <v>1</v>
      </c>
      <c r="AS35" s="11" t="str">
        <f t="shared" si="9"/>
        <v/>
      </c>
      <c r="AT35" s="12" t="str">
        <f t="shared" si="10"/>
        <v/>
      </c>
    </row>
    <row r="36" spans="1:46" ht="18.75" x14ac:dyDescent="0.25">
      <c r="A36" s="5" t="s">
        <v>26</v>
      </c>
      <c r="B36" t="str">
        <f>'Final list of total hauls pros'!M33</f>
        <v>DEN (SD 21-24)</v>
      </c>
      <c r="C36">
        <v>32</v>
      </c>
      <c r="D36">
        <f>'Final list of total hauls pros'!A33</f>
        <v>22117</v>
      </c>
      <c r="E36" t="str">
        <f t="shared" si="0"/>
        <v>22</v>
      </c>
      <c r="F36" t="str">
        <f>'Final list of total hauls pros'!B33</f>
        <v>40G0</v>
      </c>
      <c r="G36" t="str">
        <f>'Final list of total hauls pros'!I33</f>
        <v>DEN</v>
      </c>
      <c r="H36" t="str">
        <f>'Final list of total hauls pros'!L33</f>
        <v>21-24</v>
      </c>
      <c r="I36" t="str">
        <f t="shared" si="11"/>
        <v>DEN (SD 21-24)</v>
      </c>
      <c r="K36" s="20">
        <f t="shared" si="23"/>
        <v>1</v>
      </c>
      <c r="L36" s="23"/>
      <c r="M36" s="21" t="str">
        <f t="shared" si="24"/>
        <v/>
      </c>
      <c r="N36" s="23"/>
      <c r="O36" s="21" t="str">
        <f t="shared" si="25"/>
        <v/>
      </c>
      <c r="P36" s="23"/>
      <c r="Q36" s="21" t="str">
        <f t="shared" si="26"/>
        <v/>
      </c>
      <c r="R36" s="23"/>
      <c r="S36" s="21" t="str">
        <f t="shared" si="27"/>
        <v/>
      </c>
      <c r="T36" s="23"/>
      <c r="U36" s="21" t="str">
        <f t="shared" si="28"/>
        <v/>
      </c>
      <c r="V36" s="23"/>
      <c r="W36" s="21" t="str">
        <f t="shared" si="29"/>
        <v/>
      </c>
      <c r="X36" s="23"/>
      <c r="Y36" s="21" t="str">
        <f t="shared" si="30"/>
        <v/>
      </c>
      <c r="Z36" s="23"/>
      <c r="AA36" s="21" t="str">
        <f t="shared" si="31"/>
        <v/>
      </c>
      <c r="AB36" s="23"/>
      <c r="AC36" s="21" t="str">
        <f t="shared" si="32"/>
        <v/>
      </c>
      <c r="AD36" s="23"/>
      <c r="AG36" s="25" t="str">
        <f t="shared" si="22"/>
        <v/>
      </c>
      <c r="AK36" s="10">
        <f t="shared" si="1"/>
        <v>1</v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 t="str">
        <f t="shared" si="7"/>
        <v/>
      </c>
      <c r="AR36" s="11" t="str">
        <f t="shared" si="8"/>
        <v/>
      </c>
      <c r="AS36" s="11" t="str">
        <f t="shared" si="9"/>
        <v/>
      </c>
      <c r="AT36" s="12" t="str">
        <f t="shared" si="10"/>
        <v/>
      </c>
    </row>
    <row r="37" spans="1:46" ht="18.75" x14ac:dyDescent="0.25">
      <c r="A37" s="5" t="s">
        <v>26</v>
      </c>
      <c r="B37" t="str">
        <f>'Final list of total hauls pros'!M34</f>
        <v>DEN (SD 21-24)</v>
      </c>
      <c r="C37">
        <v>33</v>
      </c>
      <c r="D37">
        <f>'Final list of total hauls pros'!A34</f>
        <v>22118</v>
      </c>
      <c r="E37" t="str">
        <f t="shared" si="0"/>
        <v>22</v>
      </c>
      <c r="F37" t="str">
        <f>'Final list of total hauls pros'!B34</f>
        <v>40G0</v>
      </c>
      <c r="G37" t="str">
        <f>'Final list of total hauls pros'!I34</f>
        <v>DEN</v>
      </c>
      <c r="H37" t="str">
        <f>'Final list of total hauls pros'!L34</f>
        <v>21-24</v>
      </c>
      <c r="I37" t="str">
        <f t="shared" si="11"/>
        <v>DEN (SD 21-24)</v>
      </c>
      <c r="K37" s="20">
        <f t="shared" si="23"/>
        <v>1</v>
      </c>
      <c r="L37" s="23"/>
      <c r="M37" s="21" t="str">
        <f t="shared" si="24"/>
        <v/>
      </c>
      <c r="N37" s="23"/>
      <c r="O37" s="21" t="str">
        <f t="shared" si="25"/>
        <v/>
      </c>
      <c r="P37" s="23"/>
      <c r="Q37" s="21" t="str">
        <f t="shared" si="26"/>
        <v/>
      </c>
      <c r="R37" s="23"/>
      <c r="S37" s="21" t="str">
        <f t="shared" si="27"/>
        <v/>
      </c>
      <c r="T37" s="23"/>
      <c r="U37" s="21" t="str">
        <f t="shared" si="28"/>
        <v/>
      </c>
      <c r="V37" s="23"/>
      <c r="W37" s="21" t="str">
        <f t="shared" si="29"/>
        <v/>
      </c>
      <c r="X37" s="23"/>
      <c r="Y37" s="21" t="str">
        <f t="shared" si="30"/>
        <v/>
      </c>
      <c r="Z37" s="23"/>
      <c r="AA37" s="21" t="str">
        <f t="shared" si="31"/>
        <v/>
      </c>
      <c r="AB37" s="23"/>
      <c r="AC37" s="21" t="str">
        <f t="shared" si="32"/>
        <v/>
      </c>
      <c r="AD37" s="23"/>
      <c r="AG37" s="25" t="str">
        <f t="shared" si="22"/>
        <v/>
      </c>
      <c r="AK37" s="10">
        <f t="shared" si="1"/>
        <v>1</v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 t="str">
        <f t="shared" si="7"/>
        <v/>
      </c>
      <c r="AR37" s="11" t="str">
        <f t="shared" si="8"/>
        <v/>
      </c>
      <c r="AS37" s="11" t="str">
        <f t="shared" si="9"/>
        <v/>
      </c>
      <c r="AT37" s="12" t="str">
        <f t="shared" si="10"/>
        <v/>
      </c>
    </row>
    <row r="38" spans="1:46" ht="18.75" x14ac:dyDescent="0.25">
      <c r="A38" s="5" t="s">
        <v>26</v>
      </c>
      <c r="B38" t="str">
        <f>'Final list of total hauls pros'!M35</f>
        <v>DEN (SD 21-24)</v>
      </c>
      <c r="C38">
        <v>34</v>
      </c>
      <c r="D38">
        <f>'Final list of total hauls pros'!A35</f>
        <v>22122</v>
      </c>
      <c r="E38" t="str">
        <f t="shared" si="0"/>
        <v>22</v>
      </c>
      <c r="F38" t="str">
        <f>'Final list of total hauls pros'!B35</f>
        <v>39G0</v>
      </c>
      <c r="G38" t="str">
        <f>'Final list of total hauls pros'!I35</f>
        <v>DEN</v>
      </c>
      <c r="H38" t="str">
        <f>'Final list of total hauls pros'!L35</f>
        <v>21-24</v>
      </c>
      <c r="I38" t="str">
        <f t="shared" si="11"/>
        <v>DEN (SD 21-24)</v>
      </c>
      <c r="K38" s="20">
        <f t="shared" si="23"/>
        <v>1</v>
      </c>
      <c r="L38" s="23"/>
      <c r="M38" s="21" t="str">
        <f t="shared" si="24"/>
        <v/>
      </c>
      <c r="N38" s="23"/>
      <c r="O38" s="21" t="str">
        <f t="shared" si="25"/>
        <v/>
      </c>
      <c r="P38" s="23"/>
      <c r="Q38" s="21" t="str">
        <f t="shared" si="26"/>
        <v/>
      </c>
      <c r="R38" s="23"/>
      <c r="S38" s="21" t="str">
        <f t="shared" si="27"/>
        <v/>
      </c>
      <c r="T38" s="23"/>
      <c r="U38" s="21" t="str">
        <f t="shared" si="28"/>
        <v/>
      </c>
      <c r="V38" s="23"/>
      <c r="W38" s="21" t="str">
        <f t="shared" si="29"/>
        <v/>
      </c>
      <c r="X38" s="23"/>
      <c r="Y38" s="21" t="str">
        <f t="shared" si="30"/>
        <v/>
      </c>
      <c r="Z38" s="23"/>
      <c r="AA38" s="21" t="str">
        <f t="shared" si="31"/>
        <v/>
      </c>
      <c r="AB38" s="23"/>
      <c r="AC38" s="21" t="str">
        <f t="shared" si="32"/>
        <v/>
      </c>
      <c r="AD38" s="23"/>
      <c r="AG38" s="25" t="str">
        <f t="shared" si="22"/>
        <v/>
      </c>
      <c r="AK38" s="10">
        <f t="shared" si="1"/>
        <v>1</v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 t="str">
        <f t="shared" si="7"/>
        <v/>
      </c>
      <c r="AR38" s="11" t="str">
        <f t="shared" si="8"/>
        <v/>
      </c>
      <c r="AS38" s="11" t="str">
        <f t="shared" si="9"/>
        <v/>
      </c>
      <c r="AT38" s="12" t="str">
        <f t="shared" si="10"/>
        <v/>
      </c>
    </row>
    <row r="39" spans="1:46" ht="18.75" x14ac:dyDescent="0.25">
      <c r="A39" s="5" t="s">
        <v>26</v>
      </c>
      <c r="B39" t="str">
        <f>'Final list of total hauls pros'!M36</f>
        <v>DEN (SD 21-24)</v>
      </c>
      <c r="C39">
        <v>35</v>
      </c>
      <c r="D39">
        <f>'Final list of total hauls pros'!A36</f>
        <v>22124</v>
      </c>
      <c r="E39" t="str">
        <f t="shared" si="0"/>
        <v>22</v>
      </c>
      <c r="F39" t="str">
        <f>'Final list of total hauls pros'!B36</f>
        <v>38F9</v>
      </c>
      <c r="G39" t="str">
        <f>'Final list of total hauls pros'!I36</f>
        <v>DEN</v>
      </c>
      <c r="H39" t="str">
        <f>'Final list of total hauls pros'!L36</f>
        <v>21-24</v>
      </c>
      <c r="I39" t="str">
        <f t="shared" si="11"/>
        <v>DEN (SD 21-24)</v>
      </c>
      <c r="K39" s="20">
        <f t="shared" si="23"/>
        <v>1</v>
      </c>
      <c r="L39" s="23"/>
      <c r="M39" s="21" t="str">
        <f t="shared" si="24"/>
        <v/>
      </c>
      <c r="N39" s="23"/>
      <c r="O39" s="21" t="str">
        <f t="shared" si="25"/>
        <v/>
      </c>
      <c r="P39" s="23"/>
      <c r="Q39" s="21" t="str">
        <f t="shared" si="26"/>
        <v/>
      </c>
      <c r="R39" s="23"/>
      <c r="S39" s="21" t="str">
        <f t="shared" si="27"/>
        <v/>
      </c>
      <c r="T39" s="23"/>
      <c r="U39" s="21" t="str">
        <f t="shared" si="28"/>
        <v/>
      </c>
      <c r="V39" s="23"/>
      <c r="W39" s="21" t="str">
        <f t="shared" si="29"/>
        <v/>
      </c>
      <c r="X39" s="23"/>
      <c r="Y39" s="21" t="str">
        <f t="shared" si="30"/>
        <v/>
      </c>
      <c r="Z39" s="23"/>
      <c r="AA39" s="21" t="str">
        <f t="shared" si="31"/>
        <v/>
      </c>
      <c r="AB39" s="23"/>
      <c r="AC39" s="21" t="str">
        <f t="shared" si="32"/>
        <v/>
      </c>
      <c r="AD39" s="23"/>
      <c r="AG39" s="25" t="str">
        <f t="shared" si="22"/>
        <v/>
      </c>
      <c r="AK39" s="10">
        <f t="shared" si="1"/>
        <v>1</v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 t="str">
        <f t="shared" si="7"/>
        <v/>
      </c>
      <c r="AR39" s="11" t="str">
        <f t="shared" si="8"/>
        <v/>
      </c>
      <c r="AS39" s="11" t="str">
        <f t="shared" si="9"/>
        <v/>
      </c>
      <c r="AT39" s="12" t="str">
        <f t="shared" si="10"/>
        <v/>
      </c>
    </row>
    <row r="40" spans="1:46" ht="18.75" x14ac:dyDescent="0.25">
      <c r="A40" s="5" t="s">
        <v>26</v>
      </c>
      <c r="B40" t="str">
        <f>'Final list of total hauls pros'!M37</f>
        <v>DEN (SD 21-24)</v>
      </c>
      <c r="C40">
        <v>36</v>
      </c>
      <c r="D40">
        <f>'Final list of total hauls pros'!A37</f>
        <v>22125</v>
      </c>
      <c r="E40" t="str">
        <f t="shared" si="0"/>
        <v>22</v>
      </c>
      <c r="F40" t="str">
        <f>'Final list of total hauls pros'!B37</f>
        <v>39G0</v>
      </c>
      <c r="G40" t="str">
        <f>'Final list of total hauls pros'!I37</f>
        <v>DEN</v>
      </c>
      <c r="H40" t="str">
        <f>'Final list of total hauls pros'!L37</f>
        <v>21-24</v>
      </c>
      <c r="I40" t="str">
        <f t="shared" si="11"/>
        <v>DEN (SD 21-24)</v>
      </c>
      <c r="K40" s="20">
        <f t="shared" si="23"/>
        <v>1</v>
      </c>
      <c r="L40" s="23"/>
      <c r="M40" s="21" t="str">
        <f t="shared" si="24"/>
        <v/>
      </c>
      <c r="N40" s="23"/>
      <c r="O40" s="21" t="str">
        <f t="shared" si="25"/>
        <v/>
      </c>
      <c r="P40" s="23"/>
      <c r="Q40" s="21" t="str">
        <f t="shared" si="26"/>
        <v/>
      </c>
      <c r="R40" s="23"/>
      <c r="S40" s="21" t="str">
        <f t="shared" si="27"/>
        <v/>
      </c>
      <c r="T40" s="23"/>
      <c r="U40" s="21" t="str">
        <f t="shared" si="28"/>
        <v/>
      </c>
      <c r="V40" s="23"/>
      <c r="W40" s="21" t="str">
        <f t="shared" si="29"/>
        <v/>
      </c>
      <c r="X40" s="23"/>
      <c r="Y40" s="21" t="str">
        <f t="shared" si="30"/>
        <v/>
      </c>
      <c r="Z40" s="23"/>
      <c r="AA40" s="21" t="str">
        <f t="shared" si="31"/>
        <v/>
      </c>
      <c r="AB40" s="23"/>
      <c r="AC40" s="21" t="str">
        <f t="shared" si="32"/>
        <v/>
      </c>
      <c r="AD40" s="23"/>
      <c r="AG40" s="25" t="str">
        <f t="shared" si="22"/>
        <v/>
      </c>
      <c r="AK40" s="10">
        <f t="shared" si="1"/>
        <v>1</v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 t="str">
        <f t="shared" si="7"/>
        <v/>
      </c>
      <c r="AR40" s="11" t="str">
        <f t="shared" si="8"/>
        <v/>
      </c>
      <c r="AS40" s="11" t="str">
        <f t="shared" si="9"/>
        <v/>
      </c>
      <c r="AT40" s="12" t="str">
        <f t="shared" si="10"/>
        <v/>
      </c>
    </row>
    <row r="41" spans="1:46" ht="18.75" x14ac:dyDescent="0.25">
      <c r="A41" s="5" t="s">
        <v>26</v>
      </c>
      <c r="B41" t="str">
        <f>'Final list of total hauls pros'!M38</f>
        <v>DEN (SD 21-24)</v>
      </c>
      <c r="C41">
        <v>37</v>
      </c>
      <c r="D41">
        <f>'Final list of total hauls pros'!A38</f>
        <v>22130</v>
      </c>
      <c r="E41" t="str">
        <f t="shared" si="0"/>
        <v>22</v>
      </c>
      <c r="F41" t="str">
        <f>'Final list of total hauls pros'!B38</f>
        <v>39G0</v>
      </c>
      <c r="G41" t="str">
        <f>'Final list of total hauls pros'!I38</f>
        <v>DEN</v>
      </c>
      <c r="H41" t="str">
        <f>'Final list of total hauls pros'!L38</f>
        <v>21-24</v>
      </c>
      <c r="I41" t="str">
        <f t="shared" si="11"/>
        <v>DEN (SD 21-24)</v>
      </c>
      <c r="K41" s="20">
        <f t="shared" si="23"/>
        <v>1</v>
      </c>
      <c r="L41" s="23"/>
      <c r="M41" s="21" t="str">
        <f t="shared" si="24"/>
        <v/>
      </c>
      <c r="N41" s="23"/>
      <c r="O41" s="21" t="str">
        <f t="shared" si="25"/>
        <v/>
      </c>
      <c r="P41" s="23"/>
      <c r="Q41" s="21" t="str">
        <f t="shared" si="26"/>
        <v/>
      </c>
      <c r="R41" s="23"/>
      <c r="S41" s="21" t="str">
        <f t="shared" si="27"/>
        <v/>
      </c>
      <c r="T41" s="23"/>
      <c r="U41" s="21" t="str">
        <f t="shared" si="28"/>
        <v/>
      </c>
      <c r="V41" s="23"/>
      <c r="W41" s="21" t="str">
        <f t="shared" si="29"/>
        <v/>
      </c>
      <c r="X41" s="23"/>
      <c r="Y41" s="21" t="str">
        <f t="shared" si="30"/>
        <v/>
      </c>
      <c r="Z41" s="23"/>
      <c r="AA41" s="21" t="str">
        <f t="shared" si="31"/>
        <v/>
      </c>
      <c r="AB41" s="23"/>
      <c r="AC41" s="21" t="str">
        <f t="shared" si="32"/>
        <v/>
      </c>
      <c r="AD41" s="23"/>
      <c r="AG41" s="25" t="str">
        <f t="shared" si="22"/>
        <v/>
      </c>
      <c r="AK41" s="10">
        <f t="shared" si="1"/>
        <v>1</v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 t="str">
        <f t="shared" si="7"/>
        <v/>
      </c>
      <c r="AR41" s="11" t="str">
        <f t="shared" si="8"/>
        <v/>
      </c>
      <c r="AS41" s="11" t="str">
        <f t="shared" si="9"/>
        <v/>
      </c>
      <c r="AT41" s="12" t="str">
        <f t="shared" si="10"/>
        <v/>
      </c>
    </row>
    <row r="42" spans="1:46" ht="18.75" x14ac:dyDescent="0.25">
      <c r="A42" s="5" t="s">
        <v>26</v>
      </c>
      <c r="B42" t="str">
        <f>'Final list of total hauls pros'!M39</f>
        <v>DEN (SD 21-24)</v>
      </c>
      <c r="C42">
        <v>38</v>
      </c>
      <c r="D42">
        <f>'Final list of total hauls pros'!A39</f>
        <v>22131</v>
      </c>
      <c r="E42" t="str">
        <f t="shared" si="0"/>
        <v>22</v>
      </c>
      <c r="F42" t="str">
        <f>'Final list of total hauls pros'!B39</f>
        <v>38G0</v>
      </c>
      <c r="G42" t="str">
        <f>'Final list of total hauls pros'!I39</f>
        <v>DEN</v>
      </c>
      <c r="H42" t="str">
        <f>'Final list of total hauls pros'!L39</f>
        <v>21-24</v>
      </c>
      <c r="I42" t="str">
        <f t="shared" si="11"/>
        <v>DEN (SD 21-24)</v>
      </c>
      <c r="K42" s="20">
        <f t="shared" si="23"/>
        <v>1</v>
      </c>
      <c r="L42" s="23"/>
      <c r="M42" s="21" t="str">
        <f t="shared" si="24"/>
        <v/>
      </c>
      <c r="N42" s="23"/>
      <c r="O42" s="21" t="str">
        <f t="shared" si="25"/>
        <v/>
      </c>
      <c r="P42" s="23"/>
      <c r="Q42" s="21" t="str">
        <f t="shared" si="26"/>
        <v/>
      </c>
      <c r="R42" s="23"/>
      <c r="S42" s="21" t="str">
        <f t="shared" si="27"/>
        <v/>
      </c>
      <c r="T42" s="23"/>
      <c r="U42" s="21" t="str">
        <f t="shared" si="28"/>
        <v/>
      </c>
      <c r="V42" s="23"/>
      <c r="W42" s="21" t="str">
        <f t="shared" si="29"/>
        <v/>
      </c>
      <c r="X42" s="23"/>
      <c r="Y42" s="21" t="str">
        <f t="shared" si="30"/>
        <v/>
      </c>
      <c r="Z42" s="23"/>
      <c r="AA42" s="21" t="str">
        <f t="shared" si="31"/>
        <v/>
      </c>
      <c r="AB42" s="23"/>
      <c r="AC42" s="21" t="str">
        <f t="shared" si="32"/>
        <v/>
      </c>
      <c r="AD42" s="23"/>
      <c r="AG42" s="25" t="str">
        <f t="shared" si="22"/>
        <v/>
      </c>
      <c r="AK42" s="10">
        <f t="shared" si="1"/>
        <v>1</v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 t="str">
        <f t="shared" si="7"/>
        <v/>
      </c>
      <c r="AR42" s="11" t="str">
        <f t="shared" si="8"/>
        <v/>
      </c>
      <c r="AS42" s="11" t="str">
        <f t="shared" si="9"/>
        <v/>
      </c>
      <c r="AT42" s="12" t="str">
        <f t="shared" si="10"/>
        <v/>
      </c>
    </row>
    <row r="43" spans="1:46" ht="18.75" x14ac:dyDescent="0.25">
      <c r="A43" s="5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22135</v>
      </c>
      <c r="E43" t="str">
        <f t="shared" si="0"/>
        <v>22</v>
      </c>
      <c r="F43" t="str">
        <f>'Final list of total hauls pros'!B40</f>
        <v>38G1</v>
      </c>
      <c r="G43" t="str">
        <f>'Final list of total hauls pros'!I40</f>
        <v>GFR</v>
      </c>
      <c r="H43" t="str">
        <f>'Final list of total hauls pros'!L40</f>
        <v>21-24</v>
      </c>
      <c r="I43" t="str">
        <f t="shared" si="11"/>
        <v>GFR (SD 21-24)</v>
      </c>
      <c r="K43" s="20" t="str">
        <f t="shared" si="23"/>
        <v/>
      </c>
      <c r="L43" s="23"/>
      <c r="M43" s="21" t="str">
        <f t="shared" si="24"/>
        <v/>
      </c>
      <c r="N43" s="23"/>
      <c r="O43" s="21" t="str">
        <f t="shared" si="25"/>
        <v/>
      </c>
      <c r="P43" s="23"/>
      <c r="Q43" s="21" t="str">
        <f t="shared" si="26"/>
        <v/>
      </c>
      <c r="R43" s="23"/>
      <c r="S43" s="21" t="str">
        <f t="shared" si="27"/>
        <v/>
      </c>
      <c r="T43" s="23"/>
      <c r="U43" s="21" t="str">
        <f t="shared" si="28"/>
        <v/>
      </c>
      <c r="V43" s="23"/>
      <c r="W43" s="21" t="str">
        <f t="shared" si="29"/>
        <v/>
      </c>
      <c r="X43" s="23"/>
      <c r="Y43" s="21">
        <f t="shared" si="30"/>
        <v>1</v>
      </c>
      <c r="Z43" s="23"/>
      <c r="AA43" s="21" t="str">
        <f t="shared" si="31"/>
        <v/>
      </c>
      <c r="AB43" s="23"/>
      <c r="AC43" s="21" t="str">
        <f t="shared" si="32"/>
        <v/>
      </c>
      <c r="AD43" s="23"/>
      <c r="AG43" s="25" t="str">
        <f t="shared" si="22"/>
        <v/>
      </c>
      <c r="AK43" s="10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 t="str">
        <f t="shared" si="7"/>
        <v/>
      </c>
      <c r="AR43" s="11">
        <f t="shared" si="8"/>
        <v>1</v>
      </c>
      <c r="AS43" s="11" t="str">
        <f t="shared" si="9"/>
        <v/>
      </c>
      <c r="AT43" s="12" t="str">
        <f t="shared" si="10"/>
        <v/>
      </c>
    </row>
    <row r="44" spans="1:46" ht="18.75" x14ac:dyDescent="0.25">
      <c r="A44" s="5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22136</v>
      </c>
      <c r="E44" t="str">
        <f t="shared" si="0"/>
        <v>22</v>
      </c>
      <c r="F44" t="str">
        <f>'Final list of total hauls pros'!B41</f>
        <v>38G0</v>
      </c>
      <c r="G44" t="str">
        <f>'Final list of total hauls pros'!I41</f>
        <v>GFR</v>
      </c>
      <c r="H44" t="str">
        <f>'Final list of total hauls pros'!L41</f>
        <v>21-24</v>
      </c>
      <c r="I44" t="str">
        <f t="shared" si="11"/>
        <v>GFR (SD 21-24)</v>
      </c>
      <c r="K44" s="20" t="str">
        <f t="shared" si="23"/>
        <v/>
      </c>
      <c r="L44" s="23"/>
      <c r="M44" s="21" t="str">
        <f t="shared" si="24"/>
        <v/>
      </c>
      <c r="N44" s="23"/>
      <c r="O44" s="21" t="str">
        <f t="shared" si="25"/>
        <v/>
      </c>
      <c r="P44" s="23"/>
      <c r="Q44" s="21" t="str">
        <f t="shared" si="26"/>
        <v/>
      </c>
      <c r="R44" s="23"/>
      <c r="S44" s="21" t="str">
        <f t="shared" si="27"/>
        <v/>
      </c>
      <c r="T44" s="23"/>
      <c r="U44" s="21" t="str">
        <f t="shared" si="28"/>
        <v/>
      </c>
      <c r="V44" s="23"/>
      <c r="W44" s="21" t="str">
        <f t="shared" si="29"/>
        <v/>
      </c>
      <c r="X44" s="23"/>
      <c r="Y44" s="21">
        <f t="shared" si="30"/>
        <v>1</v>
      </c>
      <c r="Z44" s="23"/>
      <c r="AA44" s="21" t="str">
        <f t="shared" si="31"/>
        <v/>
      </c>
      <c r="AB44" s="23"/>
      <c r="AC44" s="21" t="str">
        <f t="shared" si="32"/>
        <v/>
      </c>
      <c r="AD44" s="23"/>
      <c r="AG44" s="25" t="str">
        <f t="shared" si="22"/>
        <v/>
      </c>
      <c r="AK44" s="10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 t="str">
        <f t="shared" si="7"/>
        <v/>
      </c>
      <c r="AR44" s="11">
        <f t="shared" si="8"/>
        <v>1</v>
      </c>
      <c r="AS44" s="11" t="str">
        <f t="shared" si="9"/>
        <v/>
      </c>
      <c r="AT44" s="12" t="str">
        <f t="shared" si="10"/>
        <v/>
      </c>
    </row>
    <row r="45" spans="1:46" ht="18.75" x14ac:dyDescent="0.25">
      <c r="A45" s="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22141</v>
      </c>
      <c r="E45" t="str">
        <f t="shared" si="0"/>
        <v>22</v>
      </c>
      <c r="F45" t="str">
        <f>'Final list of total hauls pros'!B42</f>
        <v>37G1</v>
      </c>
      <c r="G45" t="str">
        <f>'Final list of total hauls pros'!I42</f>
        <v>GFR</v>
      </c>
      <c r="H45" t="str">
        <f>'Final list of total hauls pros'!L42</f>
        <v>21-24</v>
      </c>
      <c r="I45" t="str">
        <f t="shared" si="11"/>
        <v>GFR (SD 21-24)</v>
      </c>
      <c r="K45" s="20" t="str">
        <f t="shared" si="23"/>
        <v/>
      </c>
      <c r="L45" s="23"/>
      <c r="M45" s="21" t="str">
        <f t="shared" si="24"/>
        <v/>
      </c>
      <c r="N45" s="23"/>
      <c r="O45" s="21" t="str">
        <f t="shared" si="25"/>
        <v/>
      </c>
      <c r="P45" s="23"/>
      <c r="Q45" s="21" t="str">
        <f t="shared" si="26"/>
        <v/>
      </c>
      <c r="R45" s="23"/>
      <c r="S45" s="21" t="str">
        <f t="shared" si="27"/>
        <v/>
      </c>
      <c r="T45" s="23"/>
      <c r="U45" s="21" t="str">
        <f t="shared" si="28"/>
        <v/>
      </c>
      <c r="V45" s="23"/>
      <c r="W45" s="21" t="str">
        <f t="shared" si="29"/>
        <v/>
      </c>
      <c r="X45" s="23"/>
      <c r="Y45" s="21">
        <f t="shared" si="30"/>
        <v>1</v>
      </c>
      <c r="Z45" s="23"/>
      <c r="AA45" s="21" t="str">
        <f t="shared" si="31"/>
        <v/>
      </c>
      <c r="AB45" s="23"/>
      <c r="AC45" s="21" t="str">
        <f t="shared" si="32"/>
        <v/>
      </c>
      <c r="AD45" s="23"/>
      <c r="AG45" s="25" t="str">
        <f t="shared" si="22"/>
        <v/>
      </c>
      <c r="AK45" s="10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 t="str">
        <f t="shared" si="7"/>
        <v/>
      </c>
      <c r="AR45" s="11">
        <f t="shared" si="8"/>
        <v>1</v>
      </c>
      <c r="AS45" s="11" t="str">
        <f t="shared" si="9"/>
        <v/>
      </c>
      <c r="AT45" s="12" t="str">
        <f t="shared" si="10"/>
        <v/>
      </c>
    </row>
    <row r="46" spans="1:46" ht="18.75" x14ac:dyDescent="0.25">
      <c r="A46" s="5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22142</v>
      </c>
      <c r="E46" t="str">
        <f t="shared" si="0"/>
        <v>22</v>
      </c>
      <c r="F46" t="str">
        <f>'Final list of total hauls pros'!B43</f>
        <v>37G1</v>
      </c>
      <c r="G46" t="str">
        <f>'Final list of total hauls pros'!I43</f>
        <v>GFR</v>
      </c>
      <c r="H46" t="str">
        <f>'Final list of total hauls pros'!L43</f>
        <v>21-24</v>
      </c>
      <c r="I46" t="str">
        <f t="shared" si="11"/>
        <v>GFR (SD 21-24)</v>
      </c>
      <c r="K46" s="20" t="str">
        <f t="shared" si="23"/>
        <v/>
      </c>
      <c r="L46" s="23"/>
      <c r="M46" s="21" t="str">
        <f t="shared" si="24"/>
        <v/>
      </c>
      <c r="N46" s="23"/>
      <c r="O46" s="21" t="str">
        <f t="shared" si="25"/>
        <v/>
      </c>
      <c r="P46" s="23"/>
      <c r="Q46" s="21" t="str">
        <f t="shared" si="26"/>
        <v/>
      </c>
      <c r="R46" s="23"/>
      <c r="S46" s="21" t="str">
        <f t="shared" si="27"/>
        <v/>
      </c>
      <c r="T46" s="23"/>
      <c r="U46" s="21" t="str">
        <f t="shared" si="28"/>
        <v/>
      </c>
      <c r="V46" s="23"/>
      <c r="W46" s="21" t="str">
        <f t="shared" si="29"/>
        <v/>
      </c>
      <c r="X46" s="23"/>
      <c r="Y46" s="21">
        <f t="shared" si="30"/>
        <v>1</v>
      </c>
      <c r="Z46" s="23"/>
      <c r="AA46" s="21" t="str">
        <f t="shared" si="31"/>
        <v/>
      </c>
      <c r="AB46" s="23"/>
      <c r="AC46" s="21" t="str">
        <f t="shared" si="32"/>
        <v/>
      </c>
      <c r="AD46" s="23"/>
      <c r="AG46" s="25" t="str">
        <f t="shared" si="22"/>
        <v/>
      </c>
      <c r="AK46" s="10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 t="str">
        <f t="shared" si="7"/>
        <v/>
      </c>
      <c r="AR46" s="11">
        <f t="shared" si="8"/>
        <v>1</v>
      </c>
      <c r="AS46" s="11" t="str">
        <f t="shared" si="9"/>
        <v/>
      </c>
      <c r="AT46" s="12" t="str">
        <f t="shared" si="10"/>
        <v/>
      </c>
    </row>
    <row r="47" spans="1:46" ht="18.75" x14ac:dyDescent="0.25">
      <c r="A47" s="5" t="s">
        <v>26</v>
      </c>
      <c r="B47" t="str">
        <f>'Final list of total hauls pros'!M44</f>
        <v>GFR (SD 21-24)</v>
      </c>
      <c r="C47">
        <v>43</v>
      </c>
      <c r="D47">
        <f>'Final list of total hauls pros'!A44</f>
        <v>22143</v>
      </c>
      <c r="E47" t="str">
        <f t="shared" si="0"/>
        <v>22</v>
      </c>
      <c r="F47" t="str">
        <f>'Final list of total hauls pros'!B44</f>
        <v>37G1</v>
      </c>
      <c r="G47" t="str">
        <f>'Final list of total hauls pros'!I44</f>
        <v>GFR</v>
      </c>
      <c r="H47" t="str">
        <f>'Final list of total hauls pros'!L44</f>
        <v>21-24</v>
      </c>
      <c r="I47" t="str">
        <f t="shared" si="11"/>
        <v>GFR (SD 21-24)</v>
      </c>
      <c r="K47" s="20" t="str">
        <f t="shared" si="23"/>
        <v/>
      </c>
      <c r="L47" s="23"/>
      <c r="M47" s="21" t="str">
        <f t="shared" si="24"/>
        <v/>
      </c>
      <c r="N47" s="23"/>
      <c r="O47" s="21" t="str">
        <f t="shared" si="25"/>
        <v/>
      </c>
      <c r="P47" s="23"/>
      <c r="Q47" s="21" t="str">
        <f t="shared" si="26"/>
        <v/>
      </c>
      <c r="R47" s="23"/>
      <c r="S47" s="21" t="str">
        <f t="shared" si="27"/>
        <v/>
      </c>
      <c r="T47" s="23"/>
      <c r="U47" s="21" t="str">
        <f t="shared" si="28"/>
        <v/>
      </c>
      <c r="V47" s="23"/>
      <c r="W47" s="21" t="str">
        <f t="shared" si="29"/>
        <v/>
      </c>
      <c r="X47" s="23"/>
      <c r="Y47" s="21">
        <f t="shared" si="30"/>
        <v>1</v>
      </c>
      <c r="Z47" s="23"/>
      <c r="AA47" s="21" t="str">
        <f t="shared" si="31"/>
        <v/>
      </c>
      <c r="AB47" s="23"/>
      <c r="AC47" s="21" t="str">
        <f t="shared" si="32"/>
        <v/>
      </c>
      <c r="AD47" s="23"/>
      <c r="AG47" s="25" t="str">
        <f t="shared" si="22"/>
        <v/>
      </c>
      <c r="AK47" s="10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 t="str">
        <f t="shared" si="7"/>
        <v/>
      </c>
      <c r="AR47" s="11">
        <f t="shared" si="8"/>
        <v>1</v>
      </c>
      <c r="AS47" s="11" t="str">
        <f t="shared" si="9"/>
        <v/>
      </c>
      <c r="AT47" s="12" t="str">
        <f t="shared" si="10"/>
        <v/>
      </c>
    </row>
    <row r="48" spans="1:46" ht="18.75" x14ac:dyDescent="0.25">
      <c r="A48" s="5" t="s">
        <v>26</v>
      </c>
      <c r="B48" t="str">
        <f>'Final list of total hauls pros'!M45</f>
        <v>GFR (SD 21-24)</v>
      </c>
      <c r="C48">
        <v>44</v>
      </c>
      <c r="D48">
        <f>'Final list of total hauls pros'!A45</f>
        <v>22144</v>
      </c>
      <c r="E48" t="str">
        <f t="shared" si="0"/>
        <v>22</v>
      </c>
      <c r="F48" t="str">
        <f>'Final list of total hauls pros'!B45</f>
        <v>37G1</v>
      </c>
      <c r="G48" t="str">
        <f>'Final list of total hauls pros'!I45</f>
        <v>GFR</v>
      </c>
      <c r="H48" t="str">
        <f>'Final list of total hauls pros'!L45</f>
        <v>21-24</v>
      </c>
      <c r="I48" t="str">
        <f t="shared" si="11"/>
        <v>GFR (SD 21-24)</v>
      </c>
      <c r="K48" s="20" t="str">
        <f t="shared" si="23"/>
        <v/>
      </c>
      <c r="L48" s="23"/>
      <c r="M48" s="21" t="str">
        <f t="shared" si="24"/>
        <v/>
      </c>
      <c r="N48" s="23"/>
      <c r="O48" s="21" t="str">
        <f t="shared" si="25"/>
        <v/>
      </c>
      <c r="P48" s="23"/>
      <c r="Q48" s="21" t="str">
        <f t="shared" si="26"/>
        <v/>
      </c>
      <c r="R48" s="23"/>
      <c r="S48" s="21" t="str">
        <f t="shared" si="27"/>
        <v/>
      </c>
      <c r="T48" s="23"/>
      <c r="U48" s="21" t="str">
        <f t="shared" si="28"/>
        <v/>
      </c>
      <c r="V48" s="23"/>
      <c r="W48" s="21" t="str">
        <f t="shared" si="29"/>
        <v/>
      </c>
      <c r="X48" s="23"/>
      <c r="Y48" s="21">
        <f t="shared" si="30"/>
        <v>1</v>
      </c>
      <c r="Z48" s="23"/>
      <c r="AA48" s="21" t="str">
        <f t="shared" si="31"/>
        <v/>
      </c>
      <c r="AB48" s="23"/>
      <c r="AC48" s="21" t="str">
        <f t="shared" si="32"/>
        <v/>
      </c>
      <c r="AD48" s="23"/>
      <c r="AG48" s="25" t="str">
        <f t="shared" si="22"/>
        <v/>
      </c>
      <c r="AK48" s="10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 t="str">
        <f t="shared" si="7"/>
        <v/>
      </c>
      <c r="AR48" s="11">
        <f t="shared" si="8"/>
        <v>1</v>
      </c>
      <c r="AS48" s="11" t="str">
        <f t="shared" si="9"/>
        <v/>
      </c>
      <c r="AT48" s="12" t="str">
        <f t="shared" si="10"/>
        <v/>
      </c>
    </row>
    <row r="49" spans="1:46" ht="18.75" x14ac:dyDescent="0.25">
      <c r="A49" s="5" t="s">
        <v>26</v>
      </c>
      <c r="B49" t="str">
        <f>'Final list of total hauls pros'!M46</f>
        <v>GFR (SD 21-24)</v>
      </c>
      <c r="C49">
        <v>45</v>
      </c>
      <c r="D49">
        <f>'Final list of total hauls pros'!A46</f>
        <v>22146</v>
      </c>
      <c r="E49" t="str">
        <f t="shared" si="0"/>
        <v>22</v>
      </c>
      <c r="F49" t="str">
        <f>'Final list of total hauls pros'!B46</f>
        <v>37G1</v>
      </c>
      <c r="G49" t="str">
        <f>'Final list of total hauls pros'!I46</f>
        <v>GFR</v>
      </c>
      <c r="H49" t="str">
        <f>'Final list of total hauls pros'!L46</f>
        <v>21-24</v>
      </c>
      <c r="I49" t="str">
        <f t="shared" si="11"/>
        <v>GFR (SD 21-24)</v>
      </c>
      <c r="K49" s="20" t="str">
        <f t="shared" si="23"/>
        <v/>
      </c>
      <c r="L49" s="23"/>
      <c r="M49" s="21" t="str">
        <f t="shared" si="24"/>
        <v/>
      </c>
      <c r="N49" s="23"/>
      <c r="O49" s="21" t="str">
        <f t="shared" si="25"/>
        <v/>
      </c>
      <c r="P49" s="23"/>
      <c r="Q49" s="21" t="str">
        <f t="shared" si="26"/>
        <v/>
      </c>
      <c r="R49" s="23"/>
      <c r="S49" s="21" t="str">
        <f t="shared" si="27"/>
        <v/>
      </c>
      <c r="T49" s="23"/>
      <c r="U49" s="21" t="str">
        <f t="shared" si="28"/>
        <v/>
      </c>
      <c r="V49" s="23"/>
      <c r="W49" s="21" t="str">
        <f t="shared" si="29"/>
        <v/>
      </c>
      <c r="X49" s="23"/>
      <c r="Y49" s="21">
        <f t="shared" si="30"/>
        <v>1</v>
      </c>
      <c r="Z49" s="23"/>
      <c r="AA49" s="21" t="str">
        <f t="shared" si="31"/>
        <v/>
      </c>
      <c r="AB49" s="23"/>
      <c r="AC49" s="21" t="str">
        <f t="shared" si="32"/>
        <v/>
      </c>
      <c r="AD49" s="23"/>
      <c r="AG49" s="25" t="str">
        <f t="shared" si="22"/>
        <v/>
      </c>
      <c r="AK49" s="10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 t="str">
        <f t="shared" si="7"/>
        <v/>
      </c>
      <c r="AR49" s="11">
        <f t="shared" si="8"/>
        <v>1</v>
      </c>
      <c r="AS49" s="11" t="str">
        <f t="shared" si="9"/>
        <v/>
      </c>
      <c r="AT49" s="12" t="str">
        <f t="shared" si="10"/>
        <v/>
      </c>
    </row>
    <row r="50" spans="1:46" ht="18.75" x14ac:dyDescent="0.25">
      <c r="A50" s="5" t="s">
        <v>26</v>
      </c>
      <c r="B50" t="str">
        <f>'Final list of total hauls pros'!M47</f>
        <v>GFR (SD 21-24)</v>
      </c>
      <c r="C50">
        <v>46</v>
      </c>
      <c r="D50">
        <f>'Final list of total hauls pros'!A47</f>
        <v>24001</v>
      </c>
      <c r="E50" t="str">
        <f t="shared" si="0"/>
        <v>24</v>
      </c>
      <c r="F50" t="str">
        <f>'Final list of total hauls pros'!B47</f>
        <v>37G2</v>
      </c>
      <c r="G50" t="str">
        <f>'Final list of total hauls pros'!I47</f>
        <v>GFR</v>
      </c>
      <c r="H50" t="str">
        <f>'Final list of total hauls pros'!L47</f>
        <v>21-24</v>
      </c>
      <c r="I50" t="str">
        <f t="shared" si="11"/>
        <v>GFR (SD 21-24)</v>
      </c>
      <c r="K50" s="20" t="str">
        <f t="shared" si="23"/>
        <v/>
      </c>
      <c r="L50" s="23"/>
      <c r="M50" s="21" t="str">
        <f t="shared" si="24"/>
        <v/>
      </c>
      <c r="N50" s="23"/>
      <c r="O50" s="21" t="str">
        <f t="shared" si="25"/>
        <v/>
      </c>
      <c r="P50" s="23"/>
      <c r="Q50" s="21" t="str">
        <f t="shared" si="26"/>
        <v/>
      </c>
      <c r="R50" s="23"/>
      <c r="S50" s="21" t="str">
        <f t="shared" si="27"/>
        <v/>
      </c>
      <c r="T50" s="23"/>
      <c r="U50" s="21" t="str">
        <f t="shared" si="28"/>
        <v/>
      </c>
      <c r="V50" s="23"/>
      <c r="W50" s="21" t="str">
        <f t="shared" si="29"/>
        <v/>
      </c>
      <c r="X50" s="23"/>
      <c r="Y50" s="21">
        <f t="shared" si="30"/>
        <v>1</v>
      </c>
      <c r="Z50" s="23"/>
      <c r="AA50" s="21" t="str">
        <f t="shared" si="31"/>
        <v/>
      </c>
      <c r="AB50" s="23"/>
      <c r="AC50" s="21" t="str">
        <f t="shared" si="32"/>
        <v/>
      </c>
      <c r="AD50" s="23"/>
      <c r="AG50" s="25" t="str">
        <f t="shared" si="22"/>
        <v/>
      </c>
      <c r="AK50" s="10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 t="str">
        <f t="shared" si="7"/>
        <v/>
      </c>
      <c r="AR50" s="11">
        <f t="shared" si="8"/>
        <v>1</v>
      </c>
      <c r="AS50" s="11" t="str">
        <f t="shared" si="9"/>
        <v/>
      </c>
      <c r="AT50" s="12" t="str">
        <f t="shared" si="10"/>
        <v/>
      </c>
    </row>
    <row r="51" spans="1:46" ht="18.75" x14ac:dyDescent="0.25">
      <c r="A51" s="5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24002</v>
      </c>
      <c r="E51" t="str">
        <f t="shared" si="0"/>
        <v>24</v>
      </c>
      <c r="F51" t="str">
        <f>'Final list of total hauls pros'!B48</f>
        <v>37G2</v>
      </c>
      <c r="G51" t="str">
        <f>'Final list of total hauls pros'!I48</f>
        <v>GFR</v>
      </c>
      <c r="H51" t="str">
        <f>'Final list of total hauls pros'!L48</f>
        <v>21-24</v>
      </c>
      <c r="I51" t="str">
        <f t="shared" si="11"/>
        <v>GFR (SD 21-24)</v>
      </c>
      <c r="K51" s="20" t="str">
        <f t="shared" si="23"/>
        <v/>
      </c>
      <c r="L51" s="23"/>
      <c r="M51" s="21" t="str">
        <f t="shared" si="24"/>
        <v/>
      </c>
      <c r="N51" s="23"/>
      <c r="O51" s="21" t="str">
        <f t="shared" si="25"/>
        <v/>
      </c>
      <c r="P51" s="23"/>
      <c r="Q51" s="21" t="str">
        <f t="shared" si="26"/>
        <v/>
      </c>
      <c r="R51" s="23"/>
      <c r="S51" s="21" t="str">
        <f t="shared" si="27"/>
        <v/>
      </c>
      <c r="T51" s="23"/>
      <c r="U51" s="21" t="str">
        <f t="shared" si="28"/>
        <v/>
      </c>
      <c r="V51" s="23"/>
      <c r="W51" s="21" t="str">
        <f t="shared" si="29"/>
        <v/>
      </c>
      <c r="X51" s="23"/>
      <c r="Y51" s="21">
        <f t="shared" si="30"/>
        <v>1</v>
      </c>
      <c r="Z51" s="23"/>
      <c r="AA51" s="21" t="str">
        <f t="shared" si="31"/>
        <v/>
      </c>
      <c r="AB51" s="23"/>
      <c r="AC51" s="21" t="str">
        <f t="shared" si="32"/>
        <v/>
      </c>
      <c r="AD51" s="23"/>
      <c r="AG51" s="25" t="str">
        <f t="shared" si="22"/>
        <v/>
      </c>
      <c r="AK51" s="10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 t="str">
        <f t="shared" si="7"/>
        <v/>
      </c>
      <c r="AR51" s="11">
        <f t="shared" si="8"/>
        <v>1</v>
      </c>
      <c r="AS51" s="11" t="str">
        <f t="shared" si="9"/>
        <v/>
      </c>
      <c r="AT51" s="12" t="str">
        <f t="shared" si="10"/>
        <v/>
      </c>
    </row>
    <row r="52" spans="1:46" ht="18.75" x14ac:dyDescent="0.25">
      <c r="A52" s="5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24005</v>
      </c>
      <c r="E52" t="str">
        <f t="shared" si="0"/>
        <v>24</v>
      </c>
      <c r="F52" t="str">
        <f>'Final list of total hauls pros'!B49</f>
        <v>38G2</v>
      </c>
      <c r="G52" t="str">
        <f>'Final list of total hauls pros'!I49</f>
        <v>DEN</v>
      </c>
      <c r="H52" t="str">
        <f>'Final list of total hauls pros'!L49</f>
        <v>21-24</v>
      </c>
      <c r="I52" t="str">
        <f t="shared" si="11"/>
        <v>GFR (SD 21-24)</v>
      </c>
      <c r="K52" s="20" t="str">
        <f t="shared" si="23"/>
        <v/>
      </c>
      <c r="L52" s="23"/>
      <c r="M52" s="21" t="str">
        <f t="shared" si="24"/>
        <v/>
      </c>
      <c r="N52" s="23"/>
      <c r="O52" s="21" t="str">
        <f t="shared" si="25"/>
        <v/>
      </c>
      <c r="P52" s="23"/>
      <c r="Q52" s="21" t="str">
        <f t="shared" si="26"/>
        <v/>
      </c>
      <c r="R52" s="23"/>
      <c r="S52" s="21" t="str">
        <f t="shared" si="27"/>
        <v/>
      </c>
      <c r="T52" s="23"/>
      <c r="U52" s="21" t="str">
        <f t="shared" si="28"/>
        <v/>
      </c>
      <c r="V52" s="23"/>
      <c r="W52" s="21" t="str">
        <f t="shared" si="29"/>
        <v/>
      </c>
      <c r="X52" s="23"/>
      <c r="Y52" s="21">
        <f t="shared" si="30"/>
        <v>1</v>
      </c>
      <c r="Z52" s="23"/>
      <c r="AA52" s="21" t="str">
        <f t="shared" si="31"/>
        <v/>
      </c>
      <c r="AB52" s="23"/>
      <c r="AC52" s="21" t="str">
        <f t="shared" si="32"/>
        <v/>
      </c>
      <c r="AD52" s="23"/>
      <c r="AG52" s="25" t="str">
        <f t="shared" si="22"/>
        <v/>
      </c>
      <c r="AK52" s="10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 t="str">
        <f t="shared" si="7"/>
        <v/>
      </c>
      <c r="AR52" s="11">
        <f t="shared" si="8"/>
        <v>1</v>
      </c>
      <c r="AS52" s="11" t="str">
        <f t="shared" si="9"/>
        <v/>
      </c>
      <c r="AT52" s="12" t="str">
        <f t="shared" si="10"/>
        <v/>
      </c>
    </row>
    <row r="53" spans="1:46" ht="18.75" x14ac:dyDescent="0.25">
      <c r="A53" s="5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24006</v>
      </c>
      <c r="E53" t="str">
        <f t="shared" si="0"/>
        <v>24</v>
      </c>
      <c r="F53" t="str">
        <f>'Final list of total hauls pros'!B50</f>
        <v>38G2</v>
      </c>
      <c r="G53" t="str">
        <f>'Final list of total hauls pros'!I50</f>
        <v>GFR</v>
      </c>
      <c r="H53" t="str">
        <f>'Final list of total hauls pros'!L50</f>
        <v>21-24</v>
      </c>
      <c r="I53" t="str">
        <f t="shared" si="11"/>
        <v>GFR (SD 21-24)</v>
      </c>
      <c r="K53" s="20" t="str">
        <f t="shared" si="23"/>
        <v/>
      </c>
      <c r="L53" s="23"/>
      <c r="M53" s="21" t="str">
        <f t="shared" si="24"/>
        <v/>
      </c>
      <c r="N53" s="23"/>
      <c r="O53" s="21" t="str">
        <f t="shared" si="25"/>
        <v/>
      </c>
      <c r="P53" s="23"/>
      <c r="Q53" s="21" t="str">
        <f t="shared" si="26"/>
        <v/>
      </c>
      <c r="R53" s="23"/>
      <c r="S53" s="21" t="str">
        <f t="shared" si="27"/>
        <v/>
      </c>
      <c r="T53" s="23"/>
      <c r="U53" s="21" t="str">
        <f t="shared" si="28"/>
        <v/>
      </c>
      <c r="V53" s="23"/>
      <c r="W53" s="21" t="str">
        <f t="shared" si="29"/>
        <v/>
      </c>
      <c r="X53" s="23"/>
      <c r="Y53" s="21">
        <f t="shared" si="30"/>
        <v>1</v>
      </c>
      <c r="Z53" s="23"/>
      <c r="AA53" s="21" t="str">
        <f t="shared" si="31"/>
        <v/>
      </c>
      <c r="AB53" s="23"/>
      <c r="AC53" s="21" t="str">
        <f t="shared" si="32"/>
        <v/>
      </c>
      <c r="AD53" s="23"/>
      <c r="AG53" s="25" t="str">
        <f t="shared" si="22"/>
        <v/>
      </c>
      <c r="AK53" s="10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 t="str">
        <f t="shared" si="7"/>
        <v/>
      </c>
      <c r="AR53" s="11">
        <f t="shared" si="8"/>
        <v>1</v>
      </c>
      <c r="AS53" s="11" t="str">
        <f t="shared" si="9"/>
        <v/>
      </c>
      <c r="AT53" s="12" t="str">
        <f t="shared" si="10"/>
        <v/>
      </c>
    </row>
    <row r="54" spans="1:46" ht="18.75" x14ac:dyDescent="0.25">
      <c r="A54" s="5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24016</v>
      </c>
      <c r="E54" t="str">
        <f t="shared" si="0"/>
        <v>24</v>
      </c>
      <c r="F54" t="str">
        <f>'Final list of total hauls pros'!B51</f>
        <v>38G2</v>
      </c>
      <c r="G54" t="str">
        <f>'Final list of total hauls pros'!I51</f>
        <v>GFR</v>
      </c>
      <c r="H54" t="str">
        <f>'Final list of total hauls pros'!L51</f>
        <v>21-24</v>
      </c>
      <c r="I54" t="str">
        <f t="shared" si="11"/>
        <v>GFR (SD 21-24)</v>
      </c>
      <c r="K54" s="20" t="str">
        <f t="shared" si="23"/>
        <v/>
      </c>
      <c r="L54" s="23"/>
      <c r="M54" s="21" t="str">
        <f t="shared" si="24"/>
        <v/>
      </c>
      <c r="N54" s="23"/>
      <c r="O54" s="21" t="str">
        <f t="shared" si="25"/>
        <v/>
      </c>
      <c r="P54" s="23"/>
      <c r="Q54" s="21" t="str">
        <f t="shared" si="26"/>
        <v/>
      </c>
      <c r="R54" s="23"/>
      <c r="S54" s="21" t="str">
        <f t="shared" si="27"/>
        <v/>
      </c>
      <c r="T54" s="23"/>
      <c r="U54" s="21" t="str">
        <f t="shared" si="28"/>
        <v/>
      </c>
      <c r="V54" s="23"/>
      <c r="W54" s="21" t="str">
        <f t="shared" si="29"/>
        <v/>
      </c>
      <c r="X54" s="23"/>
      <c r="Y54" s="21">
        <f t="shared" si="30"/>
        <v>1</v>
      </c>
      <c r="Z54" s="23"/>
      <c r="AA54" s="21" t="str">
        <f t="shared" si="31"/>
        <v/>
      </c>
      <c r="AB54" s="23"/>
      <c r="AC54" s="21" t="str">
        <f t="shared" si="32"/>
        <v/>
      </c>
      <c r="AD54" s="23"/>
      <c r="AG54" s="25" t="str">
        <f t="shared" si="22"/>
        <v/>
      </c>
      <c r="AK54" s="10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 t="str">
        <f t="shared" si="7"/>
        <v/>
      </c>
      <c r="AR54" s="11">
        <f t="shared" si="8"/>
        <v>1</v>
      </c>
      <c r="AS54" s="11" t="str">
        <f t="shared" si="9"/>
        <v/>
      </c>
      <c r="AT54" s="12" t="str">
        <f t="shared" si="10"/>
        <v/>
      </c>
    </row>
    <row r="55" spans="1:46" ht="18.75" x14ac:dyDescent="0.25">
      <c r="A55" s="5" t="s">
        <v>26</v>
      </c>
      <c r="B55" t="str">
        <f>'Final list of total hauls pros'!M52</f>
        <v>POL (SD 21-24)</v>
      </c>
      <c r="C55">
        <v>51</v>
      </c>
      <c r="D55">
        <f>'Final list of total hauls pros'!A52</f>
        <v>24022</v>
      </c>
      <c r="E55" t="str">
        <f t="shared" si="0"/>
        <v>24</v>
      </c>
      <c r="F55" t="str">
        <f>'Final list of total hauls pros'!B52</f>
        <v>37G4</v>
      </c>
      <c r="G55" t="str">
        <f>'Final list of total hauls pros'!I52</f>
        <v>POL</v>
      </c>
      <c r="H55" t="str">
        <f>'Final list of total hauls pros'!L52</f>
        <v>21-24</v>
      </c>
      <c r="I55" t="str">
        <f t="shared" si="11"/>
        <v>GFR (SD 21-24)</v>
      </c>
      <c r="K55" s="20" t="str">
        <f t="shared" si="23"/>
        <v/>
      </c>
      <c r="L55" s="23"/>
      <c r="M55" s="21" t="str">
        <f t="shared" si="24"/>
        <v/>
      </c>
      <c r="N55" s="23"/>
      <c r="O55" s="21" t="str">
        <f t="shared" si="25"/>
        <v/>
      </c>
      <c r="P55" s="23"/>
      <c r="Q55" s="21" t="str">
        <f t="shared" si="26"/>
        <v/>
      </c>
      <c r="R55" s="23" t="s">
        <v>132</v>
      </c>
      <c r="S55" s="21" t="str">
        <f t="shared" si="27"/>
        <v/>
      </c>
      <c r="T55" s="23"/>
      <c r="U55" s="21" t="str">
        <f t="shared" si="28"/>
        <v/>
      </c>
      <c r="V55" s="23"/>
      <c r="W55" s="21" t="str">
        <f t="shared" si="29"/>
        <v/>
      </c>
      <c r="X55" s="23"/>
      <c r="Y55" s="21">
        <f t="shared" si="30"/>
        <v>1</v>
      </c>
      <c r="Z55" s="23" t="s">
        <v>138</v>
      </c>
      <c r="AA55" s="21" t="str">
        <f t="shared" si="31"/>
        <v/>
      </c>
      <c r="AB55" s="23"/>
      <c r="AC55" s="21" t="str">
        <f t="shared" si="32"/>
        <v/>
      </c>
      <c r="AD55" s="23"/>
      <c r="AG55" s="25" t="str">
        <f t="shared" si="22"/>
        <v/>
      </c>
      <c r="AK55" s="10" t="str">
        <f t="shared" si="1"/>
        <v/>
      </c>
      <c r="AL55" s="11" t="str">
        <f t="shared" si="2"/>
        <v/>
      </c>
      <c r="AM55" s="11" t="str">
        <f t="shared" si="3"/>
        <v/>
      </c>
      <c r="AN55" s="11">
        <f t="shared" si="4"/>
        <v>1</v>
      </c>
      <c r="AO55" s="11" t="str">
        <f t="shared" si="5"/>
        <v/>
      </c>
      <c r="AP55" s="11" t="str">
        <f t="shared" si="6"/>
        <v/>
      </c>
      <c r="AQ55" s="11" t="str">
        <f t="shared" si="7"/>
        <v/>
      </c>
      <c r="AR55" s="11" t="str">
        <f t="shared" si="8"/>
        <v/>
      </c>
      <c r="AS55" s="11" t="str">
        <f t="shared" si="9"/>
        <v/>
      </c>
      <c r="AT55" s="12" t="str">
        <f t="shared" si="10"/>
        <v/>
      </c>
    </row>
    <row r="56" spans="1:46" ht="18.75" x14ac:dyDescent="0.25">
      <c r="A56" s="5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24024</v>
      </c>
      <c r="E56" t="str">
        <f t="shared" si="0"/>
        <v>24</v>
      </c>
      <c r="F56" t="str">
        <f>'Final list of total hauls pros'!B53</f>
        <v>38G3</v>
      </c>
      <c r="G56" t="str">
        <f>'Final list of total hauls pros'!I53</f>
        <v>GFR</v>
      </c>
      <c r="H56" t="str">
        <f>'Final list of total hauls pros'!L53</f>
        <v>21-24</v>
      </c>
      <c r="I56" t="str">
        <f t="shared" si="11"/>
        <v>GFR (SD 21-24)</v>
      </c>
      <c r="K56" s="20" t="str">
        <f t="shared" si="23"/>
        <v/>
      </c>
      <c r="L56" s="23"/>
      <c r="M56" s="21" t="str">
        <f t="shared" si="24"/>
        <v/>
      </c>
      <c r="N56" s="23"/>
      <c r="O56" s="21" t="str">
        <f t="shared" si="25"/>
        <v/>
      </c>
      <c r="P56" s="23"/>
      <c r="Q56" s="21" t="str">
        <f t="shared" si="26"/>
        <v/>
      </c>
      <c r="R56" s="23"/>
      <c r="S56" s="21" t="str">
        <f t="shared" si="27"/>
        <v/>
      </c>
      <c r="T56" s="23"/>
      <c r="U56" s="21" t="str">
        <f t="shared" si="28"/>
        <v/>
      </c>
      <c r="V56" s="23"/>
      <c r="W56" s="21" t="str">
        <f t="shared" si="29"/>
        <v/>
      </c>
      <c r="X56" s="23"/>
      <c r="Y56" s="21">
        <f t="shared" si="30"/>
        <v>1</v>
      </c>
      <c r="Z56" s="23"/>
      <c r="AA56" s="21" t="str">
        <f t="shared" si="31"/>
        <v/>
      </c>
      <c r="AB56" s="23"/>
      <c r="AC56" s="21" t="str">
        <f t="shared" si="32"/>
        <v/>
      </c>
      <c r="AD56" s="23"/>
      <c r="AG56" s="25" t="str">
        <f t="shared" si="22"/>
        <v/>
      </c>
      <c r="AK56" s="10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 t="str">
        <f t="shared" si="7"/>
        <v/>
      </c>
      <c r="AR56" s="11">
        <f t="shared" si="8"/>
        <v>1</v>
      </c>
      <c r="AS56" s="11" t="str">
        <f t="shared" si="9"/>
        <v/>
      </c>
      <c r="AT56" s="12" t="str">
        <f t="shared" si="10"/>
        <v/>
      </c>
    </row>
    <row r="57" spans="1:46" ht="18.75" x14ac:dyDescent="0.25">
      <c r="A57" s="5" t="s">
        <v>26</v>
      </c>
      <c r="B57" t="str">
        <f>'Final list of total hauls pros'!M54</f>
        <v>GFR (SD 21-24)</v>
      </c>
      <c r="C57">
        <v>53</v>
      </c>
      <c r="D57">
        <f>'Final list of total hauls pros'!A54</f>
        <v>24039</v>
      </c>
      <c r="E57" t="str">
        <f t="shared" si="0"/>
        <v>24</v>
      </c>
      <c r="F57" t="str">
        <f>'Final list of total hauls pros'!B54</f>
        <v>38G4</v>
      </c>
      <c r="G57" t="str">
        <f>'Final list of total hauls pros'!I54</f>
        <v>GFR</v>
      </c>
      <c r="H57" t="str">
        <f>'Final list of total hauls pros'!L54</f>
        <v>21-24</v>
      </c>
      <c r="I57" t="str">
        <f t="shared" si="11"/>
        <v>GFR (SD 21-24)</v>
      </c>
      <c r="K57" s="20" t="str">
        <f t="shared" si="23"/>
        <v/>
      </c>
      <c r="L57" s="23"/>
      <c r="M57" s="21" t="str">
        <f t="shared" si="24"/>
        <v/>
      </c>
      <c r="N57" s="23"/>
      <c r="O57" s="21" t="str">
        <f t="shared" si="25"/>
        <v/>
      </c>
      <c r="P57" s="23"/>
      <c r="Q57" s="21" t="str">
        <f t="shared" si="26"/>
        <v/>
      </c>
      <c r="R57" s="23"/>
      <c r="S57" s="21" t="str">
        <f t="shared" si="27"/>
        <v/>
      </c>
      <c r="T57" s="23"/>
      <c r="U57" s="21" t="str">
        <f t="shared" si="28"/>
        <v/>
      </c>
      <c r="V57" s="23"/>
      <c r="W57" s="21" t="str">
        <f t="shared" si="29"/>
        <v/>
      </c>
      <c r="X57" s="23"/>
      <c r="Y57" s="21">
        <f t="shared" si="30"/>
        <v>1</v>
      </c>
      <c r="Z57" s="23"/>
      <c r="AA57" s="21" t="str">
        <f t="shared" si="31"/>
        <v/>
      </c>
      <c r="AB57" s="23"/>
      <c r="AC57" s="21" t="str">
        <f t="shared" si="32"/>
        <v/>
      </c>
      <c r="AD57" s="23"/>
      <c r="AG57" s="25" t="str">
        <f t="shared" si="22"/>
        <v/>
      </c>
      <c r="AK57" s="10" t="str">
        <f t="shared" si="1"/>
        <v/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>
        <f t="shared" si="8"/>
        <v>1</v>
      </c>
      <c r="AS57" s="11" t="str">
        <f t="shared" si="9"/>
        <v/>
      </c>
      <c r="AT57" s="12" t="str">
        <f t="shared" si="10"/>
        <v/>
      </c>
    </row>
    <row r="58" spans="1:46" ht="18.75" x14ac:dyDescent="0.25">
      <c r="A58" s="5" t="s">
        <v>26</v>
      </c>
      <c r="B58" t="str">
        <f>'Final list of total hauls pros'!M55</f>
        <v>GFR (SD 21-24)</v>
      </c>
      <c r="C58">
        <v>54</v>
      </c>
      <c r="D58">
        <f>'Final list of total hauls pros'!A55</f>
        <v>24046</v>
      </c>
      <c r="E58" t="str">
        <f t="shared" si="0"/>
        <v>24</v>
      </c>
      <c r="F58" t="str">
        <f>'Final list of total hauls pros'!B55</f>
        <v>38G4</v>
      </c>
      <c r="G58" t="str">
        <f>'Final list of total hauls pros'!I55</f>
        <v>DEN</v>
      </c>
      <c r="H58" t="str">
        <f>'Final list of total hauls pros'!L55</f>
        <v>21-24</v>
      </c>
      <c r="I58" t="str">
        <f t="shared" si="11"/>
        <v>GFR (SD 21-24)</v>
      </c>
      <c r="K58" s="20" t="str">
        <f t="shared" si="23"/>
        <v/>
      </c>
      <c r="L58" s="23"/>
      <c r="M58" s="21" t="str">
        <f t="shared" si="24"/>
        <v/>
      </c>
      <c r="N58" s="23"/>
      <c r="O58" s="21" t="str">
        <f t="shared" si="25"/>
        <v/>
      </c>
      <c r="P58" s="23"/>
      <c r="Q58" s="21" t="str">
        <f t="shared" si="26"/>
        <v/>
      </c>
      <c r="R58" s="23"/>
      <c r="S58" s="21" t="str">
        <f t="shared" si="27"/>
        <v/>
      </c>
      <c r="T58" s="23"/>
      <c r="U58" s="21" t="str">
        <f t="shared" si="28"/>
        <v/>
      </c>
      <c r="V58" s="23"/>
      <c r="W58" s="21" t="str">
        <f t="shared" si="29"/>
        <v/>
      </c>
      <c r="X58" s="23"/>
      <c r="Y58" s="21">
        <f t="shared" si="30"/>
        <v>1</v>
      </c>
      <c r="Z58" s="23"/>
      <c r="AA58" s="21" t="str">
        <f t="shared" si="31"/>
        <v/>
      </c>
      <c r="AB58" s="23"/>
      <c r="AC58" s="21" t="str">
        <f t="shared" si="32"/>
        <v/>
      </c>
      <c r="AD58" s="23"/>
      <c r="AG58" s="25" t="str">
        <f t="shared" si="22"/>
        <v/>
      </c>
      <c r="AK58" s="10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 t="str">
        <f t="shared" si="7"/>
        <v/>
      </c>
      <c r="AR58" s="11">
        <f t="shared" si="8"/>
        <v>1</v>
      </c>
      <c r="AS58" s="11" t="str">
        <f t="shared" si="9"/>
        <v/>
      </c>
      <c r="AT58" s="12" t="str">
        <f t="shared" si="10"/>
        <v/>
      </c>
    </row>
    <row r="59" spans="1:46" ht="18.75" x14ac:dyDescent="0.25">
      <c r="A59" s="5" t="s">
        <v>26</v>
      </c>
      <c r="B59" t="str">
        <f>'Final list of total hauls pros'!M56</f>
        <v>GFR (SD 21-24)</v>
      </c>
      <c r="C59">
        <v>55</v>
      </c>
      <c r="D59">
        <f>'Final list of total hauls pros'!A56</f>
        <v>24047</v>
      </c>
      <c r="E59" t="str">
        <f t="shared" si="0"/>
        <v>24</v>
      </c>
      <c r="F59" t="str">
        <f>'Final list of total hauls pros'!B56</f>
        <v>38G4</v>
      </c>
      <c r="G59" t="str">
        <f>'Final list of total hauls pros'!I56</f>
        <v>GFR</v>
      </c>
      <c r="H59" t="str">
        <f>'Final list of total hauls pros'!L56</f>
        <v>21-24</v>
      </c>
      <c r="I59" t="str">
        <f t="shared" si="11"/>
        <v>GFR (SD 21-24)</v>
      </c>
      <c r="K59" s="20" t="str">
        <f t="shared" si="23"/>
        <v/>
      </c>
      <c r="L59" s="23"/>
      <c r="M59" s="21" t="str">
        <f t="shared" si="24"/>
        <v/>
      </c>
      <c r="N59" s="23"/>
      <c r="O59" s="21" t="str">
        <f t="shared" si="25"/>
        <v/>
      </c>
      <c r="P59" s="23"/>
      <c r="Q59" s="21" t="str">
        <f t="shared" si="26"/>
        <v/>
      </c>
      <c r="R59" s="23"/>
      <c r="S59" s="21" t="str">
        <f t="shared" si="27"/>
        <v/>
      </c>
      <c r="T59" s="23"/>
      <c r="U59" s="21" t="str">
        <f t="shared" si="28"/>
        <v/>
      </c>
      <c r="V59" s="23"/>
      <c r="W59" s="21" t="str">
        <f t="shared" si="29"/>
        <v/>
      </c>
      <c r="X59" s="23"/>
      <c r="Y59" s="21">
        <f t="shared" si="30"/>
        <v>1</v>
      </c>
      <c r="Z59" s="23"/>
      <c r="AA59" s="21" t="str">
        <f t="shared" si="31"/>
        <v/>
      </c>
      <c r="AB59" s="23"/>
      <c r="AC59" s="21" t="str">
        <f t="shared" si="32"/>
        <v/>
      </c>
      <c r="AD59" s="23"/>
      <c r="AG59" s="25" t="str">
        <f t="shared" si="22"/>
        <v/>
      </c>
      <c r="AK59" s="10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 t="str">
        <f t="shared" si="7"/>
        <v/>
      </c>
      <c r="AR59" s="11">
        <f t="shared" si="8"/>
        <v>1</v>
      </c>
      <c r="AS59" s="11" t="str">
        <f t="shared" si="9"/>
        <v/>
      </c>
      <c r="AT59" s="12" t="str">
        <f t="shared" si="10"/>
        <v/>
      </c>
    </row>
    <row r="60" spans="1:46" ht="18.75" x14ac:dyDescent="0.25">
      <c r="A60" s="5" t="s">
        <v>26</v>
      </c>
      <c r="B60" t="str">
        <f>'Final list of total hauls pros'!M57</f>
        <v>POL (SD 21-24)</v>
      </c>
      <c r="C60">
        <v>56</v>
      </c>
      <c r="D60">
        <f>'Final list of total hauls pros'!A57</f>
        <v>24055</v>
      </c>
      <c r="E60" t="str">
        <f t="shared" si="0"/>
        <v>24</v>
      </c>
      <c r="F60" t="str">
        <f>'Final list of total hauls pros'!B57</f>
        <v>38G4</v>
      </c>
      <c r="G60" t="str">
        <f>'Final list of total hauls pros'!I57</f>
        <v>POL</v>
      </c>
      <c r="H60" t="str">
        <f>'Final list of total hauls pros'!L57</f>
        <v>21-24</v>
      </c>
      <c r="I60" t="str">
        <f t="shared" si="11"/>
        <v>GFR (SD 21-24)</v>
      </c>
      <c r="K60" s="20" t="str">
        <f t="shared" si="23"/>
        <v/>
      </c>
      <c r="L60" s="23"/>
      <c r="M60" s="21" t="str">
        <f t="shared" si="24"/>
        <v/>
      </c>
      <c r="N60" s="23"/>
      <c r="O60" s="21" t="str">
        <f t="shared" si="25"/>
        <v/>
      </c>
      <c r="P60" s="23"/>
      <c r="Q60" s="21" t="str">
        <f t="shared" si="26"/>
        <v/>
      </c>
      <c r="R60" s="23" t="s">
        <v>132</v>
      </c>
      <c r="S60" s="21" t="str">
        <f t="shared" si="27"/>
        <v/>
      </c>
      <c r="T60" s="23"/>
      <c r="U60" s="21" t="str">
        <f t="shared" si="28"/>
        <v/>
      </c>
      <c r="V60" s="23"/>
      <c r="W60" s="21" t="str">
        <f t="shared" si="29"/>
        <v/>
      </c>
      <c r="X60" s="23"/>
      <c r="Y60" s="21">
        <f t="shared" si="30"/>
        <v>1</v>
      </c>
      <c r="Z60" s="23" t="s">
        <v>138</v>
      </c>
      <c r="AA60" s="21" t="str">
        <f t="shared" si="31"/>
        <v/>
      </c>
      <c r="AB60" s="23"/>
      <c r="AC60" s="21" t="str">
        <f t="shared" si="32"/>
        <v/>
      </c>
      <c r="AD60" s="23"/>
      <c r="AG60" s="25" t="str">
        <f t="shared" si="22"/>
        <v/>
      </c>
      <c r="AK60" s="10" t="str">
        <f t="shared" si="1"/>
        <v/>
      </c>
      <c r="AL60" s="11" t="str">
        <f t="shared" si="2"/>
        <v/>
      </c>
      <c r="AM60" s="11" t="str">
        <f t="shared" si="3"/>
        <v/>
      </c>
      <c r="AN60" s="11">
        <f t="shared" si="4"/>
        <v>1</v>
      </c>
      <c r="AO60" s="11" t="str">
        <f t="shared" si="5"/>
        <v/>
      </c>
      <c r="AP60" s="11" t="str">
        <f t="shared" si="6"/>
        <v/>
      </c>
      <c r="AQ60" s="11" t="str">
        <f t="shared" si="7"/>
        <v/>
      </c>
      <c r="AR60" s="11" t="str">
        <f t="shared" si="8"/>
        <v/>
      </c>
      <c r="AS60" s="11" t="str">
        <f t="shared" si="9"/>
        <v/>
      </c>
      <c r="AT60" s="12" t="str">
        <f t="shared" si="10"/>
        <v/>
      </c>
    </row>
    <row r="61" spans="1:46" ht="18.75" x14ac:dyDescent="0.25">
      <c r="A61" s="5" t="s">
        <v>26</v>
      </c>
      <c r="B61" t="str">
        <f>'Final list of total hauls pros'!M58</f>
        <v>POL (SD 21-24)</v>
      </c>
      <c r="C61">
        <v>57</v>
      </c>
      <c r="D61">
        <f>'Final list of total hauls pros'!A58</f>
        <v>24057</v>
      </c>
      <c r="E61" t="str">
        <f t="shared" si="0"/>
        <v>24</v>
      </c>
      <c r="F61" t="str">
        <f>'Final list of total hauls pros'!B58</f>
        <v>37G4</v>
      </c>
      <c r="G61" t="str">
        <f>'Final list of total hauls pros'!I58</f>
        <v>POL</v>
      </c>
      <c r="H61" t="str">
        <f>'Final list of total hauls pros'!L58</f>
        <v>21-24</v>
      </c>
      <c r="I61" t="str">
        <f t="shared" si="11"/>
        <v>GFR (SD 21-24)</v>
      </c>
      <c r="K61" s="20" t="str">
        <f t="shared" si="23"/>
        <v/>
      </c>
      <c r="L61" s="23"/>
      <c r="M61" s="21" t="str">
        <f t="shared" si="24"/>
        <v/>
      </c>
      <c r="N61" s="23"/>
      <c r="O61" s="21" t="str">
        <f t="shared" si="25"/>
        <v/>
      </c>
      <c r="P61" s="23"/>
      <c r="Q61" s="21" t="str">
        <f t="shared" si="26"/>
        <v/>
      </c>
      <c r="R61" s="23" t="s">
        <v>132</v>
      </c>
      <c r="S61" s="21" t="str">
        <f t="shared" si="27"/>
        <v/>
      </c>
      <c r="T61" s="23"/>
      <c r="U61" s="21" t="str">
        <f t="shared" si="28"/>
        <v/>
      </c>
      <c r="V61" s="23"/>
      <c r="W61" s="21" t="str">
        <f t="shared" si="29"/>
        <v/>
      </c>
      <c r="X61" s="23"/>
      <c r="Y61" s="21">
        <f t="shared" si="30"/>
        <v>1</v>
      </c>
      <c r="Z61" s="23" t="s">
        <v>138</v>
      </c>
      <c r="AA61" s="21" t="str">
        <f t="shared" si="31"/>
        <v/>
      </c>
      <c r="AB61" s="23"/>
      <c r="AC61" s="21" t="str">
        <f t="shared" si="32"/>
        <v/>
      </c>
      <c r="AD61" s="23"/>
      <c r="AG61" s="25" t="str">
        <f t="shared" si="22"/>
        <v/>
      </c>
      <c r="AK61" s="10" t="str">
        <f t="shared" si="1"/>
        <v/>
      </c>
      <c r="AL61" s="11" t="str">
        <f t="shared" si="2"/>
        <v/>
      </c>
      <c r="AM61" s="11" t="str">
        <f t="shared" si="3"/>
        <v/>
      </c>
      <c r="AN61" s="11">
        <f t="shared" si="4"/>
        <v>1</v>
      </c>
      <c r="AO61" s="11" t="str">
        <f t="shared" si="5"/>
        <v/>
      </c>
      <c r="AP61" s="11" t="str">
        <f t="shared" si="6"/>
        <v/>
      </c>
      <c r="AQ61" s="11" t="str">
        <f t="shared" si="7"/>
        <v/>
      </c>
      <c r="AR61" s="11" t="str">
        <f t="shared" si="8"/>
        <v/>
      </c>
      <c r="AS61" s="11" t="str">
        <f t="shared" si="9"/>
        <v/>
      </c>
      <c r="AT61" s="12" t="str">
        <f t="shared" si="10"/>
        <v/>
      </c>
    </row>
    <row r="62" spans="1:46" ht="18.75" x14ac:dyDescent="0.25">
      <c r="A62" s="5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24059</v>
      </c>
      <c r="E62" t="str">
        <f t="shared" si="0"/>
        <v>24</v>
      </c>
      <c r="F62" t="str">
        <f>'Final list of total hauls pros'!B59</f>
        <v>38G2</v>
      </c>
      <c r="G62" t="str">
        <f>'Final list of total hauls pros'!I59</f>
        <v>DEN</v>
      </c>
      <c r="H62" t="str">
        <f>'Final list of total hauls pros'!L59</f>
        <v>21-24</v>
      </c>
      <c r="I62" t="str">
        <f t="shared" si="11"/>
        <v>GFR (SD 21-24)</v>
      </c>
      <c r="K62" s="20" t="str">
        <f t="shared" si="23"/>
        <v/>
      </c>
      <c r="L62" s="23"/>
      <c r="M62" s="21" t="str">
        <f t="shared" si="24"/>
        <v/>
      </c>
      <c r="N62" s="23"/>
      <c r="O62" s="21" t="str">
        <f t="shared" si="25"/>
        <v/>
      </c>
      <c r="P62" s="23"/>
      <c r="Q62" s="21" t="str">
        <f t="shared" si="26"/>
        <v/>
      </c>
      <c r="R62" s="23"/>
      <c r="S62" s="21" t="str">
        <f t="shared" si="27"/>
        <v/>
      </c>
      <c r="T62" s="23"/>
      <c r="U62" s="21" t="str">
        <f t="shared" si="28"/>
        <v/>
      </c>
      <c r="V62" s="23"/>
      <c r="W62" s="21" t="str">
        <f t="shared" si="29"/>
        <v/>
      </c>
      <c r="X62" s="23"/>
      <c r="Y62" s="21">
        <f t="shared" si="30"/>
        <v>1</v>
      </c>
      <c r="Z62" s="23"/>
      <c r="AA62" s="21" t="str">
        <f t="shared" si="31"/>
        <v/>
      </c>
      <c r="AB62" s="23"/>
      <c r="AC62" s="21" t="str">
        <f t="shared" si="32"/>
        <v/>
      </c>
      <c r="AD62" s="23"/>
      <c r="AG62" s="25" t="str">
        <f t="shared" si="22"/>
        <v/>
      </c>
      <c r="AK62" s="10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 t="str">
        <f t="shared" si="7"/>
        <v/>
      </c>
      <c r="AR62" s="11">
        <f t="shared" si="8"/>
        <v>1</v>
      </c>
      <c r="AS62" s="11" t="str">
        <f t="shared" si="9"/>
        <v/>
      </c>
      <c r="AT62" s="12" t="str">
        <f t="shared" si="10"/>
        <v/>
      </c>
    </row>
    <row r="63" spans="1:46" ht="18.75" x14ac:dyDescent="0.25">
      <c r="A63" s="5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24066</v>
      </c>
      <c r="E63" t="str">
        <f t="shared" si="0"/>
        <v>24</v>
      </c>
      <c r="F63" t="str">
        <f>'Final list of total hauls pros'!B60</f>
        <v>38G3</v>
      </c>
      <c r="G63" t="str">
        <f>'Final list of total hauls pros'!I60</f>
        <v>GFR</v>
      </c>
      <c r="H63" t="str">
        <f>'Final list of total hauls pros'!L60</f>
        <v>21-24</v>
      </c>
      <c r="I63" t="str">
        <f t="shared" si="11"/>
        <v>GFR (SD 21-24)</v>
      </c>
      <c r="K63" s="20" t="str">
        <f t="shared" si="23"/>
        <v/>
      </c>
      <c r="L63" s="23"/>
      <c r="M63" s="21" t="str">
        <f t="shared" si="24"/>
        <v/>
      </c>
      <c r="N63" s="23"/>
      <c r="O63" s="21" t="str">
        <f t="shared" si="25"/>
        <v/>
      </c>
      <c r="P63" s="23"/>
      <c r="Q63" s="21" t="str">
        <f t="shared" si="26"/>
        <v/>
      </c>
      <c r="R63" s="23"/>
      <c r="S63" s="21" t="str">
        <f t="shared" si="27"/>
        <v/>
      </c>
      <c r="T63" s="23"/>
      <c r="U63" s="21" t="str">
        <f t="shared" si="28"/>
        <v/>
      </c>
      <c r="V63" s="23"/>
      <c r="W63" s="21" t="str">
        <f t="shared" si="29"/>
        <v/>
      </c>
      <c r="X63" s="23"/>
      <c r="Y63" s="21">
        <f t="shared" si="30"/>
        <v>1</v>
      </c>
      <c r="Z63" s="23"/>
      <c r="AA63" s="21" t="str">
        <f t="shared" si="31"/>
        <v/>
      </c>
      <c r="AB63" s="23"/>
      <c r="AC63" s="21" t="str">
        <f t="shared" si="32"/>
        <v/>
      </c>
      <c r="AD63" s="23"/>
      <c r="AG63" s="25" t="str">
        <f t="shared" si="22"/>
        <v/>
      </c>
      <c r="AK63" s="10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 t="str">
        <f t="shared" si="7"/>
        <v/>
      </c>
      <c r="AR63" s="11">
        <f t="shared" si="8"/>
        <v>1</v>
      </c>
      <c r="AS63" s="11" t="str">
        <f t="shared" si="9"/>
        <v/>
      </c>
      <c r="AT63" s="12" t="str">
        <f t="shared" si="10"/>
        <v/>
      </c>
    </row>
    <row r="64" spans="1:46" ht="18.75" x14ac:dyDescent="0.25">
      <c r="A64" s="5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24086</v>
      </c>
      <c r="E64" t="str">
        <f t="shared" si="0"/>
        <v>24</v>
      </c>
      <c r="F64" t="str">
        <f>'Final list of total hauls pros'!B61</f>
        <v>39G2</v>
      </c>
      <c r="G64" t="str">
        <f>'Final list of total hauls pros'!I61</f>
        <v>DEN</v>
      </c>
      <c r="H64" t="str">
        <f>'Final list of total hauls pros'!L61</f>
        <v>21-24</v>
      </c>
      <c r="I64" t="str">
        <f t="shared" si="11"/>
        <v>GFR (SD 21-24)</v>
      </c>
      <c r="K64" s="20" t="str">
        <f t="shared" si="23"/>
        <v/>
      </c>
      <c r="L64" s="23"/>
      <c r="M64" s="21" t="str">
        <f t="shared" si="24"/>
        <v/>
      </c>
      <c r="N64" s="23"/>
      <c r="O64" s="21" t="str">
        <f t="shared" si="25"/>
        <v/>
      </c>
      <c r="P64" s="23"/>
      <c r="Q64" s="21" t="str">
        <f t="shared" si="26"/>
        <v/>
      </c>
      <c r="R64" s="23"/>
      <c r="S64" s="21" t="str">
        <f t="shared" si="27"/>
        <v/>
      </c>
      <c r="T64" s="23"/>
      <c r="U64" s="21" t="str">
        <f t="shared" si="28"/>
        <v/>
      </c>
      <c r="V64" s="23"/>
      <c r="W64" s="21" t="str">
        <f t="shared" si="29"/>
        <v/>
      </c>
      <c r="X64" s="23"/>
      <c r="Y64" s="21">
        <f t="shared" si="30"/>
        <v>1</v>
      </c>
      <c r="Z64" s="23"/>
      <c r="AA64" s="21" t="str">
        <f t="shared" si="31"/>
        <v/>
      </c>
      <c r="AB64" s="23"/>
      <c r="AC64" s="21" t="str">
        <f t="shared" si="32"/>
        <v/>
      </c>
      <c r="AD64" s="23"/>
      <c r="AG64" s="25" t="str">
        <f t="shared" si="22"/>
        <v/>
      </c>
      <c r="AK64" s="10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 t="str">
        <f t="shared" si="7"/>
        <v/>
      </c>
      <c r="AR64" s="11">
        <f t="shared" si="8"/>
        <v>1</v>
      </c>
      <c r="AS64" s="11" t="str">
        <f t="shared" si="9"/>
        <v/>
      </c>
      <c r="AT64" s="12" t="str">
        <f t="shared" si="10"/>
        <v/>
      </c>
    </row>
    <row r="65" spans="1:46" ht="18.75" x14ac:dyDescent="0.25">
      <c r="A65" s="5" t="s">
        <v>26</v>
      </c>
      <c r="B65" t="str">
        <f>'Final list of total hauls pros'!M62</f>
        <v>GFR (SD 21-24)</v>
      </c>
      <c r="C65">
        <v>61</v>
      </c>
      <c r="D65">
        <f>'Final list of total hauls pros'!A62</f>
        <v>24089</v>
      </c>
      <c r="E65" t="str">
        <f t="shared" si="0"/>
        <v>24</v>
      </c>
      <c r="F65" t="str">
        <f>'Final list of total hauls pros'!B62</f>
        <v>38G2</v>
      </c>
      <c r="G65" t="str">
        <f>'Final list of total hauls pros'!I62</f>
        <v>DEN</v>
      </c>
      <c r="H65" t="str">
        <f>'Final list of total hauls pros'!L62</f>
        <v>21-24</v>
      </c>
      <c r="I65" t="str">
        <f t="shared" si="11"/>
        <v>GFR (SD 21-24)</v>
      </c>
      <c r="K65" s="20" t="str">
        <f t="shared" si="23"/>
        <v/>
      </c>
      <c r="L65" s="23"/>
      <c r="M65" s="21" t="str">
        <f t="shared" si="24"/>
        <v/>
      </c>
      <c r="N65" s="23"/>
      <c r="O65" s="21" t="str">
        <f t="shared" si="25"/>
        <v/>
      </c>
      <c r="P65" s="23"/>
      <c r="Q65" s="21" t="str">
        <f t="shared" si="26"/>
        <v/>
      </c>
      <c r="R65" s="23"/>
      <c r="S65" s="21" t="str">
        <f t="shared" si="27"/>
        <v/>
      </c>
      <c r="T65" s="23"/>
      <c r="U65" s="21" t="str">
        <f t="shared" si="28"/>
        <v/>
      </c>
      <c r="V65" s="23"/>
      <c r="W65" s="21" t="str">
        <f t="shared" si="29"/>
        <v/>
      </c>
      <c r="X65" s="23"/>
      <c r="Y65" s="21">
        <f t="shared" si="30"/>
        <v>1</v>
      </c>
      <c r="Z65" s="23"/>
      <c r="AA65" s="21" t="str">
        <f t="shared" si="31"/>
        <v/>
      </c>
      <c r="AB65" s="23"/>
      <c r="AC65" s="21" t="str">
        <f t="shared" si="32"/>
        <v/>
      </c>
      <c r="AD65" s="23"/>
      <c r="AG65" s="25" t="str">
        <f t="shared" si="22"/>
        <v/>
      </c>
      <c r="AK65" s="10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 t="str">
        <f t="shared" si="7"/>
        <v/>
      </c>
      <c r="AR65" s="11">
        <f t="shared" si="8"/>
        <v>1</v>
      </c>
      <c r="AS65" s="11" t="str">
        <f t="shared" si="9"/>
        <v/>
      </c>
      <c r="AT65" s="12" t="str">
        <f t="shared" si="10"/>
        <v/>
      </c>
    </row>
    <row r="66" spans="1:46" ht="18.75" x14ac:dyDescent="0.25">
      <c r="A66" s="5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24095</v>
      </c>
      <c r="E66" t="str">
        <f t="shared" si="0"/>
        <v>24</v>
      </c>
      <c r="F66" t="str">
        <f>'Final list of total hauls pros'!B63</f>
        <v>39G2</v>
      </c>
      <c r="G66" t="str">
        <f>'Final list of total hauls pros'!I63</f>
        <v>DEN</v>
      </c>
      <c r="H66" t="str">
        <f>'Final list of total hauls pros'!L63</f>
        <v>21-24</v>
      </c>
      <c r="I66" t="str">
        <f t="shared" si="11"/>
        <v>GFR (SD 21-24)</v>
      </c>
      <c r="K66" s="20" t="str">
        <f t="shared" si="23"/>
        <v/>
      </c>
      <c r="L66" s="23"/>
      <c r="M66" s="21" t="str">
        <f t="shared" si="24"/>
        <v/>
      </c>
      <c r="N66" s="23"/>
      <c r="O66" s="21" t="str">
        <f t="shared" si="25"/>
        <v/>
      </c>
      <c r="P66" s="23"/>
      <c r="Q66" s="21" t="str">
        <f t="shared" si="26"/>
        <v/>
      </c>
      <c r="R66" s="23"/>
      <c r="S66" s="21" t="str">
        <f t="shared" si="27"/>
        <v/>
      </c>
      <c r="T66" s="23"/>
      <c r="U66" s="21" t="str">
        <f t="shared" si="28"/>
        <v/>
      </c>
      <c r="V66" s="23"/>
      <c r="W66" s="21" t="str">
        <f t="shared" si="29"/>
        <v/>
      </c>
      <c r="X66" s="23"/>
      <c r="Y66" s="21">
        <f t="shared" si="30"/>
        <v>1</v>
      </c>
      <c r="Z66" s="23"/>
      <c r="AA66" s="21" t="str">
        <f t="shared" si="31"/>
        <v/>
      </c>
      <c r="AB66" s="23"/>
      <c r="AC66" s="21" t="str">
        <f t="shared" si="32"/>
        <v/>
      </c>
      <c r="AD66" s="23"/>
      <c r="AG66" s="25" t="str">
        <f t="shared" si="22"/>
        <v/>
      </c>
      <c r="AK66" s="10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 t="str">
        <f t="shared" si="7"/>
        <v/>
      </c>
      <c r="AR66" s="11">
        <f t="shared" si="8"/>
        <v>1</v>
      </c>
      <c r="AS66" s="11" t="str">
        <f t="shared" si="9"/>
        <v/>
      </c>
      <c r="AT66" s="12" t="str">
        <f t="shared" si="10"/>
        <v/>
      </c>
    </row>
    <row r="67" spans="1:46" ht="18.75" x14ac:dyDescent="0.25">
      <c r="A67" s="5" t="s">
        <v>26</v>
      </c>
      <c r="B67" t="str">
        <f>'Final list of total hauls pros'!M64</f>
        <v>GFR (SD 21-24)</v>
      </c>
      <c r="C67">
        <v>63</v>
      </c>
      <c r="D67">
        <f>'Final list of total hauls pros'!A64</f>
        <v>24101</v>
      </c>
      <c r="E67" t="str">
        <f t="shared" si="0"/>
        <v>24</v>
      </c>
      <c r="F67" t="str">
        <f>'Final list of total hauls pros'!B64</f>
        <v>39G3</v>
      </c>
      <c r="G67" t="str">
        <f>'Final list of total hauls pros'!I64</f>
        <v>SWE</v>
      </c>
      <c r="H67" t="str">
        <f>'Final list of total hauls pros'!L64</f>
        <v>21-24</v>
      </c>
      <c r="I67" t="str">
        <f t="shared" si="11"/>
        <v>GFR (SD 21-24)</v>
      </c>
      <c r="K67" s="20" t="str">
        <f t="shared" si="23"/>
        <v/>
      </c>
      <c r="L67" s="23"/>
      <c r="M67" s="21" t="str">
        <f t="shared" si="24"/>
        <v/>
      </c>
      <c r="N67" s="23"/>
      <c r="O67" s="21" t="str">
        <f t="shared" si="25"/>
        <v/>
      </c>
      <c r="P67" s="23"/>
      <c r="Q67" s="21" t="str">
        <f t="shared" si="26"/>
        <v/>
      </c>
      <c r="R67" s="23"/>
      <c r="S67" s="21" t="str">
        <f t="shared" si="27"/>
        <v/>
      </c>
      <c r="T67" s="23"/>
      <c r="U67" s="21" t="str">
        <f t="shared" si="28"/>
        <v/>
      </c>
      <c r="V67" s="23"/>
      <c r="W67" s="21" t="str">
        <f t="shared" si="29"/>
        <v/>
      </c>
      <c r="X67" s="23"/>
      <c r="Y67" s="21">
        <f t="shared" si="30"/>
        <v>1</v>
      </c>
      <c r="Z67" s="23"/>
      <c r="AA67" s="21" t="str">
        <f t="shared" si="31"/>
        <v/>
      </c>
      <c r="AB67" s="23"/>
      <c r="AC67" s="21" t="str">
        <f t="shared" si="32"/>
        <v/>
      </c>
      <c r="AD67" s="23"/>
      <c r="AG67" s="25" t="str">
        <f t="shared" si="22"/>
        <v/>
      </c>
      <c r="AK67" s="10" t="str">
        <f t="shared" si="1"/>
        <v/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>
        <f t="shared" si="8"/>
        <v>1</v>
      </c>
      <c r="AS67" s="11" t="str">
        <f t="shared" si="9"/>
        <v/>
      </c>
      <c r="AT67" s="12" t="str">
        <f t="shared" si="10"/>
        <v/>
      </c>
    </row>
    <row r="68" spans="1:46" ht="18.75" x14ac:dyDescent="0.25">
      <c r="A68" s="5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24104</v>
      </c>
      <c r="E68" t="str">
        <f t="shared" si="0"/>
        <v>24</v>
      </c>
      <c r="F68" t="str">
        <f>'Final list of total hauls pros'!B65</f>
        <v>39G3</v>
      </c>
      <c r="G68" t="str">
        <f>'Final list of total hauls pros'!I65</f>
        <v>SWE</v>
      </c>
      <c r="H68" t="str">
        <f>'Final list of total hauls pros'!L65</f>
        <v>21-24</v>
      </c>
      <c r="I68" t="str">
        <f t="shared" si="11"/>
        <v>GFR (SD 21-24)</v>
      </c>
      <c r="K68" s="20" t="str">
        <f t="shared" si="23"/>
        <v/>
      </c>
      <c r="L68" s="23"/>
      <c r="M68" s="21" t="str">
        <f t="shared" si="24"/>
        <v/>
      </c>
      <c r="N68" s="23"/>
      <c r="O68" s="21" t="str">
        <f t="shared" si="25"/>
        <v/>
      </c>
      <c r="P68" s="23"/>
      <c r="Q68" s="21" t="str">
        <f t="shared" si="26"/>
        <v/>
      </c>
      <c r="R68" s="23"/>
      <c r="S68" s="21" t="str">
        <f t="shared" si="27"/>
        <v/>
      </c>
      <c r="T68" s="23"/>
      <c r="U68" s="21" t="str">
        <f t="shared" si="28"/>
        <v/>
      </c>
      <c r="V68" s="23"/>
      <c r="W68" s="21" t="str">
        <f t="shared" si="29"/>
        <v/>
      </c>
      <c r="X68" s="23"/>
      <c r="Y68" s="21">
        <f t="shared" si="30"/>
        <v>1</v>
      </c>
      <c r="Z68" s="23"/>
      <c r="AA68" s="21" t="str">
        <f t="shared" si="31"/>
        <v/>
      </c>
      <c r="AB68" s="23"/>
      <c r="AC68" s="21" t="str">
        <f t="shared" si="32"/>
        <v/>
      </c>
      <c r="AD68" s="23"/>
      <c r="AG68" s="25" t="str">
        <f t="shared" si="22"/>
        <v/>
      </c>
      <c r="AK68" s="10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 t="str">
        <f t="shared" si="7"/>
        <v/>
      </c>
      <c r="AR68" s="11">
        <f t="shared" si="8"/>
        <v>1</v>
      </c>
      <c r="AS68" s="11" t="str">
        <f t="shared" si="9"/>
        <v/>
      </c>
      <c r="AT68" s="12" t="str">
        <f t="shared" si="10"/>
        <v/>
      </c>
    </row>
    <row r="69" spans="1:46" ht="18.75" x14ac:dyDescent="0.25">
      <c r="A69" s="5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24107</v>
      </c>
      <c r="E69" t="str">
        <f t="shared" ref="E69:E80" si="33">IF(D69&lt;&gt;"",LEFT(D69,2),"")</f>
        <v>24</v>
      </c>
      <c r="F69" t="str">
        <f>'Final list of total hauls pros'!B66</f>
        <v>39G3</v>
      </c>
      <c r="G69" t="str">
        <f>'Final list of total hauls pros'!I66</f>
        <v>SWE</v>
      </c>
      <c r="H69" t="str">
        <f>'Final list of total hauls pros'!L66</f>
        <v>21-24</v>
      </c>
      <c r="I69" t="str">
        <f t="shared" si="11"/>
        <v>SWE (SD 25-32)</v>
      </c>
      <c r="K69" s="20" t="str">
        <f t="shared" si="23"/>
        <v/>
      </c>
      <c r="L69" s="23"/>
      <c r="M69" s="21" t="str">
        <f t="shared" si="24"/>
        <v/>
      </c>
      <c r="N69" s="23"/>
      <c r="O69" s="21">
        <f t="shared" si="25"/>
        <v>1</v>
      </c>
      <c r="P69" s="23" t="s">
        <v>138</v>
      </c>
      <c r="Q69" s="21" t="str">
        <f t="shared" si="26"/>
        <v/>
      </c>
      <c r="R69" s="23"/>
      <c r="S69" s="21" t="str">
        <f t="shared" si="27"/>
        <v/>
      </c>
      <c r="T69" s="23"/>
      <c r="U69" s="21" t="str">
        <f t="shared" si="28"/>
        <v/>
      </c>
      <c r="V69" s="23"/>
      <c r="W69" s="21" t="str">
        <f t="shared" si="29"/>
        <v/>
      </c>
      <c r="X69" s="23"/>
      <c r="Y69" s="21" t="str">
        <f t="shared" si="30"/>
        <v/>
      </c>
      <c r="Z69" s="23" t="s">
        <v>132</v>
      </c>
      <c r="AA69" s="21" t="str">
        <f t="shared" si="31"/>
        <v/>
      </c>
      <c r="AB69" s="23"/>
      <c r="AC69" s="21" t="str">
        <f t="shared" si="32"/>
        <v/>
      </c>
      <c r="AD69" s="23"/>
      <c r="AG69" s="25" t="str">
        <f t="shared" si="22"/>
        <v/>
      </c>
      <c r="AK69" s="10" t="str">
        <f t="shared" ref="AK69:AK132" si="34">IF(B69="DEN (SD 21-24)",1,"")</f>
        <v/>
      </c>
      <c r="AL69" s="11" t="str">
        <f t="shared" ref="AL69:AL132" si="35">IF(B69="DEN (SD 25-32)",1,"")</f>
        <v/>
      </c>
      <c r="AM69" s="11" t="str">
        <f t="shared" ref="AM69:AM132" si="36">IF(B69="SWE (SD 25-32)",1,"")</f>
        <v/>
      </c>
      <c r="AN69" s="11" t="str">
        <f t="shared" ref="AN69:AN132" si="37">IF(B69="POL (SD 21-24)",1,"")</f>
        <v/>
      </c>
      <c r="AO69" s="11" t="str">
        <f t="shared" ref="AO69:AO132" si="38">IF(B69="POL (SD 25-32)",1,"")</f>
        <v/>
      </c>
      <c r="AP69" s="11" t="str">
        <f t="shared" ref="AP69:AP132" si="39">IF(B69="LAT (SD 25-32)",1,"")</f>
        <v/>
      </c>
      <c r="AQ69" s="11" t="str">
        <f t="shared" ref="AQ69:AQ132" si="40">IF(B69="EST (SD 25-32)",1,"")</f>
        <v/>
      </c>
      <c r="AR69" s="11">
        <f t="shared" ref="AR69:AR132" si="41">IF(B69="GFR (SD 21-24)",1,"")</f>
        <v>1</v>
      </c>
      <c r="AS69" s="11" t="str">
        <f t="shared" ref="AS69:AS132" si="42">IF(B69="LTU (SD 25-32)",1,"")</f>
        <v/>
      </c>
      <c r="AT69" s="12" t="str">
        <f t="shared" ref="AT69:AT132" si="43">IF(B69="RUS (SD 25-32)",1,"")</f>
        <v/>
      </c>
    </row>
    <row r="70" spans="1:46" ht="18.75" x14ac:dyDescent="0.25">
      <c r="A70" s="5" t="s">
        <v>26</v>
      </c>
      <c r="B70" t="str">
        <f>'Final list of total hauls pros'!M67</f>
        <v>GFR (SD 21-24)</v>
      </c>
      <c r="C70">
        <v>66</v>
      </c>
      <c r="D70">
        <f>'Final list of total hauls pros'!A67</f>
        <v>24142</v>
      </c>
      <c r="E70" t="str">
        <f t="shared" si="33"/>
        <v>24</v>
      </c>
      <c r="F70" t="str">
        <f>'Final list of total hauls pros'!B67</f>
        <v>39G4</v>
      </c>
      <c r="G70" t="str">
        <f>'Final list of total hauls pros'!I67</f>
        <v>SWE</v>
      </c>
      <c r="H70" t="str">
        <f>'Final list of total hauls pros'!L67</f>
        <v>21-24</v>
      </c>
      <c r="I70" t="str">
        <f t="shared" ref="I70:I133" si="44">IF(L70="+",$K$2,IF(N70="+",$M$2,IF(P70="+",$O$2,IF(R70="+",$Q$2,IF(T70="+",$S$2,IF(V70="+",$U$2,IF(X70="+",$W$2,IF(Z70="+",$Y$2,IF(AB70="+",$AA$2,IF(AD70="+",$AC$2,B70))))))))))</f>
        <v>SWE (SD 25-32)</v>
      </c>
      <c r="K70" s="20" t="str">
        <f t="shared" si="23"/>
        <v/>
      </c>
      <c r="L70" s="23"/>
      <c r="M70" s="21" t="str">
        <f t="shared" si="24"/>
        <v/>
      </c>
      <c r="N70" s="23"/>
      <c r="O70" s="21">
        <f t="shared" si="25"/>
        <v>1</v>
      </c>
      <c r="P70" s="23" t="s">
        <v>138</v>
      </c>
      <c r="Q70" s="21" t="str">
        <f t="shared" si="26"/>
        <v/>
      </c>
      <c r="R70" s="23"/>
      <c r="S70" s="21" t="str">
        <f t="shared" si="27"/>
        <v/>
      </c>
      <c r="T70" s="23"/>
      <c r="U70" s="21" t="str">
        <f t="shared" si="28"/>
        <v/>
      </c>
      <c r="V70" s="23"/>
      <c r="W70" s="21" t="str">
        <f t="shared" si="29"/>
        <v/>
      </c>
      <c r="X70" s="23"/>
      <c r="Y70" s="21" t="str">
        <f t="shared" si="30"/>
        <v/>
      </c>
      <c r="Z70" s="23" t="s">
        <v>132</v>
      </c>
      <c r="AA70" s="21" t="str">
        <f t="shared" si="31"/>
        <v/>
      </c>
      <c r="AB70" s="23"/>
      <c r="AC70" s="21" t="str">
        <f t="shared" si="32"/>
        <v/>
      </c>
      <c r="AD70" s="23"/>
      <c r="AG70" s="25" t="str">
        <f t="shared" ref="AG70:AG133" si="45">IF(SUM(K70:AC70)&lt;&gt;1,"FEJL","")</f>
        <v/>
      </c>
      <c r="AK70" s="10" t="str">
        <f t="shared" si="34"/>
        <v/>
      </c>
      <c r="AL70" s="11" t="str">
        <f t="shared" si="35"/>
        <v/>
      </c>
      <c r="AM70" s="11" t="str">
        <f t="shared" si="36"/>
        <v/>
      </c>
      <c r="AN70" s="11" t="str">
        <f t="shared" si="37"/>
        <v/>
      </c>
      <c r="AO70" s="11" t="str">
        <f t="shared" si="38"/>
        <v/>
      </c>
      <c r="AP70" s="11" t="str">
        <f t="shared" si="39"/>
        <v/>
      </c>
      <c r="AQ70" s="11" t="str">
        <f t="shared" si="40"/>
        <v/>
      </c>
      <c r="AR70" s="11">
        <f t="shared" si="41"/>
        <v>1</v>
      </c>
      <c r="AS70" s="11" t="str">
        <f t="shared" si="42"/>
        <v/>
      </c>
      <c r="AT70" s="12" t="str">
        <f t="shared" si="43"/>
        <v/>
      </c>
    </row>
    <row r="71" spans="1:46" ht="18.75" x14ac:dyDescent="0.25">
      <c r="A71" s="5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24150</v>
      </c>
      <c r="E71" t="str">
        <f t="shared" si="33"/>
        <v>24</v>
      </c>
      <c r="F71" t="str">
        <f>'Final list of total hauls pros'!B68</f>
        <v>38G4</v>
      </c>
      <c r="G71" t="str">
        <f>'Final list of total hauls pros'!I68</f>
        <v>DEN</v>
      </c>
      <c r="H71" t="str">
        <f>'Final list of total hauls pros'!L68</f>
        <v>21-24</v>
      </c>
      <c r="I71" t="str">
        <f t="shared" si="44"/>
        <v>GFR (SD 21-24)</v>
      </c>
      <c r="K71" s="20" t="str">
        <f t="shared" si="23"/>
        <v/>
      </c>
      <c r="L71" s="23"/>
      <c r="M71" s="21" t="str">
        <f t="shared" si="24"/>
        <v/>
      </c>
      <c r="N71" s="23"/>
      <c r="O71" s="21" t="str">
        <f t="shared" si="25"/>
        <v/>
      </c>
      <c r="P71" s="23"/>
      <c r="Q71" s="21" t="str">
        <f t="shared" si="26"/>
        <v/>
      </c>
      <c r="R71" s="23"/>
      <c r="S71" s="21" t="str">
        <f t="shared" si="27"/>
        <v/>
      </c>
      <c r="T71" s="23"/>
      <c r="U71" s="21" t="str">
        <f t="shared" si="28"/>
        <v/>
      </c>
      <c r="V71" s="23"/>
      <c r="W71" s="21" t="str">
        <f t="shared" si="29"/>
        <v/>
      </c>
      <c r="X71" s="23"/>
      <c r="Y71" s="21">
        <f t="shared" si="30"/>
        <v>1</v>
      </c>
      <c r="Z71" s="23"/>
      <c r="AA71" s="21" t="str">
        <f t="shared" si="31"/>
        <v/>
      </c>
      <c r="AB71" s="23"/>
      <c r="AC71" s="21" t="str">
        <f t="shared" si="32"/>
        <v/>
      </c>
      <c r="AD71" s="23"/>
      <c r="AG71" s="25" t="str">
        <f t="shared" si="45"/>
        <v/>
      </c>
      <c r="AK71" s="10" t="str">
        <f t="shared" si="34"/>
        <v/>
      </c>
      <c r="AL71" s="11" t="str">
        <f t="shared" si="35"/>
        <v/>
      </c>
      <c r="AM71" s="11" t="str">
        <f t="shared" si="36"/>
        <v/>
      </c>
      <c r="AN71" s="11" t="str">
        <f t="shared" si="37"/>
        <v/>
      </c>
      <c r="AO71" s="11" t="str">
        <f t="shared" si="38"/>
        <v/>
      </c>
      <c r="AP71" s="11" t="str">
        <f t="shared" si="39"/>
        <v/>
      </c>
      <c r="AQ71" s="11" t="str">
        <f t="shared" si="40"/>
        <v/>
      </c>
      <c r="AR71" s="11">
        <f t="shared" si="41"/>
        <v>1</v>
      </c>
      <c r="AS71" s="11" t="str">
        <f t="shared" si="42"/>
        <v/>
      </c>
      <c r="AT71" s="12" t="str">
        <f t="shared" si="43"/>
        <v/>
      </c>
    </row>
    <row r="72" spans="1:46" ht="18.75" x14ac:dyDescent="0.25">
      <c r="A72" s="5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24164</v>
      </c>
      <c r="E72" t="str">
        <f t="shared" si="33"/>
        <v>24</v>
      </c>
      <c r="F72" t="str">
        <f>'Final list of total hauls pros'!B69</f>
        <v>38G4</v>
      </c>
      <c r="G72" t="str">
        <f>'Final list of total hauls pros'!I69</f>
        <v>DEN</v>
      </c>
      <c r="H72" t="str">
        <f>'Final list of total hauls pros'!L69</f>
        <v>21-24</v>
      </c>
      <c r="I72" t="str">
        <f t="shared" si="44"/>
        <v>GFR (SD 21-24)</v>
      </c>
      <c r="K72" s="20" t="str">
        <f t="shared" si="23"/>
        <v/>
      </c>
      <c r="L72" s="23"/>
      <c r="M72" s="21" t="str">
        <f t="shared" si="24"/>
        <v/>
      </c>
      <c r="N72" s="23"/>
      <c r="O72" s="21" t="str">
        <f t="shared" si="25"/>
        <v/>
      </c>
      <c r="P72" s="23"/>
      <c r="Q72" s="21" t="str">
        <f t="shared" si="26"/>
        <v/>
      </c>
      <c r="R72" s="23"/>
      <c r="S72" s="21" t="str">
        <f t="shared" si="27"/>
        <v/>
      </c>
      <c r="T72" s="23"/>
      <c r="U72" s="21" t="str">
        <f t="shared" si="28"/>
        <v/>
      </c>
      <c r="V72" s="23"/>
      <c r="W72" s="21" t="str">
        <f t="shared" si="29"/>
        <v/>
      </c>
      <c r="X72" s="23"/>
      <c r="Y72" s="21">
        <f t="shared" si="30"/>
        <v>1</v>
      </c>
      <c r="Z72" s="23"/>
      <c r="AA72" s="21" t="str">
        <f t="shared" si="31"/>
        <v/>
      </c>
      <c r="AB72" s="23"/>
      <c r="AC72" s="21" t="str">
        <f t="shared" si="32"/>
        <v/>
      </c>
      <c r="AD72" s="23"/>
      <c r="AG72" s="25" t="str">
        <f t="shared" si="45"/>
        <v/>
      </c>
      <c r="AK72" s="10" t="str">
        <f t="shared" si="34"/>
        <v/>
      </c>
      <c r="AL72" s="11" t="str">
        <f t="shared" si="35"/>
        <v/>
      </c>
      <c r="AM72" s="11" t="str">
        <f t="shared" si="36"/>
        <v/>
      </c>
      <c r="AN72" s="11" t="str">
        <f t="shared" si="37"/>
        <v/>
      </c>
      <c r="AO72" s="11" t="str">
        <f t="shared" si="38"/>
        <v/>
      </c>
      <c r="AP72" s="11" t="str">
        <f t="shared" si="39"/>
        <v/>
      </c>
      <c r="AQ72" s="11" t="str">
        <f t="shared" si="40"/>
        <v/>
      </c>
      <c r="AR72" s="11">
        <f t="shared" si="41"/>
        <v>1</v>
      </c>
      <c r="AS72" s="11" t="str">
        <f t="shared" si="42"/>
        <v/>
      </c>
      <c r="AT72" s="12" t="str">
        <f t="shared" si="43"/>
        <v/>
      </c>
    </row>
    <row r="73" spans="1:46" ht="18.75" x14ac:dyDescent="0.25">
      <c r="A73" s="5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24169</v>
      </c>
      <c r="E73" t="str">
        <f t="shared" si="33"/>
        <v>24</v>
      </c>
      <c r="F73" t="str">
        <f>'Final list of total hauls pros'!B70</f>
        <v>38G2</v>
      </c>
      <c r="G73" t="str">
        <f>'Final list of total hauls pros'!I70</f>
        <v>DEN</v>
      </c>
      <c r="H73" t="str">
        <f>'Final list of total hauls pros'!L70</f>
        <v>21-24</v>
      </c>
      <c r="I73" t="str">
        <f t="shared" si="44"/>
        <v>GFR (SD 21-24)</v>
      </c>
      <c r="K73" s="20" t="str">
        <f t="shared" si="23"/>
        <v/>
      </c>
      <c r="L73" s="23"/>
      <c r="M73" s="21" t="str">
        <f t="shared" si="24"/>
        <v/>
      </c>
      <c r="N73" s="23"/>
      <c r="O73" s="21" t="str">
        <f t="shared" si="25"/>
        <v/>
      </c>
      <c r="P73" s="23"/>
      <c r="Q73" s="21" t="str">
        <f t="shared" si="26"/>
        <v/>
      </c>
      <c r="R73" s="23"/>
      <c r="S73" s="21" t="str">
        <f t="shared" si="27"/>
        <v/>
      </c>
      <c r="T73" s="23"/>
      <c r="U73" s="21" t="str">
        <f t="shared" si="28"/>
        <v/>
      </c>
      <c r="V73" s="23"/>
      <c r="W73" s="21" t="str">
        <f t="shared" si="29"/>
        <v/>
      </c>
      <c r="X73" s="23"/>
      <c r="Y73" s="21">
        <f t="shared" si="30"/>
        <v>1</v>
      </c>
      <c r="Z73" s="23"/>
      <c r="AA73" s="21" t="str">
        <f t="shared" si="31"/>
        <v/>
      </c>
      <c r="AB73" s="23"/>
      <c r="AC73" s="21" t="str">
        <f t="shared" si="32"/>
        <v/>
      </c>
      <c r="AD73" s="23"/>
      <c r="AG73" s="25" t="str">
        <f t="shared" si="45"/>
        <v/>
      </c>
      <c r="AK73" s="10" t="str">
        <f t="shared" si="34"/>
        <v/>
      </c>
      <c r="AL73" s="11" t="str">
        <f t="shared" si="35"/>
        <v/>
      </c>
      <c r="AM73" s="11" t="str">
        <f t="shared" si="36"/>
        <v/>
      </c>
      <c r="AN73" s="11" t="str">
        <f t="shared" si="37"/>
        <v/>
      </c>
      <c r="AO73" s="11" t="str">
        <f t="shared" si="38"/>
        <v/>
      </c>
      <c r="AP73" s="11" t="str">
        <f t="shared" si="39"/>
        <v/>
      </c>
      <c r="AQ73" s="11" t="str">
        <f t="shared" si="40"/>
        <v/>
      </c>
      <c r="AR73" s="11">
        <f t="shared" si="41"/>
        <v>1</v>
      </c>
      <c r="AS73" s="11" t="str">
        <f t="shared" si="42"/>
        <v/>
      </c>
      <c r="AT73" s="12" t="str">
        <f t="shared" si="43"/>
        <v/>
      </c>
    </row>
    <row r="74" spans="1:46" ht="18.75" x14ac:dyDescent="0.25">
      <c r="A74" s="5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24183</v>
      </c>
      <c r="E74" t="str">
        <f t="shared" si="33"/>
        <v>24</v>
      </c>
      <c r="F74" t="str">
        <f>'Final list of total hauls pros'!B71</f>
        <v>38G3</v>
      </c>
      <c r="G74" t="str">
        <f>'Final list of total hauls pros'!I71</f>
        <v>GFR</v>
      </c>
      <c r="H74" t="str">
        <f>'Final list of total hauls pros'!L71</f>
        <v>21-24</v>
      </c>
      <c r="I74" t="str">
        <f t="shared" si="44"/>
        <v>GFR (SD 21-24)</v>
      </c>
      <c r="K74" s="20" t="str">
        <f t="shared" si="23"/>
        <v/>
      </c>
      <c r="L74" s="23"/>
      <c r="M74" s="21" t="str">
        <f t="shared" si="24"/>
        <v/>
      </c>
      <c r="N74" s="23"/>
      <c r="O74" s="21" t="str">
        <f t="shared" si="25"/>
        <v/>
      </c>
      <c r="P74" s="23"/>
      <c r="Q74" s="21" t="str">
        <f t="shared" si="26"/>
        <v/>
      </c>
      <c r="R74" s="23"/>
      <c r="S74" s="21" t="str">
        <f t="shared" si="27"/>
        <v/>
      </c>
      <c r="T74" s="23"/>
      <c r="U74" s="21" t="str">
        <f t="shared" si="28"/>
        <v/>
      </c>
      <c r="V74" s="23"/>
      <c r="W74" s="21" t="str">
        <f t="shared" si="29"/>
        <v/>
      </c>
      <c r="X74" s="23"/>
      <c r="Y74" s="21">
        <f t="shared" si="30"/>
        <v>1</v>
      </c>
      <c r="Z74" s="23"/>
      <c r="AA74" s="21" t="str">
        <f t="shared" si="31"/>
        <v/>
      </c>
      <c r="AB74" s="23"/>
      <c r="AC74" s="21" t="str">
        <f t="shared" si="32"/>
        <v/>
      </c>
      <c r="AD74" s="23"/>
      <c r="AG74" s="25" t="str">
        <f t="shared" si="45"/>
        <v/>
      </c>
      <c r="AK74" s="10" t="str">
        <f t="shared" si="34"/>
        <v/>
      </c>
      <c r="AL74" s="11" t="str">
        <f t="shared" si="35"/>
        <v/>
      </c>
      <c r="AM74" s="11" t="str">
        <f t="shared" si="36"/>
        <v/>
      </c>
      <c r="AN74" s="11" t="str">
        <f t="shared" si="37"/>
        <v/>
      </c>
      <c r="AO74" s="11" t="str">
        <f t="shared" si="38"/>
        <v/>
      </c>
      <c r="AP74" s="11" t="str">
        <f t="shared" si="39"/>
        <v/>
      </c>
      <c r="AQ74" s="11" t="str">
        <f t="shared" si="40"/>
        <v/>
      </c>
      <c r="AR74" s="11">
        <f t="shared" si="41"/>
        <v>1</v>
      </c>
      <c r="AS74" s="11" t="str">
        <f t="shared" si="42"/>
        <v/>
      </c>
      <c r="AT74" s="12" t="str">
        <f t="shared" si="43"/>
        <v/>
      </c>
    </row>
    <row r="75" spans="1:46" ht="18.75" x14ac:dyDescent="0.25">
      <c r="A75" s="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24207</v>
      </c>
      <c r="E75" t="str">
        <f t="shared" si="33"/>
        <v>24</v>
      </c>
      <c r="F75" t="str">
        <f>'Final list of total hauls pros'!B72</f>
        <v>38G4</v>
      </c>
      <c r="G75" t="str">
        <f>'Final list of total hauls pros'!I72</f>
        <v>DEN</v>
      </c>
      <c r="H75" t="str">
        <f>'Final list of total hauls pros'!L72</f>
        <v>21-24</v>
      </c>
      <c r="I75" t="str">
        <f t="shared" si="44"/>
        <v>GFR (SD 21-24)</v>
      </c>
      <c r="K75" s="20" t="str">
        <f t="shared" si="23"/>
        <v/>
      </c>
      <c r="L75" s="23"/>
      <c r="M75" s="21" t="str">
        <f t="shared" si="24"/>
        <v/>
      </c>
      <c r="N75" s="23"/>
      <c r="O75" s="21" t="str">
        <f t="shared" si="25"/>
        <v/>
      </c>
      <c r="P75" s="23"/>
      <c r="Q75" s="21" t="str">
        <f t="shared" si="26"/>
        <v/>
      </c>
      <c r="R75" s="23"/>
      <c r="S75" s="21" t="str">
        <f t="shared" si="27"/>
        <v/>
      </c>
      <c r="T75" s="23"/>
      <c r="U75" s="21" t="str">
        <f t="shared" si="28"/>
        <v/>
      </c>
      <c r="V75" s="23"/>
      <c r="W75" s="21" t="str">
        <f t="shared" si="29"/>
        <v/>
      </c>
      <c r="X75" s="23"/>
      <c r="Y75" s="21">
        <f t="shared" si="30"/>
        <v>1</v>
      </c>
      <c r="Z75" s="23"/>
      <c r="AA75" s="21" t="str">
        <f t="shared" si="31"/>
        <v/>
      </c>
      <c r="AB75" s="23"/>
      <c r="AC75" s="21" t="str">
        <f t="shared" si="32"/>
        <v/>
      </c>
      <c r="AD75" s="23"/>
      <c r="AG75" s="25" t="str">
        <f t="shared" si="45"/>
        <v/>
      </c>
      <c r="AK75" s="10" t="str">
        <f t="shared" si="34"/>
        <v/>
      </c>
      <c r="AL75" s="11" t="str">
        <f t="shared" si="35"/>
        <v/>
      </c>
      <c r="AM75" s="11" t="str">
        <f t="shared" si="36"/>
        <v/>
      </c>
      <c r="AN75" s="11" t="str">
        <f t="shared" si="37"/>
        <v/>
      </c>
      <c r="AO75" s="11" t="str">
        <f t="shared" si="38"/>
        <v/>
      </c>
      <c r="AP75" s="11" t="str">
        <f t="shared" si="39"/>
        <v/>
      </c>
      <c r="AQ75" s="11" t="str">
        <f t="shared" si="40"/>
        <v/>
      </c>
      <c r="AR75" s="11">
        <f t="shared" si="41"/>
        <v>1</v>
      </c>
      <c r="AS75" s="11" t="str">
        <f t="shared" si="42"/>
        <v/>
      </c>
      <c r="AT75" s="12" t="str">
        <f t="shared" si="43"/>
        <v/>
      </c>
    </row>
    <row r="76" spans="1:46" ht="18.75" x14ac:dyDescent="0.25">
      <c r="A76" s="5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24251</v>
      </c>
      <c r="E76" t="str">
        <f t="shared" si="33"/>
        <v>24</v>
      </c>
      <c r="F76" t="str">
        <f>'Final list of total hauls pros'!B73</f>
        <v>39G4</v>
      </c>
      <c r="G76" t="str">
        <f>'Final list of total hauls pros'!I73</f>
        <v>DEN</v>
      </c>
      <c r="H76" t="str">
        <f>'Final list of total hauls pros'!L73</f>
        <v>21-24</v>
      </c>
      <c r="I76" t="str">
        <f t="shared" si="44"/>
        <v>GFR (SD 21-24)</v>
      </c>
      <c r="K76" s="20" t="str">
        <f t="shared" si="23"/>
        <v/>
      </c>
      <c r="L76" s="23"/>
      <c r="M76" s="21" t="str">
        <f t="shared" si="24"/>
        <v/>
      </c>
      <c r="N76" s="23"/>
      <c r="O76" s="21" t="str">
        <f t="shared" si="25"/>
        <v/>
      </c>
      <c r="P76" s="23"/>
      <c r="Q76" s="21" t="str">
        <f t="shared" si="26"/>
        <v/>
      </c>
      <c r="R76" s="23"/>
      <c r="S76" s="21" t="str">
        <f t="shared" si="27"/>
        <v/>
      </c>
      <c r="T76" s="23"/>
      <c r="U76" s="21" t="str">
        <f t="shared" si="28"/>
        <v/>
      </c>
      <c r="V76" s="23"/>
      <c r="W76" s="21" t="str">
        <f t="shared" si="29"/>
        <v/>
      </c>
      <c r="X76" s="23"/>
      <c r="Y76" s="21">
        <f t="shared" si="30"/>
        <v>1</v>
      </c>
      <c r="Z76" s="23"/>
      <c r="AA76" s="21" t="str">
        <f t="shared" si="31"/>
        <v/>
      </c>
      <c r="AB76" s="23"/>
      <c r="AC76" s="21" t="str">
        <f t="shared" si="32"/>
        <v/>
      </c>
      <c r="AD76" s="23"/>
      <c r="AG76" s="25" t="str">
        <f t="shared" si="45"/>
        <v/>
      </c>
      <c r="AK76" s="10" t="str">
        <f t="shared" si="34"/>
        <v/>
      </c>
      <c r="AL76" s="11" t="str">
        <f t="shared" si="35"/>
        <v/>
      </c>
      <c r="AM76" s="11" t="str">
        <f t="shared" si="36"/>
        <v/>
      </c>
      <c r="AN76" s="11" t="str">
        <f t="shared" si="37"/>
        <v/>
      </c>
      <c r="AO76" s="11" t="str">
        <f t="shared" si="38"/>
        <v/>
      </c>
      <c r="AP76" s="11" t="str">
        <f t="shared" si="39"/>
        <v/>
      </c>
      <c r="AQ76" s="11" t="str">
        <f t="shared" si="40"/>
        <v/>
      </c>
      <c r="AR76" s="11">
        <f t="shared" si="41"/>
        <v>1</v>
      </c>
      <c r="AS76" s="11" t="str">
        <f t="shared" si="42"/>
        <v/>
      </c>
      <c r="AT76" s="12" t="str">
        <f t="shared" si="43"/>
        <v/>
      </c>
    </row>
    <row r="77" spans="1:46" ht="18.75" x14ac:dyDescent="0.25">
      <c r="A77" s="5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24252</v>
      </c>
      <c r="E77" t="str">
        <f t="shared" si="33"/>
        <v>24</v>
      </c>
      <c r="F77" t="str">
        <f>'Final list of total hauls pros'!B74</f>
        <v>39G3</v>
      </c>
      <c r="G77" t="str">
        <f>'Final list of total hauls pros'!I74</f>
        <v>SWE</v>
      </c>
      <c r="H77" t="str">
        <f>'Final list of total hauls pros'!L74</f>
        <v>21-24</v>
      </c>
      <c r="I77" t="str">
        <f t="shared" si="44"/>
        <v>SWE (SD 25-32)</v>
      </c>
      <c r="K77" s="20" t="str">
        <f t="shared" si="23"/>
        <v/>
      </c>
      <c r="L77" s="23"/>
      <c r="M77" s="21" t="str">
        <f t="shared" si="24"/>
        <v/>
      </c>
      <c r="N77" s="23"/>
      <c r="O77" s="21">
        <f t="shared" si="25"/>
        <v>1</v>
      </c>
      <c r="P77" s="23" t="s">
        <v>138</v>
      </c>
      <c r="Q77" s="21" t="str">
        <f t="shared" si="26"/>
        <v/>
      </c>
      <c r="R77" s="23"/>
      <c r="S77" s="21" t="str">
        <f t="shared" si="27"/>
        <v/>
      </c>
      <c r="T77" s="23"/>
      <c r="U77" s="21" t="str">
        <f t="shared" si="28"/>
        <v/>
      </c>
      <c r="V77" s="23"/>
      <c r="W77" s="21" t="str">
        <f t="shared" si="29"/>
        <v/>
      </c>
      <c r="X77" s="23"/>
      <c r="Y77" s="21" t="str">
        <f t="shared" si="30"/>
        <v/>
      </c>
      <c r="Z77" s="23" t="s">
        <v>132</v>
      </c>
      <c r="AA77" s="21" t="str">
        <f t="shared" si="31"/>
        <v/>
      </c>
      <c r="AB77" s="23"/>
      <c r="AC77" s="21" t="str">
        <f t="shared" si="32"/>
        <v/>
      </c>
      <c r="AD77" s="23"/>
      <c r="AG77" s="25" t="str">
        <f t="shared" si="45"/>
        <v/>
      </c>
      <c r="AK77" s="10" t="str">
        <f t="shared" si="34"/>
        <v/>
      </c>
      <c r="AL77" s="11" t="str">
        <f t="shared" si="35"/>
        <v/>
      </c>
      <c r="AM77" s="11" t="str">
        <f t="shared" si="36"/>
        <v/>
      </c>
      <c r="AN77" s="11" t="str">
        <f t="shared" si="37"/>
        <v/>
      </c>
      <c r="AO77" s="11" t="str">
        <f t="shared" si="38"/>
        <v/>
      </c>
      <c r="AP77" s="11" t="str">
        <f t="shared" si="39"/>
        <v/>
      </c>
      <c r="AQ77" s="11" t="str">
        <f t="shared" si="40"/>
        <v/>
      </c>
      <c r="AR77" s="11">
        <f t="shared" si="41"/>
        <v>1</v>
      </c>
      <c r="AS77" s="11" t="str">
        <f t="shared" si="42"/>
        <v/>
      </c>
      <c r="AT77" s="12" t="str">
        <f t="shared" si="43"/>
        <v/>
      </c>
    </row>
    <row r="78" spans="1:46" ht="18.75" x14ac:dyDescent="0.25">
      <c r="A78" s="5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24275</v>
      </c>
      <c r="E78" t="str">
        <f t="shared" si="33"/>
        <v>24</v>
      </c>
      <c r="F78" t="str">
        <f>'Final list of total hauls pros'!B75</f>
        <v>39G4</v>
      </c>
      <c r="G78" t="str">
        <f>'Final list of total hauls pros'!I75</f>
        <v>DEN</v>
      </c>
      <c r="H78" t="str">
        <f>'Final list of total hauls pros'!L75</f>
        <v>21-24</v>
      </c>
      <c r="I78" t="str">
        <f t="shared" si="44"/>
        <v>GFR (SD 21-24)</v>
      </c>
      <c r="K78" s="20" t="str">
        <f t="shared" si="23"/>
        <v/>
      </c>
      <c r="L78" s="23"/>
      <c r="M78" s="21" t="str">
        <f t="shared" si="24"/>
        <v/>
      </c>
      <c r="N78" s="23"/>
      <c r="O78" s="21" t="str">
        <f t="shared" si="25"/>
        <v/>
      </c>
      <c r="P78" s="23"/>
      <c r="Q78" s="21" t="str">
        <f t="shared" si="26"/>
        <v/>
      </c>
      <c r="R78" s="23"/>
      <c r="S78" s="21" t="str">
        <f t="shared" si="27"/>
        <v/>
      </c>
      <c r="T78" s="23"/>
      <c r="U78" s="21" t="str">
        <f t="shared" si="28"/>
        <v/>
      </c>
      <c r="V78" s="23"/>
      <c r="W78" s="21" t="str">
        <f t="shared" si="29"/>
        <v/>
      </c>
      <c r="X78" s="23"/>
      <c r="Y78" s="21">
        <f t="shared" si="30"/>
        <v>1</v>
      </c>
      <c r="Z78" s="23"/>
      <c r="AA78" s="21" t="str">
        <f t="shared" si="31"/>
        <v/>
      </c>
      <c r="AB78" s="23"/>
      <c r="AC78" s="21" t="str">
        <f t="shared" si="32"/>
        <v/>
      </c>
      <c r="AD78" s="23"/>
      <c r="AG78" s="25" t="str">
        <f t="shared" si="45"/>
        <v/>
      </c>
      <c r="AK78" s="10" t="str">
        <f t="shared" si="34"/>
        <v/>
      </c>
      <c r="AL78" s="11" t="str">
        <f t="shared" si="35"/>
        <v/>
      </c>
      <c r="AM78" s="11" t="str">
        <f t="shared" si="36"/>
        <v/>
      </c>
      <c r="AN78" s="11" t="str">
        <f t="shared" si="37"/>
        <v/>
      </c>
      <c r="AO78" s="11" t="str">
        <f t="shared" si="38"/>
        <v/>
      </c>
      <c r="AP78" s="11" t="str">
        <f t="shared" si="39"/>
        <v/>
      </c>
      <c r="AQ78" s="11" t="str">
        <f t="shared" si="40"/>
        <v/>
      </c>
      <c r="AR78" s="11">
        <f t="shared" si="41"/>
        <v>1</v>
      </c>
      <c r="AS78" s="11" t="str">
        <f t="shared" si="42"/>
        <v/>
      </c>
      <c r="AT78" s="12" t="str">
        <f t="shared" si="43"/>
        <v/>
      </c>
    </row>
    <row r="79" spans="1:46" ht="18.75" x14ac:dyDescent="0.25">
      <c r="A79" s="5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24278</v>
      </c>
      <c r="E79" t="str">
        <f t="shared" si="33"/>
        <v>24</v>
      </c>
      <c r="F79" t="str">
        <f>'Final list of total hauls pros'!B76</f>
        <v>38G5</v>
      </c>
      <c r="G79" t="str">
        <f>'Final list of total hauls pros'!I76</f>
        <v>DEN</v>
      </c>
      <c r="H79" t="str">
        <f>'Final list of total hauls pros'!L76</f>
        <v>21-24</v>
      </c>
      <c r="I79" t="str">
        <f t="shared" si="44"/>
        <v>GFR (SD 21-24)</v>
      </c>
      <c r="K79" s="20" t="str">
        <f t="shared" si="23"/>
        <v/>
      </c>
      <c r="L79" s="23"/>
      <c r="M79" s="21" t="str">
        <f t="shared" si="24"/>
        <v/>
      </c>
      <c r="N79" s="23"/>
      <c r="O79" s="21" t="str">
        <f t="shared" si="25"/>
        <v/>
      </c>
      <c r="P79" s="23"/>
      <c r="Q79" s="21" t="str">
        <f t="shared" si="26"/>
        <v/>
      </c>
      <c r="R79" s="23"/>
      <c r="S79" s="21" t="str">
        <f t="shared" si="27"/>
        <v/>
      </c>
      <c r="T79" s="23"/>
      <c r="U79" s="21" t="str">
        <f t="shared" si="28"/>
        <v/>
      </c>
      <c r="V79" s="23"/>
      <c r="W79" s="21" t="str">
        <f t="shared" si="29"/>
        <v/>
      </c>
      <c r="X79" s="23"/>
      <c r="Y79" s="21">
        <f t="shared" si="30"/>
        <v>1</v>
      </c>
      <c r="Z79" s="23"/>
      <c r="AA79" s="21" t="str">
        <f t="shared" si="31"/>
        <v/>
      </c>
      <c r="AB79" s="23"/>
      <c r="AC79" s="21" t="str">
        <f t="shared" si="32"/>
        <v/>
      </c>
      <c r="AD79" s="23"/>
      <c r="AG79" s="25" t="str">
        <f t="shared" si="45"/>
        <v/>
      </c>
      <c r="AK79" s="10" t="str">
        <f t="shared" si="34"/>
        <v/>
      </c>
      <c r="AL79" s="11" t="str">
        <f t="shared" si="35"/>
        <v/>
      </c>
      <c r="AM79" s="11" t="str">
        <f t="shared" si="36"/>
        <v/>
      </c>
      <c r="AN79" s="11" t="str">
        <f t="shared" si="37"/>
        <v/>
      </c>
      <c r="AO79" s="11" t="str">
        <f t="shared" si="38"/>
        <v/>
      </c>
      <c r="AP79" s="11" t="str">
        <f t="shared" si="39"/>
        <v/>
      </c>
      <c r="AQ79" s="11" t="str">
        <f t="shared" si="40"/>
        <v/>
      </c>
      <c r="AR79" s="11">
        <f t="shared" si="41"/>
        <v>1</v>
      </c>
      <c r="AS79" s="11" t="str">
        <f t="shared" si="42"/>
        <v/>
      </c>
      <c r="AT79" s="12" t="str">
        <f t="shared" si="43"/>
        <v/>
      </c>
    </row>
    <row r="80" spans="1:46" ht="18.75" x14ac:dyDescent="0.25">
      <c r="A80" s="5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24287</v>
      </c>
      <c r="E80" t="str">
        <f t="shared" si="33"/>
        <v>24</v>
      </c>
      <c r="F80" t="str">
        <f>'Final list of total hauls pros'!B77</f>
        <v>39G4</v>
      </c>
      <c r="G80" t="str">
        <f>'Final list of total hauls pros'!I77</f>
        <v>DEN</v>
      </c>
      <c r="H80" t="str">
        <f>'Final list of total hauls pros'!L77</f>
        <v>21-24</v>
      </c>
      <c r="I80" t="str">
        <f t="shared" si="44"/>
        <v>GFR (SD 21-24)</v>
      </c>
      <c r="K80" s="20" t="str">
        <f t="shared" si="23"/>
        <v/>
      </c>
      <c r="L80" s="23"/>
      <c r="M80" s="21" t="str">
        <f t="shared" si="24"/>
        <v/>
      </c>
      <c r="N80" s="23"/>
      <c r="O80" s="21" t="str">
        <f t="shared" si="25"/>
        <v/>
      </c>
      <c r="P80" s="23"/>
      <c r="Q80" s="21" t="str">
        <f t="shared" si="26"/>
        <v/>
      </c>
      <c r="R80" s="23"/>
      <c r="S80" s="21" t="str">
        <f t="shared" si="27"/>
        <v/>
      </c>
      <c r="T80" s="23"/>
      <c r="U80" s="21" t="str">
        <f t="shared" si="28"/>
        <v/>
      </c>
      <c r="V80" s="23"/>
      <c r="W80" s="21" t="str">
        <f t="shared" si="29"/>
        <v/>
      </c>
      <c r="X80" s="23"/>
      <c r="Y80" s="21">
        <f t="shared" si="30"/>
        <v>1</v>
      </c>
      <c r="Z80" s="23"/>
      <c r="AA80" s="21" t="str">
        <f t="shared" si="31"/>
        <v/>
      </c>
      <c r="AB80" s="23"/>
      <c r="AC80" s="21" t="str">
        <f t="shared" si="32"/>
        <v/>
      </c>
      <c r="AD80" s="23"/>
      <c r="AG80" s="25" t="str">
        <f t="shared" si="45"/>
        <v/>
      </c>
      <c r="AK80" s="10" t="str">
        <f t="shared" si="34"/>
        <v/>
      </c>
      <c r="AL80" s="11" t="str">
        <f t="shared" si="35"/>
        <v/>
      </c>
      <c r="AM80" s="11" t="str">
        <f t="shared" si="36"/>
        <v/>
      </c>
      <c r="AN80" s="11" t="str">
        <f t="shared" si="37"/>
        <v/>
      </c>
      <c r="AO80" s="11" t="str">
        <f t="shared" si="38"/>
        <v/>
      </c>
      <c r="AP80" s="11" t="str">
        <f t="shared" si="39"/>
        <v/>
      </c>
      <c r="AQ80" s="11" t="str">
        <f t="shared" si="40"/>
        <v/>
      </c>
      <c r="AR80" s="11">
        <f t="shared" si="41"/>
        <v>1</v>
      </c>
      <c r="AS80" s="11" t="str">
        <f t="shared" si="42"/>
        <v/>
      </c>
      <c r="AT80" s="12" t="str">
        <f t="shared" si="43"/>
        <v/>
      </c>
    </row>
    <row r="81" spans="1:46" ht="18.75" x14ac:dyDescent="0.25">
      <c r="A81" s="5" t="s">
        <v>26</v>
      </c>
      <c r="B81" t="str">
        <f>'Final list of total hauls pros'!M78</f>
        <v>GFR (SD 21-24)</v>
      </c>
      <c r="C81">
        <v>77</v>
      </c>
      <c r="D81">
        <f>'Final list of total hauls pros'!A78</f>
        <v>24300</v>
      </c>
      <c r="E81" t="str">
        <f>IF(D81&lt;&gt;"",LEFT(D81,2),"")</f>
        <v>24</v>
      </c>
      <c r="F81" t="str">
        <f>'Final list of total hauls pros'!B78</f>
        <v>38G4</v>
      </c>
      <c r="G81" t="str">
        <f>'Final list of total hauls pros'!I78</f>
        <v>DEN</v>
      </c>
      <c r="H81" t="str">
        <f>'Final list of total hauls pros'!L78</f>
        <v>21-24</v>
      </c>
      <c r="I81" t="str">
        <f t="shared" si="44"/>
        <v>GFR (SD 21-24)</v>
      </c>
      <c r="K81" s="20" t="str">
        <f t="shared" si="23"/>
        <v/>
      </c>
      <c r="L81" s="23"/>
      <c r="M81" s="21" t="str">
        <f t="shared" si="24"/>
        <v/>
      </c>
      <c r="N81" s="23"/>
      <c r="O81" s="21" t="str">
        <f t="shared" si="25"/>
        <v/>
      </c>
      <c r="P81" s="23"/>
      <c r="Q81" s="21" t="str">
        <f t="shared" si="26"/>
        <v/>
      </c>
      <c r="R81" s="23"/>
      <c r="S81" s="21" t="str">
        <f t="shared" si="27"/>
        <v/>
      </c>
      <c r="T81" s="23"/>
      <c r="U81" s="21" t="str">
        <f t="shared" si="28"/>
        <v/>
      </c>
      <c r="V81" s="23"/>
      <c r="W81" s="21" t="str">
        <f t="shared" si="29"/>
        <v/>
      </c>
      <c r="X81" s="23"/>
      <c r="Y81" s="21">
        <f t="shared" si="30"/>
        <v>1</v>
      </c>
      <c r="Z81" s="23"/>
      <c r="AA81" s="21" t="str">
        <f t="shared" si="31"/>
        <v/>
      </c>
      <c r="AB81" s="23"/>
      <c r="AC81" s="21" t="str">
        <f t="shared" si="32"/>
        <v/>
      </c>
      <c r="AD81" s="23"/>
      <c r="AG81" s="25" t="str">
        <f t="shared" si="45"/>
        <v/>
      </c>
      <c r="AK81" s="10" t="str">
        <f t="shared" si="34"/>
        <v/>
      </c>
      <c r="AL81" s="11" t="str">
        <f t="shared" si="35"/>
        <v/>
      </c>
      <c r="AM81" s="11" t="str">
        <f t="shared" si="36"/>
        <v/>
      </c>
      <c r="AN81" s="11" t="str">
        <f t="shared" si="37"/>
        <v/>
      </c>
      <c r="AO81" s="11" t="str">
        <f t="shared" si="38"/>
        <v/>
      </c>
      <c r="AP81" s="11" t="str">
        <f t="shared" si="39"/>
        <v/>
      </c>
      <c r="AQ81" s="11" t="str">
        <f t="shared" si="40"/>
        <v/>
      </c>
      <c r="AR81" s="11">
        <f t="shared" si="41"/>
        <v>1</v>
      </c>
      <c r="AS81" s="11" t="str">
        <f t="shared" si="42"/>
        <v/>
      </c>
      <c r="AT81" s="12" t="str">
        <f t="shared" si="43"/>
        <v/>
      </c>
    </row>
    <row r="82" spans="1:46" ht="18.75" x14ac:dyDescent="0.25">
      <c r="A82" s="5" t="s">
        <v>26</v>
      </c>
      <c r="B82" t="str">
        <f>'Final list of total hauls pros'!M79</f>
        <v>GFR (SD 21-24)</v>
      </c>
      <c r="C82">
        <v>78</v>
      </c>
      <c r="D82">
        <f>'Final list of total hauls pros'!A79</f>
        <v>24301</v>
      </c>
      <c r="E82" t="str">
        <f t="shared" ref="E82:E145" si="46">IF(D82&lt;&gt;"",LEFT(D82,2),"")</f>
        <v>24</v>
      </c>
      <c r="F82" t="str">
        <f>'Final list of total hauls pros'!B79</f>
        <v>39G3</v>
      </c>
      <c r="G82" t="str">
        <f>'Final list of total hauls pros'!I79</f>
        <v>SWE</v>
      </c>
      <c r="H82" t="str">
        <f>'Final list of total hauls pros'!L79</f>
        <v>21-24</v>
      </c>
      <c r="I82" t="str">
        <f t="shared" si="44"/>
        <v>GFR (SD 21-24)</v>
      </c>
      <c r="K82" s="20" t="str">
        <f t="shared" si="23"/>
        <v/>
      </c>
      <c r="L82" s="23"/>
      <c r="M82" s="21" t="str">
        <f t="shared" si="24"/>
        <v/>
      </c>
      <c r="N82" s="23"/>
      <c r="O82" s="21" t="str">
        <f t="shared" si="25"/>
        <v/>
      </c>
      <c r="P82" s="23"/>
      <c r="Q82" s="21" t="str">
        <f t="shared" si="26"/>
        <v/>
      </c>
      <c r="R82" s="23"/>
      <c r="S82" s="21" t="str">
        <f t="shared" si="27"/>
        <v/>
      </c>
      <c r="T82" s="23"/>
      <c r="U82" s="21" t="str">
        <f t="shared" si="28"/>
        <v/>
      </c>
      <c r="V82" s="23"/>
      <c r="W82" s="21" t="str">
        <f t="shared" si="29"/>
        <v/>
      </c>
      <c r="X82" s="23"/>
      <c r="Y82" s="21">
        <f t="shared" si="30"/>
        <v>1</v>
      </c>
      <c r="Z82" s="23"/>
      <c r="AA82" s="21" t="str">
        <f t="shared" si="31"/>
        <v/>
      </c>
      <c r="AB82" s="23"/>
      <c r="AC82" s="21" t="str">
        <f t="shared" si="32"/>
        <v/>
      </c>
      <c r="AD82" s="23"/>
      <c r="AG82" s="25" t="str">
        <f t="shared" si="45"/>
        <v/>
      </c>
      <c r="AK82" s="10" t="str">
        <f t="shared" si="34"/>
        <v/>
      </c>
      <c r="AL82" s="11" t="str">
        <f t="shared" si="35"/>
        <v/>
      </c>
      <c r="AM82" s="11" t="str">
        <f t="shared" si="36"/>
        <v/>
      </c>
      <c r="AN82" s="11" t="str">
        <f t="shared" si="37"/>
        <v/>
      </c>
      <c r="AO82" s="11" t="str">
        <f t="shared" si="38"/>
        <v/>
      </c>
      <c r="AP82" s="11" t="str">
        <f t="shared" si="39"/>
        <v/>
      </c>
      <c r="AQ82" s="11" t="str">
        <f t="shared" si="40"/>
        <v/>
      </c>
      <c r="AR82" s="11">
        <f t="shared" si="41"/>
        <v>1</v>
      </c>
      <c r="AS82" s="11" t="str">
        <f t="shared" si="42"/>
        <v/>
      </c>
      <c r="AT82" s="12" t="str">
        <f t="shared" si="43"/>
        <v/>
      </c>
    </row>
    <row r="83" spans="1:46" ht="18.75" x14ac:dyDescent="0.25">
      <c r="A83" s="5" t="s">
        <v>26</v>
      </c>
      <c r="B83" t="str">
        <f>'Final list of total hauls pros'!M80</f>
        <v>GFR (SD 21-24)</v>
      </c>
      <c r="C83">
        <v>79</v>
      </c>
      <c r="D83">
        <f>'Final list of total hauls pros'!A80</f>
        <v>24303</v>
      </c>
      <c r="E83" t="str">
        <f t="shared" si="46"/>
        <v>24</v>
      </c>
      <c r="F83" t="str">
        <f>'Final list of total hauls pros'!B80</f>
        <v>39G3</v>
      </c>
      <c r="G83" t="str">
        <f>'Final list of total hauls pros'!I80</f>
        <v>SWE</v>
      </c>
      <c r="H83" t="str">
        <f>'Final list of total hauls pros'!L80</f>
        <v>21-24</v>
      </c>
      <c r="I83" t="str">
        <f t="shared" si="44"/>
        <v>SWE (SD 25-32)</v>
      </c>
      <c r="K83" s="20" t="str">
        <f t="shared" si="23"/>
        <v/>
      </c>
      <c r="L83" s="23"/>
      <c r="M83" s="21" t="str">
        <f t="shared" si="24"/>
        <v/>
      </c>
      <c r="N83" s="23"/>
      <c r="O83" s="21">
        <f t="shared" si="25"/>
        <v>1</v>
      </c>
      <c r="P83" s="23" t="s">
        <v>138</v>
      </c>
      <c r="Q83" s="21" t="str">
        <f t="shared" si="26"/>
        <v/>
      </c>
      <c r="R83" s="23"/>
      <c r="S83" s="21" t="str">
        <f t="shared" si="27"/>
        <v/>
      </c>
      <c r="T83" s="23"/>
      <c r="U83" s="21" t="str">
        <f t="shared" si="28"/>
        <v/>
      </c>
      <c r="V83" s="23"/>
      <c r="W83" s="21" t="str">
        <f t="shared" si="29"/>
        <v/>
      </c>
      <c r="X83" s="23"/>
      <c r="Y83" s="21" t="str">
        <f t="shared" si="30"/>
        <v/>
      </c>
      <c r="Z83" s="23" t="s">
        <v>132</v>
      </c>
      <c r="AA83" s="21" t="str">
        <f t="shared" si="31"/>
        <v/>
      </c>
      <c r="AB83" s="23"/>
      <c r="AC83" s="21" t="str">
        <f t="shared" si="32"/>
        <v/>
      </c>
      <c r="AD83" s="23"/>
      <c r="AG83" s="25" t="str">
        <f t="shared" si="45"/>
        <v/>
      </c>
      <c r="AK83" s="10" t="str">
        <f t="shared" si="34"/>
        <v/>
      </c>
      <c r="AL83" s="11" t="str">
        <f t="shared" si="35"/>
        <v/>
      </c>
      <c r="AM83" s="11" t="str">
        <f t="shared" si="36"/>
        <v/>
      </c>
      <c r="AN83" s="11" t="str">
        <f t="shared" si="37"/>
        <v/>
      </c>
      <c r="AO83" s="11" t="str">
        <f t="shared" si="38"/>
        <v/>
      </c>
      <c r="AP83" s="11" t="str">
        <f t="shared" si="39"/>
        <v/>
      </c>
      <c r="AQ83" s="11" t="str">
        <f t="shared" si="40"/>
        <v/>
      </c>
      <c r="AR83" s="11">
        <f t="shared" si="41"/>
        <v>1</v>
      </c>
      <c r="AS83" s="11" t="str">
        <f t="shared" si="42"/>
        <v/>
      </c>
      <c r="AT83" s="12" t="str">
        <f t="shared" si="43"/>
        <v/>
      </c>
    </row>
    <row r="84" spans="1:46" ht="18.75" x14ac:dyDescent="0.25">
      <c r="A84" s="5" t="s">
        <v>26</v>
      </c>
      <c r="B84" t="str">
        <f>'Final list of total hauls pros'!M81</f>
        <v>GFR (SD 21-24)</v>
      </c>
      <c r="C84">
        <v>80</v>
      </c>
      <c r="D84">
        <f>'Final list of total hauls pros'!A81</f>
        <v>24309</v>
      </c>
      <c r="E84" t="str">
        <f t="shared" si="46"/>
        <v>24</v>
      </c>
      <c r="F84" t="str">
        <f>'Final list of total hauls pros'!B81</f>
        <v>38G3</v>
      </c>
      <c r="G84" t="str">
        <f>'Final list of total hauls pros'!I81</f>
        <v>GFR</v>
      </c>
      <c r="H84" t="str">
        <f>'Final list of total hauls pros'!L81</f>
        <v>21-24</v>
      </c>
      <c r="I84" t="str">
        <f t="shared" si="44"/>
        <v>GFR (SD 21-24)</v>
      </c>
      <c r="K84" s="20" t="str">
        <f t="shared" si="23"/>
        <v/>
      </c>
      <c r="L84" s="23"/>
      <c r="M84" s="21" t="str">
        <f t="shared" si="24"/>
        <v/>
      </c>
      <c r="N84" s="23"/>
      <c r="O84" s="21" t="str">
        <f t="shared" si="25"/>
        <v/>
      </c>
      <c r="P84" s="23"/>
      <c r="Q84" s="21" t="str">
        <f t="shared" si="26"/>
        <v/>
      </c>
      <c r="R84" s="23"/>
      <c r="S84" s="21" t="str">
        <f t="shared" si="27"/>
        <v/>
      </c>
      <c r="T84" s="23"/>
      <c r="U84" s="21" t="str">
        <f t="shared" si="28"/>
        <v/>
      </c>
      <c r="V84" s="23"/>
      <c r="W84" s="21" t="str">
        <f t="shared" si="29"/>
        <v/>
      </c>
      <c r="X84" s="23"/>
      <c r="Y84" s="21">
        <f t="shared" si="30"/>
        <v>1</v>
      </c>
      <c r="Z84" s="23"/>
      <c r="AA84" s="21" t="str">
        <f t="shared" si="31"/>
        <v/>
      </c>
      <c r="AB84" s="23"/>
      <c r="AC84" s="21" t="str">
        <f t="shared" si="32"/>
        <v/>
      </c>
      <c r="AD84" s="23"/>
      <c r="AG84" s="25" t="str">
        <f t="shared" si="45"/>
        <v/>
      </c>
      <c r="AK84" s="10" t="str">
        <f t="shared" si="34"/>
        <v/>
      </c>
      <c r="AL84" s="11" t="str">
        <f t="shared" si="35"/>
        <v/>
      </c>
      <c r="AM84" s="11" t="str">
        <f t="shared" si="36"/>
        <v/>
      </c>
      <c r="AN84" s="11" t="str">
        <f t="shared" si="37"/>
        <v/>
      </c>
      <c r="AO84" s="11" t="str">
        <f t="shared" si="38"/>
        <v/>
      </c>
      <c r="AP84" s="11" t="str">
        <f t="shared" si="39"/>
        <v/>
      </c>
      <c r="AQ84" s="11" t="str">
        <f t="shared" si="40"/>
        <v/>
      </c>
      <c r="AR84" s="11">
        <f t="shared" si="41"/>
        <v>1</v>
      </c>
      <c r="AS84" s="11" t="str">
        <f t="shared" si="42"/>
        <v/>
      </c>
      <c r="AT84" s="12" t="str">
        <f t="shared" si="43"/>
        <v/>
      </c>
    </row>
    <row r="85" spans="1:46" ht="18.75" x14ac:dyDescent="0.25">
      <c r="A85" s="5" t="s">
        <v>26</v>
      </c>
      <c r="B85" t="str">
        <f>'Final list of total hauls pros'!M82</f>
        <v>GFR (SD 21-24)</v>
      </c>
      <c r="C85">
        <v>81</v>
      </c>
      <c r="D85">
        <f>'Final list of total hauls pros'!A82</f>
        <v>24310</v>
      </c>
      <c r="E85" t="str">
        <f t="shared" si="46"/>
        <v>24</v>
      </c>
      <c r="F85" t="str">
        <f>'Final list of total hauls pros'!B82</f>
        <v>38G3</v>
      </c>
      <c r="G85" t="str">
        <f>'Final list of total hauls pros'!I82</f>
        <v>GFR</v>
      </c>
      <c r="H85" t="str">
        <f>'Final list of total hauls pros'!L82</f>
        <v>21-24</v>
      </c>
      <c r="I85" t="str">
        <f t="shared" si="44"/>
        <v>GFR (SD 21-24)</v>
      </c>
      <c r="K85" s="20" t="str">
        <f t="shared" si="23"/>
        <v/>
      </c>
      <c r="L85" s="23"/>
      <c r="M85" s="21" t="str">
        <f t="shared" si="24"/>
        <v/>
      </c>
      <c r="N85" s="23"/>
      <c r="O85" s="21" t="str">
        <f t="shared" si="25"/>
        <v/>
      </c>
      <c r="P85" s="23"/>
      <c r="Q85" s="21" t="str">
        <f t="shared" si="26"/>
        <v/>
      </c>
      <c r="R85" s="23"/>
      <c r="S85" s="21" t="str">
        <f t="shared" si="27"/>
        <v/>
      </c>
      <c r="T85" s="23"/>
      <c r="U85" s="21" t="str">
        <f t="shared" si="28"/>
        <v/>
      </c>
      <c r="V85" s="23"/>
      <c r="W85" s="21" t="str">
        <f t="shared" si="29"/>
        <v/>
      </c>
      <c r="X85" s="23"/>
      <c r="Y85" s="21">
        <f t="shared" si="30"/>
        <v>1</v>
      </c>
      <c r="Z85" s="23"/>
      <c r="AA85" s="21" t="str">
        <f t="shared" si="31"/>
        <v/>
      </c>
      <c r="AB85" s="23"/>
      <c r="AC85" s="21" t="str">
        <f t="shared" si="32"/>
        <v/>
      </c>
      <c r="AD85" s="23"/>
      <c r="AG85" s="25" t="str">
        <f t="shared" si="45"/>
        <v/>
      </c>
      <c r="AK85" s="10" t="str">
        <f t="shared" si="34"/>
        <v/>
      </c>
      <c r="AL85" s="11" t="str">
        <f t="shared" si="35"/>
        <v/>
      </c>
      <c r="AM85" s="11" t="str">
        <f t="shared" si="36"/>
        <v/>
      </c>
      <c r="AN85" s="11" t="str">
        <f t="shared" si="37"/>
        <v/>
      </c>
      <c r="AO85" s="11" t="str">
        <f t="shared" si="38"/>
        <v/>
      </c>
      <c r="AP85" s="11" t="str">
        <f t="shared" si="39"/>
        <v/>
      </c>
      <c r="AQ85" s="11" t="str">
        <f t="shared" si="40"/>
        <v/>
      </c>
      <c r="AR85" s="11">
        <f t="shared" si="41"/>
        <v>1</v>
      </c>
      <c r="AS85" s="11" t="str">
        <f t="shared" si="42"/>
        <v/>
      </c>
      <c r="AT85" s="12" t="str">
        <f t="shared" si="43"/>
        <v/>
      </c>
    </row>
    <row r="86" spans="1:46" ht="18.75" x14ac:dyDescent="0.25">
      <c r="A86" s="5" t="s">
        <v>26</v>
      </c>
      <c r="B86" t="str">
        <f>'Final list of total hauls pros'!M83</f>
        <v>GFR (SD 21-24)</v>
      </c>
      <c r="C86">
        <v>82</v>
      </c>
      <c r="D86">
        <f>'Final list of total hauls pros'!A83</f>
        <v>24311</v>
      </c>
      <c r="E86" t="str">
        <f t="shared" si="46"/>
        <v>24</v>
      </c>
      <c r="F86" t="str">
        <f>'Final list of total hauls pros'!B83</f>
        <v>38G4</v>
      </c>
      <c r="G86" t="str">
        <f>'Final list of total hauls pros'!I83</f>
        <v>DEN</v>
      </c>
      <c r="H86" t="str">
        <f>'Final list of total hauls pros'!L83</f>
        <v>21-24</v>
      </c>
      <c r="I86" t="str">
        <f t="shared" si="44"/>
        <v>GFR (SD 21-24)</v>
      </c>
      <c r="K86" s="20" t="str">
        <f t="shared" si="23"/>
        <v/>
      </c>
      <c r="L86" s="23"/>
      <c r="M86" s="21" t="str">
        <f t="shared" si="24"/>
        <v/>
      </c>
      <c r="N86" s="23"/>
      <c r="O86" s="21" t="str">
        <f t="shared" si="25"/>
        <v/>
      </c>
      <c r="P86" s="23"/>
      <c r="Q86" s="21" t="str">
        <f t="shared" si="26"/>
        <v/>
      </c>
      <c r="R86" s="23"/>
      <c r="S86" s="21" t="str">
        <f t="shared" si="27"/>
        <v/>
      </c>
      <c r="T86" s="23"/>
      <c r="U86" s="21" t="str">
        <f t="shared" si="28"/>
        <v/>
      </c>
      <c r="V86" s="23"/>
      <c r="W86" s="21" t="str">
        <f t="shared" si="29"/>
        <v/>
      </c>
      <c r="X86" s="23"/>
      <c r="Y86" s="21">
        <f t="shared" si="30"/>
        <v>1</v>
      </c>
      <c r="Z86" s="23"/>
      <c r="AA86" s="21" t="str">
        <f t="shared" si="31"/>
        <v/>
      </c>
      <c r="AB86" s="23"/>
      <c r="AC86" s="21" t="str">
        <f t="shared" si="32"/>
        <v/>
      </c>
      <c r="AD86" s="23"/>
      <c r="AG86" s="25" t="str">
        <f t="shared" si="45"/>
        <v/>
      </c>
      <c r="AK86" s="10" t="str">
        <f t="shared" si="34"/>
        <v/>
      </c>
      <c r="AL86" s="11" t="str">
        <f t="shared" si="35"/>
        <v/>
      </c>
      <c r="AM86" s="11" t="str">
        <f t="shared" si="36"/>
        <v/>
      </c>
      <c r="AN86" s="11" t="str">
        <f t="shared" si="37"/>
        <v/>
      </c>
      <c r="AO86" s="11" t="str">
        <f t="shared" si="38"/>
        <v/>
      </c>
      <c r="AP86" s="11" t="str">
        <f t="shared" si="39"/>
        <v/>
      </c>
      <c r="AQ86" s="11" t="str">
        <f t="shared" si="40"/>
        <v/>
      </c>
      <c r="AR86" s="11">
        <f t="shared" si="41"/>
        <v>1</v>
      </c>
      <c r="AS86" s="11" t="str">
        <f t="shared" si="42"/>
        <v/>
      </c>
      <c r="AT86" s="12" t="str">
        <f t="shared" si="43"/>
        <v/>
      </c>
    </row>
    <row r="87" spans="1:46" ht="18.75" x14ac:dyDescent="0.25">
      <c r="A87" s="5" t="s">
        <v>26</v>
      </c>
      <c r="B87" t="str">
        <f>'Final list of total hauls pros'!M84</f>
        <v>GFR (SD 21-24)</v>
      </c>
      <c r="C87">
        <v>83</v>
      </c>
      <c r="D87">
        <f>'Final list of total hauls pros'!A84</f>
        <v>24328</v>
      </c>
      <c r="E87" t="str">
        <f t="shared" si="46"/>
        <v>24</v>
      </c>
      <c r="F87" t="str">
        <f>'Final list of total hauls pros'!B84</f>
        <v>38G2</v>
      </c>
      <c r="G87" t="str">
        <f>'Final list of total hauls pros'!I84</f>
        <v>GFR</v>
      </c>
      <c r="H87" t="str">
        <f>'Final list of total hauls pros'!L84</f>
        <v>21-24</v>
      </c>
      <c r="I87" t="str">
        <f t="shared" si="44"/>
        <v>GFR (SD 21-24)</v>
      </c>
      <c r="K87" s="20" t="str">
        <f t="shared" si="23"/>
        <v/>
      </c>
      <c r="L87" s="23"/>
      <c r="M87" s="21" t="str">
        <f t="shared" si="24"/>
        <v/>
      </c>
      <c r="N87" s="23"/>
      <c r="O87" s="21" t="str">
        <f t="shared" si="25"/>
        <v/>
      </c>
      <c r="P87" s="23"/>
      <c r="Q87" s="21" t="str">
        <f t="shared" si="26"/>
        <v/>
      </c>
      <c r="R87" s="23"/>
      <c r="S87" s="21" t="str">
        <f t="shared" si="27"/>
        <v/>
      </c>
      <c r="T87" s="23"/>
      <c r="U87" s="21" t="str">
        <f t="shared" si="28"/>
        <v/>
      </c>
      <c r="V87" s="23"/>
      <c r="W87" s="21" t="str">
        <f t="shared" si="29"/>
        <v/>
      </c>
      <c r="X87" s="23"/>
      <c r="Y87" s="21">
        <f t="shared" si="30"/>
        <v>1</v>
      </c>
      <c r="Z87" s="23"/>
      <c r="AA87" s="21" t="str">
        <f t="shared" si="31"/>
        <v/>
      </c>
      <c r="AB87" s="23"/>
      <c r="AC87" s="21" t="str">
        <f t="shared" si="32"/>
        <v/>
      </c>
      <c r="AD87" s="23"/>
      <c r="AG87" s="25" t="str">
        <f t="shared" si="45"/>
        <v/>
      </c>
      <c r="AK87" s="10" t="str">
        <f t="shared" si="34"/>
        <v/>
      </c>
      <c r="AL87" s="11" t="str">
        <f t="shared" si="35"/>
        <v/>
      </c>
      <c r="AM87" s="11" t="str">
        <f t="shared" si="36"/>
        <v/>
      </c>
      <c r="AN87" s="11" t="str">
        <f t="shared" si="37"/>
        <v/>
      </c>
      <c r="AO87" s="11" t="str">
        <f t="shared" si="38"/>
        <v/>
      </c>
      <c r="AP87" s="11" t="str">
        <f t="shared" si="39"/>
        <v/>
      </c>
      <c r="AQ87" s="11" t="str">
        <f t="shared" si="40"/>
        <v/>
      </c>
      <c r="AR87" s="11">
        <f t="shared" si="41"/>
        <v>1</v>
      </c>
      <c r="AS87" s="11" t="str">
        <f t="shared" si="42"/>
        <v/>
      </c>
      <c r="AT87" s="12" t="str">
        <f t="shared" si="43"/>
        <v/>
      </c>
    </row>
    <row r="88" spans="1:46" ht="18.75" x14ac:dyDescent="0.25">
      <c r="A88" s="5" t="s">
        <v>26</v>
      </c>
      <c r="B88" t="str">
        <f>'Final list of total hauls pros'!M85</f>
        <v>GFR (SD 21-24)</v>
      </c>
      <c r="C88">
        <v>84</v>
      </c>
      <c r="D88">
        <f>'Final list of total hauls pros'!A85</f>
        <v>24329</v>
      </c>
      <c r="E88" t="str">
        <f t="shared" si="46"/>
        <v>24</v>
      </c>
      <c r="F88" t="str">
        <f>'Final list of total hauls pros'!B85</f>
        <v>37G4</v>
      </c>
      <c r="G88" t="str">
        <f>'Final list of total hauls pros'!I85</f>
        <v>GFR</v>
      </c>
      <c r="H88" t="str">
        <f>'Final list of total hauls pros'!L85</f>
        <v>21-24</v>
      </c>
      <c r="I88" t="str">
        <f t="shared" si="44"/>
        <v>GFR (SD 21-24)</v>
      </c>
      <c r="K88" s="20" t="str">
        <f t="shared" si="23"/>
        <v/>
      </c>
      <c r="L88" s="23"/>
      <c r="M88" s="21" t="str">
        <f t="shared" si="24"/>
        <v/>
      </c>
      <c r="N88" s="23"/>
      <c r="O88" s="21" t="str">
        <f t="shared" si="25"/>
        <v/>
      </c>
      <c r="P88" s="23"/>
      <c r="Q88" s="21" t="str">
        <f t="shared" si="26"/>
        <v/>
      </c>
      <c r="R88" s="23"/>
      <c r="S88" s="21" t="str">
        <f t="shared" si="27"/>
        <v/>
      </c>
      <c r="T88" s="23"/>
      <c r="U88" s="21" t="str">
        <f t="shared" si="28"/>
        <v/>
      </c>
      <c r="V88" s="23"/>
      <c r="W88" s="21" t="str">
        <f t="shared" si="29"/>
        <v/>
      </c>
      <c r="X88" s="23"/>
      <c r="Y88" s="21">
        <f t="shared" si="30"/>
        <v>1</v>
      </c>
      <c r="Z88" s="23"/>
      <c r="AA88" s="21" t="str">
        <f t="shared" si="31"/>
        <v/>
      </c>
      <c r="AB88" s="23"/>
      <c r="AC88" s="21" t="str">
        <f t="shared" si="32"/>
        <v/>
      </c>
      <c r="AD88" s="23"/>
      <c r="AG88" s="25" t="str">
        <f t="shared" si="45"/>
        <v/>
      </c>
      <c r="AK88" s="10" t="str">
        <f t="shared" si="34"/>
        <v/>
      </c>
      <c r="AL88" s="11" t="str">
        <f t="shared" si="35"/>
        <v/>
      </c>
      <c r="AM88" s="11" t="str">
        <f t="shared" si="36"/>
        <v/>
      </c>
      <c r="AN88" s="11" t="str">
        <f t="shared" si="37"/>
        <v/>
      </c>
      <c r="AO88" s="11" t="str">
        <f t="shared" si="38"/>
        <v/>
      </c>
      <c r="AP88" s="11" t="str">
        <f t="shared" si="39"/>
        <v/>
      </c>
      <c r="AQ88" s="11" t="str">
        <f t="shared" si="40"/>
        <v/>
      </c>
      <c r="AR88" s="11">
        <f t="shared" si="41"/>
        <v>1</v>
      </c>
      <c r="AS88" s="11" t="str">
        <f t="shared" si="42"/>
        <v/>
      </c>
      <c r="AT88" s="12" t="str">
        <f t="shared" si="43"/>
        <v/>
      </c>
    </row>
    <row r="89" spans="1:46" ht="18.75" x14ac:dyDescent="0.25">
      <c r="A89" s="5" t="s">
        <v>26</v>
      </c>
      <c r="B89" t="str">
        <f>'Final list of total hauls pros'!M86</f>
        <v>GFR (SD 21-24)</v>
      </c>
      <c r="C89">
        <v>85</v>
      </c>
      <c r="D89">
        <f>'Final list of total hauls pros'!A86</f>
        <v>24335</v>
      </c>
      <c r="E89" t="str">
        <f t="shared" si="46"/>
        <v>24</v>
      </c>
      <c r="F89" t="str">
        <f>'Final list of total hauls pros'!B86</f>
        <v>37G4</v>
      </c>
      <c r="G89" t="str">
        <f>'Final list of total hauls pros'!I86</f>
        <v>GFR</v>
      </c>
      <c r="H89" t="str">
        <f>'Final list of total hauls pros'!L86</f>
        <v>21-24</v>
      </c>
      <c r="I89" t="str">
        <f t="shared" si="44"/>
        <v>GFR (SD 21-24)</v>
      </c>
      <c r="K89" s="20" t="str">
        <f t="shared" ref="K89:K152" si="47">IF(L89="+",1,IF(L89="-","",IF(L89="",AK89)))</f>
        <v/>
      </c>
      <c r="L89" s="23"/>
      <c r="M89" s="21" t="str">
        <f t="shared" ref="M89:M152" si="48">IF(N89="+",1,IF(N89="-","",IF(N89="",AL89)))</f>
        <v/>
      </c>
      <c r="N89" s="23"/>
      <c r="O89" s="21" t="str">
        <f t="shared" ref="O89:O152" si="49">IF(P89="+",1,IF(P89="-","",IF(P89="",AM89)))</f>
        <v/>
      </c>
      <c r="P89" s="23"/>
      <c r="Q89" s="21" t="str">
        <f t="shared" ref="Q89:Q152" si="50">IF(R89="+",1,IF(R89="-","",IF(R89="",AN89)))</f>
        <v/>
      </c>
      <c r="R89" s="23"/>
      <c r="S89" s="21" t="str">
        <f t="shared" ref="S89:S152" si="51">IF(T89="+",1,IF(T89="-","",IF(T89="",AO89)))</f>
        <v/>
      </c>
      <c r="T89" s="23"/>
      <c r="U89" s="21" t="str">
        <f t="shared" ref="U89:U152" si="52">IF(V89="+",1,IF(V89="-","",IF(V89="",AP89)))</f>
        <v/>
      </c>
      <c r="V89" s="23"/>
      <c r="W89" s="21" t="str">
        <f t="shared" ref="W89:W152" si="53">IF(X89="+",1,IF(X89="-","",IF(X89="",AQ89)))</f>
        <v/>
      </c>
      <c r="X89" s="23"/>
      <c r="Y89" s="21">
        <f t="shared" ref="Y89:Y152" si="54">IF(Z89="+",1,IF(Z89="-","",IF(Z89="",AR89)))</f>
        <v>1</v>
      </c>
      <c r="Z89" s="23"/>
      <c r="AA89" s="21" t="str">
        <f t="shared" ref="AA89:AA152" si="55">IF(AB89="+",1,IF(AB89="-","",IF(AB89="",AS89)))</f>
        <v/>
      </c>
      <c r="AB89" s="23"/>
      <c r="AC89" s="21" t="str">
        <f t="shared" ref="AC89:AC152" si="56">IF(AD89="+",1,IF(AD89="-","",IF(AD89="",AT89)))</f>
        <v/>
      </c>
      <c r="AD89" s="23"/>
      <c r="AG89" s="25" t="str">
        <f t="shared" si="45"/>
        <v/>
      </c>
      <c r="AK89" s="10" t="str">
        <f t="shared" si="34"/>
        <v/>
      </c>
      <c r="AL89" s="11" t="str">
        <f t="shared" si="35"/>
        <v/>
      </c>
      <c r="AM89" s="11" t="str">
        <f t="shared" si="36"/>
        <v/>
      </c>
      <c r="AN89" s="11" t="str">
        <f t="shared" si="37"/>
        <v/>
      </c>
      <c r="AO89" s="11" t="str">
        <f t="shared" si="38"/>
        <v/>
      </c>
      <c r="AP89" s="11" t="str">
        <f t="shared" si="39"/>
        <v/>
      </c>
      <c r="AQ89" s="11" t="str">
        <f t="shared" si="40"/>
        <v/>
      </c>
      <c r="AR89" s="11">
        <f t="shared" si="41"/>
        <v>1</v>
      </c>
      <c r="AS89" s="11" t="str">
        <f t="shared" si="42"/>
        <v/>
      </c>
      <c r="AT89" s="12" t="str">
        <f t="shared" si="43"/>
        <v/>
      </c>
    </row>
    <row r="90" spans="1:46" ht="18.75" x14ac:dyDescent="0.25">
      <c r="A90" s="5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25004</v>
      </c>
      <c r="E90" t="str">
        <f t="shared" si="46"/>
        <v>25</v>
      </c>
      <c r="F90" t="str">
        <f>'Final list of total hauls pros'!B87</f>
        <v>38G6</v>
      </c>
      <c r="G90" t="str">
        <f>'Final list of total hauls pros'!I87</f>
        <v>POL</v>
      </c>
      <c r="H90" t="str">
        <f>'Final list of total hauls pros'!L87</f>
        <v>25-32</v>
      </c>
      <c r="I90" t="str">
        <f t="shared" si="44"/>
        <v>DEN (SD 25-32)</v>
      </c>
      <c r="K90" s="20" t="str">
        <f t="shared" si="47"/>
        <v/>
      </c>
      <c r="L90" s="23"/>
      <c r="M90" s="21">
        <f t="shared" si="48"/>
        <v>1</v>
      </c>
      <c r="N90" s="23" t="s">
        <v>138</v>
      </c>
      <c r="O90" s="21" t="str">
        <f t="shared" si="49"/>
        <v/>
      </c>
      <c r="P90" s="23"/>
      <c r="Q90" s="21" t="str">
        <f t="shared" si="50"/>
        <v/>
      </c>
      <c r="R90" s="23"/>
      <c r="S90" s="21" t="str">
        <f t="shared" si="51"/>
        <v/>
      </c>
      <c r="T90" s="23" t="s">
        <v>132</v>
      </c>
      <c r="U90" s="21" t="str">
        <f t="shared" si="52"/>
        <v/>
      </c>
      <c r="V90" s="23"/>
      <c r="W90" s="21" t="str">
        <f t="shared" si="53"/>
        <v/>
      </c>
      <c r="X90" s="23"/>
      <c r="Y90" s="21" t="str">
        <f t="shared" si="54"/>
        <v/>
      </c>
      <c r="Z90" s="23"/>
      <c r="AA90" s="21" t="str">
        <f t="shared" si="55"/>
        <v/>
      </c>
      <c r="AB90" s="23"/>
      <c r="AC90" s="21" t="str">
        <f t="shared" si="56"/>
        <v/>
      </c>
      <c r="AD90" s="23"/>
      <c r="AG90" s="25" t="str">
        <f t="shared" si="45"/>
        <v/>
      </c>
      <c r="AK90" s="10" t="str">
        <f t="shared" si="34"/>
        <v/>
      </c>
      <c r="AL90" s="11" t="str">
        <f t="shared" si="35"/>
        <v/>
      </c>
      <c r="AM90" s="11" t="str">
        <f t="shared" si="36"/>
        <v/>
      </c>
      <c r="AN90" s="11" t="str">
        <f t="shared" si="37"/>
        <v/>
      </c>
      <c r="AO90" s="11">
        <f t="shared" si="38"/>
        <v>1</v>
      </c>
      <c r="AP90" s="11" t="str">
        <f t="shared" si="39"/>
        <v/>
      </c>
      <c r="AQ90" s="11" t="str">
        <f t="shared" si="40"/>
        <v/>
      </c>
      <c r="AR90" s="11" t="str">
        <f t="shared" si="41"/>
        <v/>
      </c>
      <c r="AS90" s="11" t="str">
        <f t="shared" si="42"/>
        <v/>
      </c>
      <c r="AT90" s="12" t="str">
        <f t="shared" si="43"/>
        <v/>
      </c>
    </row>
    <row r="91" spans="1:46" ht="18.75" x14ac:dyDescent="0.25">
      <c r="A91" s="5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25006</v>
      </c>
      <c r="E91" t="str">
        <f t="shared" si="46"/>
        <v>25</v>
      </c>
      <c r="F91" t="str">
        <f>'Final list of total hauls pros'!B88</f>
        <v>37G5</v>
      </c>
      <c r="G91" t="str">
        <f>'Final list of total hauls pros'!I88</f>
        <v>POL</v>
      </c>
      <c r="H91" t="str">
        <f>'Final list of total hauls pros'!L88</f>
        <v>25-32</v>
      </c>
      <c r="I91" t="str">
        <f t="shared" si="44"/>
        <v>DEN (SD 25-32)</v>
      </c>
      <c r="K91" s="20" t="str">
        <f t="shared" si="47"/>
        <v/>
      </c>
      <c r="L91" s="23"/>
      <c r="M91" s="21">
        <f t="shared" si="48"/>
        <v>1</v>
      </c>
      <c r="N91" s="23" t="s">
        <v>138</v>
      </c>
      <c r="O91" s="21" t="str">
        <f t="shared" si="49"/>
        <v/>
      </c>
      <c r="P91" s="23"/>
      <c r="Q91" s="21" t="str">
        <f t="shared" si="50"/>
        <v/>
      </c>
      <c r="R91" s="23"/>
      <c r="S91" s="21" t="str">
        <f t="shared" si="51"/>
        <v/>
      </c>
      <c r="T91" s="23" t="s">
        <v>132</v>
      </c>
      <c r="U91" s="21" t="str">
        <f t="shared" si="52"/>
        <v/>
      </c>
      <c r="V91" s="23"/>
      <c r="W91" s="21" t="str">
        <f t="shared" si="53"/>
        <v/>
      </c>
      <c r="X91" s="23"/>
      <c r="Y91" s="21" t="str">
        <f t="shared" si="54"/>
        <v/>
      </c>
      <c r="Z91" s="23"/>
      <c r="AA91" s="21" t="str">
        <f t="shared" si="55"/>
        <v/>
      </c>
      <c r="AB91" s="23"/>
      <c r="AC91" s="21" t="str">
        <f t="shared" si="56"/>
        <v/>
      </c>
      <c r="AD91" s="23"/>
      <c r="AG91" s="25" t="str">
        <f t="shared" si="45"/>
        <v/>
      </c>
      <c r="AK91" s="10" t="str">
        <f t="shared" si="34"/>
        <v/>
      </c>
      <c r="AL91" s="11" t="str">
        <f t="shared" si="35"/>
        <v/>
      </c>
      <c r="AM91" s="11" t="str">
        <f t="shared" si="36"/>
        <v/>
      </c>
      <c r="AN91" s="11" t="str">
        <f t="shared" si="37"/>
        <v/>
      </c>
      <c r="AO91" s="11">
        <f t="shared" si="38"/>
        <v>1</v>
      </c>
      <c r="AP91" s="11" t="str">
        <f t="shared" si="39"/>
        <v/>
      </c>
      <c r="AQ91" s="11" t="str">
        <f t="shared" si="40"/>
        <v/>
      </c>
      <c r="AR91" s="11" t="str">
        <f t="shared" si="41"/>
        <v/>
      </c>
      <c r="AS91" s="11" t="str">
        <f t="shared" si="42"/>
        <v/>
      </c>
      <c r="AT91" s="12" t="str">
        <f t="shared" si="43"/>
        <v/>
      </c>
    </row>
    <row r="92" spans="1:46" ht="18.75" x14ac:dyDescent="0.25">
      <c r="A92" s="5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25008</v>
      </c>
      <c r="E92" t="str">
        <f t="shared" si="46"/>
        <v>25</v>
      </c>
      <c r="F92" t="str">
        <f>'Final list of total hauls pros'!B89</f>
        <v>37G5</v>
      </c>
      <c r="G92" t="str">
        <f>'Final list of total hauls pros'!I89</f>
        <v>POL</v>
      </c>
      <c r="H92" t="str">
        <f>'Final list of total hauls pros'!L89</f>
        <v>25-32</v>
      </c>
      <c r="I92" t="str">
        <f t="shared" si="44"/>
        <v>POL (SD 25-32)</v>
      </c>
      <c r="K92" s="20" t="str">
        <f t="shared" si="47"/>
        <v/>
      </c>
      <c r="L92" s="23"/>
      <c r="M92" s="21" t="str">
        <f t="shared" si="48"/>
        <v/>
      </c>
      <c r="N92" s="23"/>
      <c r="O92" s="21" t="str">
        <f t="shared" si="49"/>
        <v/>
      </c>
      <c r="P92" s="23"/>
      <c r="Q92" s="21" t="str">
        <f t="shared" si="50"/>
        <v/>
      </c>
      <c r="R92" s="23"/>
      <c r="S92" s="21">
        <f t="shared" si="51"/>
        <v>1</v>
      </c>
      <c r="T92" s="23"/>
      <c r="U92" s="21" t="str">
        <f t="shared" si="52"/>
        <v/>
      </c>
      <c r="V92" s="23"/>
      <c r="W92" s="21" t="str">
        <f t="shared" si="53"/>
        <v/>
      </c>
      <c r="X92" s="23"/>
      <c r="Y92" s="21" t="str">
        <f t="shared" si="54"/>
        <v/>
      </c>
      <c r="Z92" s="23"/>
      <c r="AA92" s="21" t="str">
        <f t="shared" si="55"/>
        <v/>
      </c>
      <c r="AB92" s="23"/>
      <c r="AC92" s="21" t="str">
        <f t="shared" si="56"/>
        <v/>
      </c>
      <c r="AD92" s="23"/>
      <c r="AG92" s="25" t="str">
        <f t="shared" si="45"/>
        <v/>
      </c>
      <c r="AK92" s="10" t="str">
        <f t="shared" si="34"/>
        <v/>
      </c>
      <c r="AL92" s="11" t="str">
        <f t="shared" si="35"/>
        <v/>
      </c>
      <c r="AM92" s="11" t="str">
        <f t="shared" si="36"/>
        <v/>
      </c>
      <c r="AN92" s="11" t="str">
        <f t="shared" si="37"/>
        <v/>
      </c>
      <c r="AO92" s="11">
        <f t="shared" si="38"/>
        <v>1</v>
      </c>
      <c r="AP92" s="11" t="str">
        <f t="shared" si="39"/>
        <v/>
      </c>
      <c r="AQ92" s="11" t="str">
        <f t="shared" si="40"/>
        <v/>
      </c>
      <c r="AR92" s="11" t="str">
        <f t="shared" si="41"/>
        <v/>
      </c>
      <c r="AS92" s="11" t="str">
        <f t="shared" si="42"/>
        <v/>
      </c>
      <c r="AT92" s="12" t="str">
        <f t="shared" si="43"/>
        <v/>
      </c>
    </row>
    <row r="93" spans="1:46" ht="18.75" x14ac:dyDescent="0.25">
      <c r="A93" s="5" t="s">
        <v>26</v>
      </c>
      <c r="B93" t="str">
        <f>'Final list of total hauls pros'!M90</f>
        <v>POL (SD 25-32)</v>
      </c>
      <c r="C93">
        <v>89</v>
      </c>
      <c r="D93">
        <f>'Final list of total hauls pros'!A90</f>
        <v>25009</v>
      </c>
      <c r="E93" t="str">
        <f t="shared" si="46"/>
        <v>25</v>
      </c>
      <c r="F93" t="str">
        <f>'Final list of total hauls pros'!B90</f>
        <v>37G5</v>
      </c>
      <c r="G93" t="str">
        <f>'Final list of total hauls pros'!I90</f>
        <v>POL</v>
      </c>
      <c r="H93" t="str">
        <f>'Final list of total hauls pros'!L90</f>
        <v>25-32</v>
      </c>
      <c r="I93" t="str">
        <f t="shared" si="44"/>
        <v>POL (SD 25-32)</v>
      </c>
      <c r="K93" s="20" t="str">
        <f t="shared" si="47"/>
        <v/>
      </c>
      <c r="L93" s="23"/>
      <c r="M93" s="21" t="str">
        <f t="shared" si="48"/>
        <v/>
      </c>
      <c r="N93" s="23"/>
      <c r="O93" s="21" t="str">
        <f t="shared" si="49"/>
        <v/>
      </c>
      <c r="P93" s="23"/>
      <c r="Q93" s="21" t="str">
        <f t="shared" si="50"/>
        <v/>
      </c>
      <c r="R93" s="23"/>
      <c r="S93" s="21">
        <f t="shared" si="51"/>
        <v>1</v>
      </c>
      <c r="T93" s="23"/>
      <c r="U93" s="21" t="str">
        <f t="shared" si="52"/>
        <v/>
      </c>
      <c r="V93" s="23"/>
      <c r="W93" s="21" t="str">
        <f t="shared" si="53"/>
        <v/>
      </c>
      <c r="X93" s="23"/>
      <c r="Y93" s="21" t="str">
        <f t="shared" si="54"/>
        <v/>
      </c>
      <c r="Z93" s="23"/>
      <c r="AA93" s="21" t="str">
        <f t="shared" si="55"/>
        <v/>
      </c>
      <c r="AB93" s="23"/>
      <c r="AC93" s="21" t="str">
        <f t="shared" si="56"/>
        <v/>
      </c>
      <c r="AD93" s="23"/>
      <c r="AG93" s="25" t="str">
        <f t="shared" si="45"/>
        <v/>
      </c>
      <c r="AK93" s="10" t="str">
        <f t="shared" si="34"/>
        <v/>
      </c>
      <c r="AL93" s="11" t="str">
        <f t="shared" si="35"/>
        <v/>
      </c>
      <c r="AM93" s="11" t="str">
        <f t="shared" si="36"/>
        <v/>
      </c>
      <c r="AN93" s="11" t="str">
        <f t="shared" si="37"/>
        <v/>
      </c>
      <c r="AO93" s="11">
        <f t="shared" si="38"/>
        <v>1</v>
      </c>
      <c r="AP93" s="11" t="str">
        <f t="shared" si="39"/>
        <v/>
      </c>
      <c r="AQ93" s="11" t="str">
        <f t="shared" si="40"/>
        <v/>
      </c>
      <c r="AR93" s="11" t="str">
        <f t="shared" si="41"/>
        <v/>
      </c>
      <c r="AS93" s="11" t="str">
        <f t="shared" si="42"/>
        <v/>
      </c>
      <c r="AT93" s="12" t="str">
        <f t="shared" si="43"/>
        <v/>
      </c>
    </row>
    <row r="94" spans="1:46" ht="18.75" x14ac:dyDescent="0.25">
      <c r="A94" s="5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25010</v>
      </c>
      <c r="E94" t="str">
        <f t="shared" si="46"/>
        <v>25</v>
      </c>
      <c r="F94" t="str">
        <f>'Final list of total hauls pros'!B91</f>
        <v>37G6</v>
      </c>
      <c r="G94" t="str">
        <f>'Final list of total hauls pros'!I91</f>
        <v>POL</v>
      </c>
      <c r="H94" t="str">
        <f>'Final list of total hauls pros'!L91</f>
        <v>25-32</v>
      </c>
      <c r="I94" t="str">
        <f t="shared" si="44"/>
        <v>POL (SD 25-32)</v>
      </c>
      <c r="K94" s="20" t="str">
        <f t="shared" si="47"/>
        <v/>
      </c>
      <c r="L94" s="23"/>
      <c r="M94" s="21" t="str">
        <f t="shared" si="48"/>
        <v/>
      </c>
      <c r="N94" s="23"/>
      <c r="O94" s="21" t="str">
        <f t="shared" si="49"/>
        <v/>
      </c>
      <c r="P94" s="23"/>
      <c r="Q94" s="21" t="str">
        <f t="shared" si="50"/>
        <v/>
      </c>
      <c r="R94" s="23"/>
      <c r="S94" s="21">
        <f t="shared" si="51"/>
        <v>1</v>
      </c>
      <c r="T94" s="23"/>
      <c r="U94" s="21" t="str">
        <f t="shared" si="52"/>
        <v/>
      </c>
      <c r="V94" s="23"/>
      <c r="W94" s="21" t="str">
        <f t="shared" si="53"/>
        <v/>
      </c>
      <c r="X94" s="23"/>
      <c r="Y94" s="21" t="str">
        <f t="shared" si="54"/>
        <v/>
      </c>
      <c r="Z94" s="23"/>
      <c r="AA94" s="21" t="str">
        <f t="shared" si="55"/>
        <v/>
      </c>
      <c r="AB94" s="23"/>
      <c r="AC94" s="21" t="str">
        <f t="shared" si="56"/>
        <v/>
      </c>
      <c r="AD94" s="23"/>
      <c r="AG94" s="25" t="str">
        <f t="shared" si="45"/>
        <v/>
      </c>
      <c r="AK94" s="10" t="str">
        <f t="shared" si="34"/>
        <v/>
      </c>
      <c r="AL94" s="11" t="str">
        <f t="shared" si="35"/>
        <v/>
      </c>
      <c r="AM94" s="11" t="str">
        <f t="shared" si="36"/>
        <v/>
      </c>
      <c r="AN94" s="11" t="str">
        <f t="shared" si="37"/>
        <v/>
      </c>
      <c r="AO94" s="11">
        <f t="shared" si="38"/>
        <v>1</v>
      </c>
      <c r="AP94" s="11" t="str">
        <f t="shared" si="39"/>
        <v/>
      </c>
      <c r="AQ94" s="11" t="str">
        <f t="shared" si="40"/>
        <v/>
      </c>
      <c r="AR94" s="11" t="str">
        <f t="shared" si="41"/>
        <v/>
      </c>
      <c r="AS94" s="11" t="str">
        <f t="shared" si="42"/>
        <v/>
      </c>
      <c r="AT94" s="12" t="str">
        <f t="shared" si="43"/>
        <v/>
      </c>
    </row>
    <row r="95" spans="1:46" ht="18.75" x14ac:dyDescent="0.25">
      <c r="A95" s="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25011</v>
      </c>
      <c r="E95" t="str">
        <f t="shared" si="46"/>
        <v>25</v>
      </c>
      <c r="F95" t="str">
        <f>'Final list of total hauls pros'!B92</f>
        <v>37G6</v>
      </c>
      <c r="G95" t="str">
        <f>'Final list of total hauls pros'!I92</f>
        <v>POL</v>
      </c>
      <c r="H95" t="str">
        <f>'Final list of total hauls pros'!L92</f>
        <v>25-32</v>
      </c>
      <c r="I95" t="str">
        <f t="shared" si="44"/>
        <v>POL (SD 25-32)</v>
      </c>
      <c r="K95" s="20" t="str">
        <f t="shared" si="47"/>
        <v/>
      </c>
      <c r="L95" s="23"/>
      <c r="M95" s="21" t="str">
        <f t="shared" si="48"/>
        <v/>
      </c>
      <c r="N95" s="23"/>
      <c r="O95" s="21" t="str">
        <f t="shared" si="49"/>
        <v/>
      </c>
      <c r="P95" s="23"/>
      <c r="Q95" s="21" t="str">
        <f t="shared" si="50"/>
        <v/>
      </c>
      <c r="R95" s="23"/>
      <c r="S95" s="21">
        <f t="shared" si="51"/>
        <v>1</v>
      </c>
      <c r="T95" s="23"/>
      <c r="U95" s="21" t="str">
        <f t="shared" si="52"/>
        <v/>
      </c>
      <c r="V95" s="23"/>
      <c r="W95" s="21" t="str">
        <f t="shared" si="53"/>
        <v/>
      </c>
      <c r="X95" s="23"/>
      <c r="Y95" s="21" t="str">
        <f t="shared" si="54"/>
        <v/>
      </c>
      <c r="Z95" s="23"/>
      <c r="AA95" s="21" t="str">
        <f t="shared" si="55"/>
        <v/>
      </c>
      <c r="AB95" s="23"/>
      <c r="AC95" s="21" t="str">
        <f t="shared" si="56"/>
        <v/>
      </c>
      <c r="AD95" s="23"/>
      <c r="AG95" s="25" t="str">
        <f t="shared" si="45"/>
        <v/>
      </c>
      <c r="AK95" s="10" t="str">
        <f t="shared" si="34"/>
        <v/>
      </c>
      <c r="AL95" s="11" t="str">
        <f t="shared" si="35"/>
        <v/>
      </c>
      <c r="AM95" s="11" t="str">
        <f t="shared" si="36"/>
        <v/>
      </c>
      <c r="AN95" s="11" t="str">
        <f t="shared" si="37"/>
        <v/>
      </c>
      <c r="AO95" s="11">
        <f t="shared" si="38"/>
        <v>1</v>
      </c>
      <c r="AP95" s="11" t="str">
        <f t="shared" si="39"/>
        <v/>
      </c>
      <c r="AQ95" s="11" t="str">
        <f t="shared" si="40"/>
        <v/>
      </c>
      <c r="AR95" s="11" t="str">
        <f t="shared" si="41"/>
        <v/>
      </c>
      <c r="AS95" s="11" t="str">
        <f t="shared" si="42"/>
        <v/>
      </c>
      <c r="AT95" s="12" t="str">
        <f t="shared" si="43"/>
        <v/>
      </c>
    </row>
    <row r="96" spans="1:46" ht="18.75" x14ac:dyDescent="0.25">
      <c r="A96" s="5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25013</v>
      </c>
      <c r="E96" t="str">
        <f t="shared" si="46"/>
        <v>25</v>
      </c>
      <c r="F96" t="str">
        <f>'Final list of total hauls pros'!B93</f>
        <v>38G6</v>
      </c>
      <c r="G96" t="str">
        <f>'Final list of total hauls pros'!I93</f>
        <v>POL</v>
      </c>
      <c r="H96" t="str">
        <f>'Final list of total hauls pros'!L93</f>
        <v>25-32</v>
      </c>
      <c r="I96" t="str">
        <f t="shared" si="44"/>
        <v>POL (SD 25-32)</v>
      </c>
      <c r="K96" s="20" t="str">
        <f t="shared" si="47"/>
        <v/>
      </c>
      <c r="L96" s="23"/>
      <c r="M96" s="21" t="str">
        <f t="shared" si="48"/>
        <v/>
      </c>
      <c r="N96" s="23"/>
      <c r="O96" s="21" t="str">
        <f t="shared" si="49"/>
        <v/>
      </c>
      <c r="P96" s="23"/>
      <c r="Q96" s="21" t="str">
        <f t="shared" si="50"/>
        <v/>
      </c>
      <c r="R96" s="23"/>
      <c r="S96" s="21">
        <f t="shared" si="51"/>
        <v>1</v>
      </c>
      <c r="T96" s="23"/>
      <c r="U96" s="21" t="str">
        <f t="shared" si="52"/>
        <v/>
      </c>
      <c r="V96" s="23"/>
      <c r="W96" s="21" t="str">
        <f t="shared" si="53"/>
        <v/>
      </c>
      <c r="X96" s="23"/>
      <c r="Y96" s="21" t="str">
        <f t="shared" si="54"/>
        <v/>
      </c>
      <c r="Z96" s="23"/>
      <c r="AA96" s="21" t="str">
        <f t="shared" si="55"/>
        <v/>
      </c>
      <c r="AB96" s="23"/>
      <c r="AC96" s="21" t="str">
        <f t="shared" si="56"/>
        <v/>
      </c>
      <c r="AD96" s="23"/>
      <c r="AG96" s="25" t="str">
        <f t="shared" si="45"/>
        <v/>
      </c>
      <c r="AK96" s="10" t="str">
        <f t="shared" si="34"/>
        <v/>
      </c>
      <c r="AL96" s="11" t="str">
        <f t="shared" si="35"/>
        <v/>
      </c>
      <c r="AM96" s="11" t="str">
        <f t="shared" si="36"/>
        <v/>
      </c>
      <c r="AN96" s="11" t="str">
        <f t="shared" si="37"/>
        <v/>
      </c>
      <c r="AO96" s="11">
        <f t="shared" si="38"/>
        <v>1</v>
      </c>
      <c r="AP96" s="11" t="str">
        <f t="shared" si="39"/>
        <v/>
      </c>
      <c r="AQ96" s="11" t="str">
        <f t="shared" si="40"/>
        <v/>
      </c>
      <c r="AR96" s="11" t="str">
        <f t="shared" si="41"/>
        <v/>
      </c>
      <c r="AS96" s="11" t="str">
        <f t="shared" si="42"/>
        <v/>
      </c>
      <c r="AT96" s="12" t="str">
        <f t="shared" si="43"/>
        <v/>
      </c>
    </row>
    <row r="97" spans="1:46" ht="18.75" x14ac:dyDescent="0.25">
      <c r="A97" s="5" t="s">
        <v>26</v>
      </c>
      <c r="B97" t="str">
        <f>'Final list of total hauls pros'!M94</f>
        <v>POL (SD 25-32)</v>
      </c>
      <c r="C97">
        <v>93</v>
      </c>
      <c r="D97">
        <f>'Final list of total hauls pros'!A94</f>
        <v>25014</v>
      </c>
      <c r="E97" t="str">
        <f t="shared" si="46"/>
        <v>25</v>
      </c>
      <c r="F97" t="str">
        <f>'Final list of total hauls pros'!B94</f>
        <v>38G6</v>
      </c>
      <c r="G97" t="str">
        <f>'Final list of total hauls pros'!I94</f>
        <v>POL</v>
      </c>
      <c r="H97" t="str">
        <f>'Final list of total hauls pros'!L94</f>
        <v>25-32</v>
      </c>
      <c r="I97" t="str">
        <f t="shared" si="44"/>
        <v>POL (SD 25-32)</v>
      </c>
      <c r="K97" s="20" t="str">
        <f t="shared" si="47"/>
        <v/>
      </c>
      <c r="L97" s="23"/>
      <c r="M97" s="21" t="str">
        <f t="shared" si="48"/>
        <v/>
      </c>
      <c r="N97" s="23"/>
      <c r="O97" s="21" t="str">
        <f t="shared" si="49"/>
        <v/>
      </c>
      <c r="P97" s="23"/>
      <c r="Q97" s="21" t="str">
        <f t="shared" si="50"/>
        <v/>
      </c>
      <c r="R97" s="23"/>
      <c r="S97" s="21">
        <f t="shared" si="51"/>
        <v>1</v>
      </c>
      <c r="T97" s="23"/>
      <c r="U97" s="21" t="str">
        <f t="shared" si="52"/>
        <v/>
      </c>
      <c r="V97" s="23"/>
      <c r="W97" s="21" t="str">
        <f t="shared" si="53"/>
        <v/>
      </c>
      <c r="X97" s="23"/>
      <c r="Y97" s="21" t="str">
        <f t="shared" si="54"/>
        <v/>
      </c>
      <c r="Z97" s="23"/>
      <c r="AA97" s="21" t="str">
        <f t="shared" si="55"/>
        <v/>
      </c>
      <c r="AB97" s="23"/>
      <c r="AC97" s="21" t="str">
        <f t="shared" si="56"/>
        <v/>
      </c>
      <c r="AD97" s="23"/>
      <c r="AG97" s="25" t="str">
        <f t="shared" si="45"/>
        <v/>
      </c>
      <c r="AK97" s="10" t="str">
        <f t="shared" si="34"/>
        <v/>
      </c>
      <c r="AL97" s="11" t="str">
        <f t="shared" si="35"/>
        <v/>
      </c>
      <c r="AM97" s="11" t="str">
        <f t="shared" si="36"/>
        <v/>
      </c>
      <c r="AN97" s="11" t="str">
        <f t="shared" si="37"/>
        <v/>
      </c>
      <c r="AO97" s="11">
        <f t="shared" si="38"/>
        <v>1</v>
      </c>
      <c r="AP97" s="11" t="str">
        <f t="shared" si="39"/>
        <v/>
      </c>
      <c r="AQ97" s="11" t="str">
        <f t="shared" si="40"/>
        <v/>
      </c>
      <c r="AR97" s="11" t="str">
        <f t="shared" si="41"/>
        <v/>
      </c>
      <c r="AS97" s="11" t="str">
        <f t="shared" si="42"/>
        <v/>
      </c>
      <c r="AT97" s="12" t="str">
        <f t="shared" si="43"/>
        <v/>
      </c>
    </row>
    <row r="98" spans="1:46" ht="18.75" x14ac:dyDescent="0.25">
      <c r="A98" s="5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25016</v>
      </c>
      <c r="E98" t="str">
        <f t="shared" si="46"/>
        <v>25</v>
      </c>
      <c r="F98" t="str">
        <f>'Final list of total hauls pros'!B95</f>
        <v>38G6</v>
      </c>
      <c r="G98" t="str">
        <f>'Final list of total hauls pros'!I95</f>
        <v>POL</v>
      </c>
      <c r="H98" t="str">
        <f>'Final list of total hauls pros'!L95</f>
        <v>25-32</v>
      </c>
      <c r="I98" t="str">
        <f t="shared" si="44"/>
        <v>POL (SD 25-32)</v>
      </c>
      <c r="K98" s="20" t="str">
        <f t="shared" si="47"/>
        <v/>
      </c>
      <c r="L98" s="23"/>
      <c r="M98" s="21" t="str">
        <f t="shared" si="48"/>
        <v/>
      </c>
      <c r="N98" s="23"/>
      <c r="O98" s="21" t="str">
        <f t="shared" si="49"/>
        <v/>
      </c>
      <c r="P98" s="23"/>
      <c r="Q98" s="21" t="str">
        <f t="shared" si="50"/>
        <v/>
      </c>
      <c r="R98" s="23"/>
      <c r="S98" s="21">
        <f t="shared" si="51"/>
        <v>1</v>
      </c>
      <c r="T98" s="23"/>
      <c r="U98" s="21" t="str">
        <f t="shared" si="52"/>
        <v/>
      </c>
      <c r="V98" s="23"/>
      <c r="W98" s="21" t="str">
        <f t="shared" si="53"/>
        <v/>
      </c>
      <c r="X98" s="23"/>
      <c r="Y98" s="21" t="str">
        <f t="shared" si="54"/>
        <v/>
      </c>
      <c r="Z98" s="23"/>
      <c r="AA98" s="21" t="str">
        <f t="shared" si="55"/>
        <v/>
      </c>
      <c r="AB98" s="23"/>
      <c r="AC98" s="21" t="str">
        <f t="shared" si="56"/>
        <v/>
      </c>
      <c r="AD98" s="23"/>
      <c r="AG98" s="25" t="str">
        <f t="shared" si="45"/>
        <v/>
      </c>
      <c r="AK98" s="10" t="str">
        <f t="shared" si="34"/>
        <v/>
      </c>
      <c r="AL98" s="11" t="str">
        <f t="shared" si="35"/>
        <v/>
      </c>
      <c r="AM98" s="11" t="str">
        <f t="shared" si="36"/>
        <v/>
      </c>
      <c r="AN98" s="11" t="str">
        <f t="shared" si="37"/>
        <v/>
      </c>
      <c r="AO98" s="11">
        <f t="shared" si="38"/>
        <v>1</v>
      </c>
      <c r="AP98" s="11" t="str">
        <f t="shared" si="39"/>
        <v/>
      </c>
      <c r="AQ98" s="11" t="str">
        <f t="shared" si="40"/>
        <v/>
      </c>
      <c r="AR98" s="11" t="str">
        <f t="shared" si="41"/>
        <v/>
      </c>
      <c r="AS98" s="11" t="str">
        <f t="shared" si="42"/>
        <v/>
      </c>
      <c r="AT98" s="12" t="str">
        <f t="shared" si="43"/>
        <v/>
      </c>
    </row>
    <row r="99" spans="1:46" ht="18.75" x14ac:dyDescent="0.25">
      <c r="A99" s="5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25017</v>
      </c>
      <c r="E99" t="str">
        <f t="shared" si="46"/>
        <v>25</v>
      </c>
      <c r="F99" t="str">
        <f>'Final list of total hauls pros'!B96</f>
        <v>38G6</v>
      </c>
      <c r="G99" t="str">
        <f>'Final list of total hauls pros'!I96</f>
        <v>POL</v>
      </c>
      <c r="H99" t="str">
        <f>'Final list of total hauls pros'!L96</f>
        <v>25-32</v>
      </c>
      <c r="I99" t="str">
        <f t="shared" si="44"/>
        <v>POL (SD 25-32)</v>
      </c>
      <c r="K99" s="20" t="str">
        <f t="shared" si="47"/>
        <v/>
      </c>
      <c r="L99" s="23"/>
      <c r="M99" s="21" t="str">
        <f t="shared" si="48"/>
        <v/>
      </c>
      <c r="N99" s="23"/>
      <c r="O99" s="21" t="str">
        <f t="shared" si="49"/>
        <v/>
      </c>
      <c r="P99" s="23"/>
      <c r="Q99" s="21" t="str">
        <f t="shared" si="50"/>
        <v/>
      </c>
      <c r="R99" s="23"/>
      <c r="S99" s="21">
        <f t="shared" si="51"/>
        <v>1</v>
      </c>
      <c r="T99" s="23"/>
      <c r="U99" s="21" t="str">
        <f t="shared" si="52"/>
        <v/>
      </c>
      <c r="V99" s="23"/>
      <c r="W99" s="21" t="str">
        <f t="shared" si="53"/>
        <v/>
      </c>
      <c r="X99" s="23"/>
      <c r="Y99" s="21" t="str">
        <f t="shared" si="54"/>
        <v/>
      </c>
      <c r="Z99" s="23"/>
      <c r="AA99" s="21" t="str">
        <f t="shared" si="55"/>
        <v/>
      </c>
      <c r="AB99" s="23"/>
      <c r="AC99" s="21" t="str">
        <f t="shared" si="56"/>
        <v/>
      </c>
      <c r="AD99" s="23"/>
      <c r="AG99" s="25" t="str">
        <f t="shared" si="45"/>
        <v/>
      </c>
      <c r="AK99" s="10" t="str">
        <f t="shared" si="34"/>
        <v/>
      </c>
      <c r="AL99" s="11" t="str">
        <f t="shared" si="35"/>
        <v/>
      </c>
      <c r="AM99" s="11" t="str">
        <f t="shared" si="36"/>
        <v/>
      </c>
      <c r="AN99" s="11" t="str">
        <f t="shared" si="37"/>
        <v/>
      </c>
      <c r="AO99" s="11">
        <f t="shared" si="38"/>
        <v>1</v>
      </c>
      <c r="AP99" s="11" t="str">
        <f t="shared" si="39"/>
        <v/>
      </c>
      <c r="AQ99" s="11" t="str">
        <f t="shared" si="40"/>
        <v/>
      </c>
      <c r="AR99" s="11" t="str">
        <f t="shared" si="41"/>
        <v/>
      </c>
      <c r="AS99" s="11" t="str">
        <f t="shared" si="42"/>
        <v/>
      </c>
      <c r="AT99" s="12" t="str">
        <f t="shared" si="43"/>
        <v/>
      </c>
    </row>
    <row r="100" spans="1:46" ht="18.75" x14ac:dyDescent="0.25">
      <c r="A100" s="5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25022</v>
      </c>
      <c r="E100" t="str">
        <f t="shared" si="46"/>
        <v>25</v>
      </c>
      <c r="F100" t="str">
        <f>'Final list of total hauls pros'!B97</f>
        <v>38G7</v>
      </c>
      <c r="G100" t="str">
        <f>'Final list of total hauls pros'!I97</f>
        <v>POL</v>
      </c>
      <c r="H100" t="str">
        <f>'Final list of total hauls pros'!L97</f>
        <v>25-32</v>
      </c>
      <c r="I100" t="str">
        <f t="shared" si="44"/>
        <v>DEN (SD 25-32)</v>
      </c>
      <c r="K100" s="20" t="str">
        <f t="shared" si="47"/>
        <v/>
      </c>
      <c r="L100" s="23"/>
      <c r="M100" s="21">
        <f t="shared" si="48"/>
        <v>1</v>
      </c>
      <c r="N100" s="23" t="s">
        <v>138</v>
      </c>
      <c r="O100" s="21" t="str">
        <f t="shared" si="49"/>
        <v/>
      </c>
      <c r="P100" s="23"/>
      <c r="Q100" s="21" t="str">
        <f t="shared" si="50"/>
        <v/>
      </c>
      <c r="R100" s="23"/>
      <c r="S100" s="21" t="str">
        <f t="shared" si="51"/>
        <v/>
      </c>
      <c r="T100" s="23" t="s">
        <v>132</v>
      </c>
      <c r="U100" s="21" t="str">
        <f t="shared" si="52"/>
        <v/>
      </c>
      <c r="V100" s="23"/>
      <c r="W100" s="21" t="str">
        <f t="shared" si="53"/>
        <v/>
      </c>
      <c r="X100" s="23"/>
      <c r="Y100" s="21" t="str">
        <f t="shared" si="54"/>
        <v/>
      </c>
      <c r="Z100" s="23"/>
      <c r="AA100" s="21" t="str">
        <f t="shared" si="55"/>
        <v/>
      </c>
      <c r="AB100" s="23"/>
      <c r="AC100" s="21" t="str">
        <f t="shared" si="56"/>
        <v/>
      </c>
      <c r="AD100" s="23"/>
      <c r="AG100" s="25" t="str">
        <f t="shared" si="45"/>
        <v/>
      </c>
      <c r="AK100" s="10" t="str">
        <f t="shared" si="34"/>
        <v/>
      </c>
      <c r="AL100" s="11" t="str">
        <f t="shared" si="35"/>
        <v/>
      </c>
      <c r="AM100" s="11" t="str">
        <f t="shared" si="36"/>
        <v/>
      </c>
      <c r="AN100" s="11" t="str">
        <f t="shared" si="37"/>
        <v/>
      </c>
      <c r="AO100" s="11">
        <f t="shared" si="38"/>
        <v>1</v>
      </c>
      <c r="AP100" s="11" t="str">
        <f t="shared" si="39"/>
        <v/>
      </c>
      <c r="AQ100" s="11" t="str">
        <f t="shared" si="40"/>
        <v/>
      </c>
      <c r="AR100" s="11" t="str">
        <f t="shared" si="41"/>
        <v/>
      </c>
      <c r="AS100" s="11" t="str">
        <f t="shared" si="42"/>
        <v/>
      </c>
      <c r="AT100" s="12" t="str">
        <f t="shared" si="43"/>
        <v/>
      </c>
    </row>
    <row r="101" spans="1:46" ht="18.75" x14ac:dyDescent="0.25">
      <c r="A101" s="5" t="s">
        <v>26</v>
      </c>
      <c r="B101" t="str">
        <f>'Final list of total hauls pros'!M98</f>
        <v>POL (SD 25-32)</v>
      </c>
      <c r="C101">
        <v>97</v>
      </c>
      <c r="D101">
        <f>'Final list of total hauls pros'!A98</f>
        <v>25024</v>
      </c>
      <c r="E101" t="str">
        <f t="shared" si="46"/>
        <v>25</v>
      </c>
      <c r="F101" t="str">
        <f>'Final list of total hauls pros'!B98</f>
        <v>38G7</v>
      </c>
      <c r="G101" t="str">
        <f>'Final list of total hauls pros'!I98</f>
        <v>POL</v>
      </c>
      <c r="H101" t="str">
        <f>'Final list of total hauls pros'!L98</f>
        <v>25-32</v>
      </c>
      <c r="I101" t="str">
        <f t="shared" si="44"/>
        <v>POL (SD 25-32)</v>
      </c>
      <c r="K101" s="20" t="str">
        <f t="shared" si="47"/>
        <v/>
      </c>
      <c r="L101" s="23"/>
      <c r="M101" s="21" t="str">
        <f t="shared" si="48"/>
        <v/>
      </c>
      <c r="N101" s="23"/>
      <c r="O101" s="21" t="str">
        <f t="shared" si="49"/>
        <v/>
      </c>
      <c r="P101" s="23"/>
      <c r="Q101" s="21" t="str">
        <f t="shared" si="50"/>
        <v/>
      </c>
      <c r="R101" s="23"/>
      <c r="S101" s="21">
        <f t="shared" si="51"/>
        <v>1</v>
      </c>
      <c r="T101" s="23"/>
      <c r="U101" s="21" t="str">
        <f t="shared" si="52"/>
        <v/>
      </c>
      <c r="V101" s="23"/>
      <c r="W101" s="21" t="str">
        <f t="shared" si="53"/>
        <v/>
      </c>
      <c r="X101" s="23"/>
      <c r="Y101" s="21" t="str">
        <f t="shared" si="54"/>
        <v/>
      </c>
      <c r="Z101" s="23"/>
      <c r="AA101" s="21" t="str">
        <f t="shared" si="55"/>
        <v/>
      </c>
      <c r="AB101" s="23"/>
      <c r="AC101" s="21" t="str">
        <f t="shared" si="56"/>
        <v/>
      </c>
      <c r="AD101" s="23"/>
      <c r="AG101" s="25" t="str">
        <f t="shared" si="45"/>
        <v/>
      </c>
      <c r="AK101" s="10" t="str">
        <f t="shared" si="34"/>
        <v/>
      </c>
      <c r="AL101" s="11" t="str">
        <f t="shared" si="35"/>
        <v/>
      </c>
      <c r="AM101" s="11" t="str">
        <f t="shared" si="36"/>
        <v/>
      </c>
      <c r="AN101" s="11" t="str">
        <f t="shared" si="37"/>
        <v/>
      </c>
      <c r="AO101" s="11">
        <f t="shared" si="38"/>
        <v>1</v>
      </c>
      <c r="AP101" s="11" t="str">
        <f t="shared" si="39"/>
        <v/>
      </c>
      <c r="AQ101" s="11" t="str">
        <f t="shared" si="40"/>
        <v/>
      </c>
      <c r="AR101" s="11" t="str">
        <f t="shared" si="41"/>
        <v/>
      </c>
      <c r="AS101" s="11" t="str">
        <f t="shared" si="42"/>
        <v/>
      </c>
      <c r="AT101" s="12" t="str">
        <f t="shared" si="43"/>
        <v/>
      </c>
    </row>
    <row r="102" spans="1:46" ht="18.75" x14ac:dyDescent="0.25">
      <c r="A102" s="5" t="s">
        <v>26</v>
      </c>
      <c r="B102" t="str">
        <f>'Final list of total hauls pros'!M99</f>
        <v>POL (SD 25-32)</v>
      </c>
      <c r="C102">
        <v>98</v>
      </c>
      <c r="D102">
        <f>'Final list of total hauls pros'!A99</f>
        <v>25030</v>
      </c>
      <c r="E102" t="str">
        <f t="shared" si="46"/>
        <v>25</v>
      </c>
      <c r="F102" t="str">
        <f>'Final list of total hauls pros'!B99</f>
        <v>39G7</v>
      </c>
      <c r="G102" t="str">
        <f>'Final list of total hauls pros'!I99</f>
        <v>POL</v>
      </c>
      <c r="H102" t="str">
        <f>'Final list of total hauls pros'!L99</f>
        <v>25-32</v>
      </c>
      <c r="I102" t="str">
        <f t="shared" si="44"/>
        <v>DEN (SD 25-32)</v>
      </c>
      <c r="K102" s="20" t="str">
        <f t="shared" si="47"/>
        <v/>
      </c>
      <c r="L102" s="23"/>
      <c r="M102" s="21">
        <f t="shared" si="48"/>
        <v>1</v>
      </c>
      <c r="N102" s="23" t="s">
        <v>138</v>
      </c>
      <c r="O102" s="21" t="str">
        <f t="shared" si="49"/>
        <v/>
      </c>
      <c r="P102" s="23"/>
      <c r="Q102" s="21" t="str">
        <f t="shared" si="50"/>
        <v/>
      </c>
      <c r="R102" s="23"/>
      <c r="S102" s="21" t="str">
        <f t="shared" si="51"/>
        <v/>
      </c>
      <c r="T102" s="23" t="s">
        <v>132</v>
      </c>
      <c r="U102" s="21" t="str">
        <f t="shared" si="52"/>
        <v/>
      </c>
      <c r="V102" s="23"/>
      <c r="W102" s="21" t="str">
        <f t="shared" si="53"/>
        <v/>
      </c>
      <c r="X102" s="23"/>
      <c r="Y102" s="21" t="str">
        <f t="shared" si="54"/>
        <v/>
      </c>
      <c r="Z102" s="23"/>
      <c r="AA102" s="21" t="str">
        <f t="shared" si="55"/>
        <v/>
      </c>
      <c r="AB102" s="23"/>
      <c r="AC102" s="21" t="str">
        <f t="shared" si="56"/>
        <v/>
      </c>
      <c r="AD102" s="23"/>
      <c r="AG102" s="25" t="str">
        <f t="shared" si="45"/>
        <v/>
      </c>
      <c r="AK102" s="10" t="str">
        <f t="shared" si="34"/>
        <v/>
      </c>
      <c r="AL102" s="11" t="str">
        <f t="shared" si="35"/>
        <v/>
      </c>
      <c r="AM102" s="11" t="str">
        <f t="shared" si="36"/>
        <v/>
      </c>
      <c r="AN102" s="11" t="str">
        <f t="shared" si="37"/>
        <v/>
      </c>
      <c r="AO102" s="11">
        <f t="shared" si="38"/>
        <v>1</v>
      </c>
      <c r="AP102" s="11" t="str">
        <f t="shared" si="39"/>
        <v/>
      </c>
      <c r="AQ102" s="11" t="str">
        <f t="shared" si="40"/>
        <v/>
      </c>
      <c r="AR102" s="11" t="str">
        <f t="shared" si="41"/>
        <v/>
      </c>
      <c r="AS102" s="11" t="str">
        <f t="shared" si="42"/>
        <v/>
      </c>
      <c r="AT102" s="12" t="str">
        <f t="shared" si="43"/>
        <v/>
      </c>
    </row>
    <row r="103" spans="1:46" ht="18.75" x14ac:dyDescent="0.25">
      <c r="A103" s="5" t="s">
        <v>26</v>
      </c>
      <c r="B103" t="str">
        <f>'Final list of total hauls pros'!M100</f>
        <v>POL (SD 25-32)</v>
      </c>
      <c r="C103">
        <v>99</v>
      </c>
      <c r="D103">
        <f>'Final list of total hauls pros'!A100</f>
        <v>25041</v>
      </c>
      <c r="E103" t="str">
        <f t="shared" si="46"/>
        <v>25</v>
      </c>
      <c r="F103" t="str">
        <f>'Final list of total hauls pros'!B100</f>
        <v>37G5</v>
      </c>
      <c r="G103" t="str">
        <f>'Final list of total hauls pros'!I100</f>
        <v>POL</v>
      </c>
      <c r="H103" t="str">
        <f>'Final list of total hauls pros'!L100</f>
        <v>25-32</v>
      </c>
      <c r="I103" t="str">
        <f t="shared" si="44"/>
        <v>POL (SD 25-32)</v>
      </c>
      <c r="K103" s="20" t="str">
        <f t="shared" si="47"/>
        <v/>
      </c>
      <c r="L103" s="23"/>
      <c r="M103" s="21" t="str">
        <f t="shared" si="48"/>
        <v/>
      </c>
      <c r="N103" s="23"/>
      <c r="O103" s="21" t="str">
        <f t="shared" si="49"/>
        <v/>
      </c>
      <c r="P103" s="23"/>
      <c r="Q103" s="21" t="str">
        <f t="shared" si="50"/>
        <v/>
      </c>
      <c r="R103" s="23"/>
      <c r="S103" s="21">
        <f t="shared" si="51"/>
        <v>1</v>
      </c>
      <c r="T103" s="23"/>
      <c r="U103" s="21" t="str">
        <f t="shared" si="52"/>
        <v/>
      </c>
      <c r="V103" s="23"/>
      <c r="W103" s="21" t="str">
        <f t="shared" si="53"/>
        <v/>
      </c>
      <c r="X103" s="23"/>
      <c r="Y103" s="21" t="str">
        <f t="shared" si="54"/>
        <v/>
      </c>
      <c r="Z103" s="23"/>
      <c r="AA103" s="21" t="str">
        <f t="shared" si="55"/>
        <v/>
      </c>
      <c r="AB103" s="23"/>
      <c r="AC103" s="21" t="str">
        <f t="shared" si="56"/>
        <v/>
      </c>
      <c r="AD103" s="23"/>
      <c r="AG103" s="25" t="str">
        <f t="shared" si="45"/>
        <v/>
      </c>
      <c r="AK103" s="10" t="str">
        <f t="shared" si="34"/>
        <v/>
      </c>
      <c r="AL103" s="11" t="str">
        <f t="shared" si="35"/>
        <v/>
      </c>
      <c r="AM103" s="11" t="str">
        <f t="shared" si="36"/>
        <v/>
      </c>
      <c r="AN103" s="11" t="str">
        <f t="shared" si="37"/>
        <v/>
      </c>
      <c r="AO103" s="11">
        <f t="shared" si="38"/>
        <v>1</v>
      </c>
      <c r="AP103" s="11" t="str">
        <f t="shared" si="39"/>
        <v/>
      </c>
      <c r="AQ103" s="11" t="str">
        <f t="shared" si="40"/>
        <v/>
      </c>
      <c r="AR103" s="11" t="str">
        <f t="shared" si="41"/>
        <v/>
      </c>
      <c r="AS103" s="11" t="str">
        <f t="shared" si="42"/>
        <v/>
      </c>
      <c r="AT103" s="12" t="str">
        <f t="shared" si="43"/>
        <v/>
      </c>
    </row>
    <row r="104" spans="1:46" ht="18.75" x14ac:dyDescent="0.25">
      <c r="A104" s="5" t="s">
        <v>26</v>
      </c>
      <c r="B104" t="str">
        <f>'Final list of total hauls pros'!M101</f>
        <v>POL (SD 25-32)</v>
      </c>
      <c r="C104">
        <v>100</v>
      </c>
      <c r="D104">
        <f>'Final list of total hauls pros'!A101</f>
        <v>25042</v>
      </c>
      <c r="E104" t="str">
        <f t="shared" si="46"/>
        <v>25</v>
      </c>
      <c r="F104" t="str">
        <f>'Final list of total hauls pros'!B101</f>
        <v>37G5</v>
      </c>
      <c r="G104" t="str">
        <f>'Final list of total hauls pros'!I101</f>
        <v>POL</v>
      </c>
      <c r="H104" t="str">
        <f>'Final list of total hauls pros'!L101</f>
        <v>25-32</v>
      </c>
      <c r="I104" t="str">
        <f t="shared" si="44"/>
        <v>DEN (SD 25-32)</v>
      </c>
      <c r="K104" s="20" t="str">
        <f t="shared" si="47"/>
        <v/>
      </c>
      <c r="L104" s="23"/>
      <c r="M104" s="21">
        <f t="shared" si="48"/>
        <v>1</v>
      </c>
      <c r="N104" s="23" t="s">
        <v>138</v>
      </c>
      <c r="O104" s="21" t="str">
        <f t="shared" si="49"/>
        <v/>
      </c>
      <c r="P104" s="23"/>
      <c r="Q104" s="21" t="str">
        <f t="shared" si="50"/>
        <v/>
      </c>
      <c r="R104" s="23"/>
      <c r="S104" s="21" t="str">
        <f t="shared" si="51"/>
        <v/>
      </c>
      <c r="T104" s="23" t="s">
        <v>132</v>
      </c>
      <c r="U104" s="21" t="str">
        <f t="shared" si="52"/>
        <v/>
      </c>
      <c r="V104" s="23"/>
      <c r="W104" s="21" t="str">
        <f t="shared" si="53"/>
        <v/>
      </c>
      <c r="X104" s="23"/>
      <c r="Y104" s="21" t="str">
        <f t="shared" si="54"/>
        <v/>
      </c>
      <c r="Z104" s="23"/>
      <c r="AA104" s="21" t="str">
        <f t="shared" si="55"/>
        <v/>
      </c>
      <c r="AB104" s="23"/>
      <c r="AC104" s="21" t="str">
        <f t="shared" si="56"/>
        <v/>
      </c>
      <c r="AD104" s="23"/>
      <c r="AG104" s="25" t="str">
        <f t="shared" si="45"/>
        <v/>
      </c>
      <c r="AK104" s="10" t="str">
        <f t="shared" si="34"/>
        <v/>
      </c>
      <c r="AL104" s="11" t="str">
        <f t="shared" si="35"/>
        <v/>
      </c>
      <c r="AM104" s="11" t="str">
        <f t="shared" si="36"/>
        <v/>
      </c>
      <c r="AN104" s="11" t="str">
        <f t="shared" si="37"/>
        <v/>
      </c>
      <c r="AO104" s="11">
        <f t="shared" si="38"/>
        <v>1</v>
      </c>
      <c r="AP104" s="11" t="str">
        <f t="shared" si="39"/>
        <v/>
      </c>
      <c r="AQ104" s="11" t="str">
        <f t="shared" si="40"/>
        <v/>
      </c>
      <c r="AR104" s="11" t="str">
        <f t="shared" si="41"/>
        <v/>
      </c>
      <c r="AS104" s="11" t="str">
        <f t="shared" si="42"/>
        <v/>
      </c>
      <c r="AT104" s="12" t="str">
        <f t="shared" si="43"/>
        <v/>
      </c>
    </row>
    <row r="105" spans="1:46" ht="18.75" x14ac:dyDescent="0.25">
      <c r="A105" s="5" t="s">
        <v>26</v>
      </c>
      <c r="B105" t="str">
        <f>'Final list of total hauls pros'!M102</f>
        <v>POL (SD 25-32)</v>
      </c>
      <c r="C105">
        <v>101</v>
      </c>
      <c r="D105">
        <f>'Final list of total hauls pros'!A102</f>
        <v>25046</v>
      </c>
      <c r="E105" t="str">
        <f t="shared" si="46"/>
        <v>25</v>
      </c>
      <c r="F105" t="str">
        <f>'Final list of total hauls pros'!B102</f>
        <v>38G5</v>
      </c>
      <c r="G105" t="str">
        <f>'Final list of total hauls pros'!I102</f>
        <v>POL</v>
      </c>
      <c r="H105" t="str">
        <f>'Final list of total hauls pros'!L102</f>
        <v>25-32</v>
      </c>
      <c r="I105" t="str">
        <f t="shared" si="44"/>
        <v>DEN (SD 25-32)</v>
      </c>
      <c r="K105" s="20" t="str">
        <f t="shared" si="47"/>
        <v/>
      </c>
      <c r="L105" s="23"/>
      <c r="M105" s="21">
        <f t="shared" si="48"/>
        <v>1</v>
      </c>
      <c r="N105" s="23" t="s">
        <v>138</v>
      </c>
      <c r="O105" s="21" t="str">
        <f t="shared" si="49"/>
        <v/>
      </c>
      <c r="P105" s="23"/>
      <c r="Q105" s="21" t="str">
        <f t="shared" si="50"/>
        <v/>
      </c>
      <c r="R105" s="23"/>
      <c r="S105" s="21" t="str">
        <f t="shared" si="51"/>
        <v/>
      </c>
      <c r="T105" s="23" t="s">
        <v>132</v>
      </c>
      <c r="U105" s="21" t="str">
        <f t="shared" si="52"/>
        <v/>
      </c>
      <c r="V105" s="23"/>
      <c r="W105" s="21" t="str">
        <f t="shared" si="53"/>
        <v/>
      </c>
      <c r="X105" s="23"/>
      <c r="Y105" s="21" t="str">
        <f t="shared" si="54"/>
        <v/>
      </c>
      <c r="Z105" s="23"/>
      <c r="AA105" s="21" t="str">
        <f t="shared" si="55"/>
        <v/>
      </c>
      <c r="AB105" s="23"/>
      <c r="AC105" s="21" t="str">
        <f t="shared" si="56"/>
        <v/>
      </c>
      <c r="AD105" s="23"/>
      <c r="AG105" s="25" t="str">
        <f t="shared" si="45"/>
        <v/>
      </c>
      <c r="AK105" s="10" t="str">
        <f t="shared" si="34"/>
        <v/>
      </c>
      <c r="AL105" s="11" t="str">
        <f t="shared" si="35"/>
        <v/>
      </c>
      <c r="AM105" s="11" t="str">
        <f t="shared" si="36"/>
        <v/>
      </c>
      <c r="AN105" s="11" t="str">
        <f t="shared" si="37"/>
        <v/>
      </c>
      <c r="AO105" s="11">
        <f t="shared" si="38"/>
        <v>1</v>
      </c>
      <c r="AP105" s="11" t="str">
        <f t="shared" si="39"/>
        <v/>
      </c>
      <c r="AQ105" s="11" t="str">
        <f t="shared" si="40"/>
        <v/>
      </c>
      <c r="AR105" s="11" t="str">
        <f t="shared" si="41"/>
        <v/>
      </c>
      <c r="AS105" s="11" t="str">
        <f t="shared" si="42"/>
        <v/>
      </c>
      <c r="AT105" s="12" t="str">
        <f t="shared" si="43"/>
        <v/>
      </c>
    </row>
    <row r="106" spans="1:46" ht="18.75" x14ac:dyDescent="0.25">
      <c r="A106" s="5" t="s">
        <v>26</v>
      </c>
      <c r="B106" t="str">
        <f>'Final list of total hauls pros'!M103</f>
        <v>POL (SD 25-32)</v>
      </c>
      <c r="C106">
        <v>102</v>
      </c>
      <c r="D106">
        <f>'Final list of total hauls pros'!A103</f>
        <v>25048</v>
      </c>
      <c r="E106" t="str">
        <f t="shared" si="46"/>
        <v>25</v>
      </c>
      <c r="F106" t="str">
        <f>'Final list of total hauls pros'!B103</f>
        <v>38G5</v>
      </c>
      <c r="G106" t="str">
        <f>'Final list of total hauls pros'!I103</f>
        <v>POL</v>
      </c>
      <c r="H106" t="str">
        <f>'Final list of total hauls pros'!L103</f>
        <v>25-32</v>
      </c>
      <c r="I106" t="str">
        <f t="shared" si="44"/>
        <v>DEN (SD 25-32)</v>
      </c>
      <c r="K106" s="20" t="str">
        <f t="shared" si="47"/>
        <v/>
      </c>
      <c r="L106" s="23"/>
      <c r="M106" s="21">
        <f t="shared" si="48"/>
        <v>1</v>
      </c>
      <c r="N106" s="23" t="s">
        <v>138</v>
      </c>
      <c r="O106" s="21" t="str">
        <f t="shared" si="49"/>
        <v/>
      </c>
      <c r="P106" s="23"/>
      <c r="Q106" s="21" t="str">
        <f t="shared" si="50"/>
        <v/>
      </c>
      <c r="R106" s="23"/>
      <c r="S106" s="21" t="str">
        <f t="shared" si="51"/>
        <v/>
      </c>
      <c r="T106" s="23" t="s">
        <v>132</v>
      </c>
      <c r="U106" s="21" t="str">
        <f t="shared" si="52"/>
        <v/>
      </c>
      <c r="V106" s="23"/>
      <c r="W106" s="21" t="str">
        <f t="shared" si="53"/>
        <v/>
      </c>
      <c r="X106" s="23"/>
      <c r="Y106" s="21" t="str">
        <f t="shared" si="54"/>
        <v/>
      </c>
      <c r="Z106" s="23"/>
      <c r="AA106" s="21" t="str">
        <f t="shared" si="55"/>
        <v/>
      </c>
      <c r="AB106" s="23"/>
      <c r="AC106" s="21" t="str">
        <f t="shared" si="56"/>
        <v/>
      </c>
      <c r="AD106" s="23"/>
      <c r="AG106" s="25" t="str">
        <f t="shared" si="45"/>
        <v/>
      </c>
      <c r="AK106" s="10" t="str">
        <f t="shared" si="34"/>
        <v/>
      </c>
      <c r="AL106" s="11" t="str">
        <f t="shared" si="35"/>
        <v/>
      </c>
      <c r="AM106" s="11" t="str">
        <f t="shared" si="36"/>
        <v/>
      </c>
      <c r="AN106" s="11" t="str">
        <f t="shared" si="37"/>
        <v/>
      </c>
      <c r="AO106" s="11">
        <f t="shared" si="38"/>
        <v>1</v>
      </c>
      <c r="AP106" s="11" t="str">
        <f t="shared" si="39"/>
        <v/>
      </c>
      <c r="AQ106" s="11" t="str">
        <f t="shared" si="40"/>
        <v/>
      </c>
      <c r="AR106" s="11" t="str">
        <f t="shared" si="41"/>
        <v/>
      </c>
      <c r="AS106" s="11" t="str">
        <f t="shared" si="42"/>
        <v/>
      </c>
      <c r="AT106" s="12" t="str">
        <f t="shared" si="43"/>
        <v/>
      </c>
    </row>
    <row r="107" spans="1:46" ht="18.75" x14ac:dyDescent="0.25">
      <c r="A107" s="5" t="s">
        <v>26</v>
      </c>
      <c r="B107" t="str">
        <f>'Final list of total hauls pros'!M104</f>
        <v>POL (SD 25-32)</v>
      </c>
      <c r="C107">
        <v>103</v>
      </c>
      <c r="D107">
        <f>'Final list of total hauls pros'!A104</f>
        <v>25049</v>
      </c>
      <c r="E107" t="str">
        <f t="shared" si="46"/>
        <v>25</v>
      </c>
      <c r="F107" t="str">
        <f>'Final list of total hauls pros'!B104</f>
        <v>38G5</v>
      </c>
      <c r="G107" t="str">
        <f>'Final list of total hauls pros'!I104</f>
        <v>POL</v>
      </c>
      <c r="H107" t="str">
        <f>'Final list of total hauls pros'!L104</f>
        <v>25-32</v>
      </c>
      <c r="I107" t="str">
        <f t="shared" si="44"/>
        <v>DEN (SD 25-32)</v>
      </c>
      <c r="K107" s="20" t="str">
        <f t="shared" si="47"/>
        <v/>
      </c>
      <c r="L107" s="23"/>
      <c r="M107" s="21">
        <f t="shared" si="48"/>
        <v>1</v>
      </c>
      <c r="N107" s="23" t="s">
        <v>138</v>
      </c>
      <c r="O107" s="21" t="str">
        <f t="shared" si="49"/>
        <v/>
      </c>
      <c r="P107" s="23"/>
      <c r="Q107" s="21" t="str">
        <f t="shared" si="50"/>
        <v/>
      </c>
      <c r="R107" s="23"/>
      <c r="S107" s="21" t="str">
        <f t="shared" si="51"/>
        <v/>
      </c>
      <c r="T107" s="23" t="s">
        <v>132</v>
      </c>
      <c r="U107" s="21" t="str">
        <f t="shared" si="52"/>
        <v/>
      </c>
      <c r="V107" s="23"/>
      <c r="W107" s="21" t="str">
        <f t="shared" si="53"/>
        <v/>
      </c>
      <c r="X107" s="23"/>
      <c r="Y107" s="21" t="str">
        <f t="shared" si="54"/>
        <v/>
      </c>
      <c r="Z107" s="23"/>
      <c r="AA107" s="21" t="str">
        <f t="shared" si="55"/>
        <v/>
      </c>
      <c r="AB107" s="23"/>
      <c r="AC107" s="21" t="str">
        <f t="shared" si="56"/>
        <v/>
      </c>
      <c r="AD107" s="23"/>
      <c r="AG107" s="25" t="str">
        <f t="shared" si="45"/>
        <v/>
      </c>
      <c r="AK107" s="10" t="str">
        <f t="shared" si="34"/>
        <v/>
      </c>
      <c r="AL107" s="11" t="str">
        <f t="shared" si="35"/>
        <v/>
      </c>
      <c r="AM107" s="11" t="str">
        <f t="shared" si="36"/>
        <v/>
      </c>
      <c r="AN107" s="11" t="str">
        <f t="shared" si="37"/>
        <v/>
      </c>
      <c r="AO107" s="11">
        <f t="shared" si="38"/>
        <v>1</v>
      </c>
      <c r="AP107" s="11" t="str">
        <f t="shared" si="39"/>
        <v/>
      </c>
      <c r="AQ107" s="11" t="str">
        <f t="shared" si="40"/>
        <v/>
      </c>
      <c r="AR107" s="11" t="str">
        <f t="shared" si="41"/>
        <v/>
      </c>
      <c r="AS107" s="11" t="str">
        <f t="shared" si="42"/>
        <v/>
      </c>
      <c r="AT107" s="12" t="str">
        <f t="shared" si="43"/>
        <v/>
      </c>
    </row>
    <row r="108" spans="1:46" ht="18.75" x14ac:dyDescent="0.25">
      <c r="A108" s="5" t="s">
        <v>26</v>
      </c>
      <c r="B108" t="str">
        <f>'Final list of total hauls pros'!M105</f>
        <v>POL (SD 25-32)</v>
      </c>
      <c r="C108">
        <v>104</v>
      </c>
      <c r="D108">
        <f>'Final list of total hauls pros'!A105</f>
        <v>25052</v>
      </c>
      <c r="E108" t="str">
        <f t="shared" si="46"/>
        <v>25</v>
      </c>
      <c r="F108" t="str">
        <f>'Final list of total hauls pros'!B105</f>
        <v>38G6</v>
      </c>
      <c r="G108" t="str">
        <f>'Final list of total hauls pros'!I105</f>
        <v>POL</v>
      </c>
      <c r="H108" t="str">
        <f>'Final list of total hauls pros'!L105</f>
        <v>25-32</v>
      </c>
      <c r="I108" t="str">
        <f t="shared" si="44"/>
        <v>DEN (SD 25-32)</v>
      </c>
      <c r="K108" s="20" t="str">
        <f t="shared" si="47"/>
        <v/>
      </c>
      <c r="L108" s="23"/>
      <c r="M108" s="21">
        <f t="shared" si="48"/>
        <v>1</v>
      </c>
      <c r="N108" s="23" t="s">
        <v>138</v>
      </c>
      <c r="O108" s="21" t="str">
        <f t="shared" si="49"/>
        <v/>
      </c>
      <c r="P108" s="23"/>
      <c r="Q108" s="21" t="str">
        <f t="shared" si="50"/>
        <v/>
      </c>
      <c r="R108" s="23"/>
      <c r="S108" s="21" t="str">
        <f t="shared" si="51"/>
        <v/>
      </c>
      <c r="T108" s="23" t="s">
        <v>132</v>
      </c>
      <c r="U108" s="21" t="str">
        <f t="shared" si="52"/>
        <v/>
      </c>
      <c r="V108" s="23"/>
      <c r="W108" s="21" t="str">
        <f t="shared" si="53"/>
        <v/>
      </c>
      <c r="X108" s="23"/>
      <c r="Y108" s="21" t="str">
        <f t="shared" si="54"/>
        <v/>
      </c>
      <c r="Z108" s="23"/>
      <c r="AA108" s="21" t="str">
        <f t="shared" si="55"/>
        <v/>
      </c>
      <c r="AB108" s="23"/>
      <c r="AC108" s="21" t="str">
        <f t="shared" si="56"/>
        <v/>
      </c>
      <c r="AD108" s="23"/>
      <c r="AG108" s="25" t="str">
        <f t="shared" si="45"/>
        <v/>
      </c>
      <c r="AK108" s="10" t="str">
        <f t="shared" si="34"/>
        <v/>
      </c>
      <c r="AL108" s="11" t="str">
        <f t="shared" si="35"/>
        <v/>
      </c>
      <c r="AM108" s="11" t="str">
        <f t="shared" si="36"/>
        <v/>
      </c>
      <c r="AN108" s="11" t="str">
        <f t="shared" si="37"/>
        <v/>
      </c>
      <c r="AO108" s="11">
        <f t="shared" si="38"/>
        <v>1</v>
      </c>
      <c r="AP108" s="11" t="str">
        <f t="shared" si="39"/>
        <v/>
      </c>
      <c r="AQ108" s="11" t="str">
        <f t="shared" si="40"/>
        <v/>
      </c>
      <c r="AR108" s="11" t="str">
        <f t="shared" si="41"/>
        <v/>
      </c>
      <c r="AS108" s="11" t="str">
        <f t="shared" si="42"/>
        <v/>
      </c>
      <c r="AT108" s="12" t="str">
        <f t="shared" si="43"/>
        <v/>
      </c>
    </row>
    <row r="109" spans="1:46" ht="18.75" x14ac:dyDescent="0.25">
      <c r="A109" s="5" t="s">
        <v>26</v>
      </c>
      <c r="B109" t="str">
        <f>'Final list of total hauls pros'!M106</f>
        <v>DEN (SD 25-32)</v>
      </c>
      <c r="C109">
        <v>105</v>
      </c>
      <c r="D109">
        <f>'Final list of total hauls pros'!A106</f>
        <v>25053</v>
      </c>
      <c r="E109" t="str">
        <f t="shared" si="46"/>
        <v>25</v>
      </c>
      <c r="F109" t="str">
        <f>'Final list of total hauls pros'!B106</f>
        <v>38G5</v>
      </c>
      <c r="G109" t="str">
        <f>'Final list of total hauls pros'!I106</f>
        <v>DEN</v>
      </c>
      <c r="H109" t="str">
        <f>'Final list of total hauls pros'!L106</f>
        <v>25-32</v>
      </c>
      <c r="I109" t="str">
        <f t="shared" si="44"/>
        <v>DEN (SD 25-32)</v>
      </c>
      <c r="K109" s="20" t="str">
        <f t="shared" si="47"/>
        <v/>
      </c>
      <c r="L109" s="23"/>
      <c r="M109" s="21">
        <f t="shared" si="48"/>
        <v>1</v>
      </c>
      <c r="N109" s="23"/>
      <c r="O109" s="21" t="str">
        <f t="shared" si="49"/>
        <v/>
      </c>
      <c r="P109" s="23"/>
      <c r="Q109" s="21" t="str">
        <f t="shared" si="50"/>
        <v/>
      </c>
      <c r="R109" s="23"/>
      <c r="S109" s="21" t="str">
        <f t="shared" si="51"/>
        <v/>
      </c>
      <c r="T109" s="23"/>
      <c r="U109" s="21" t="str">
        <f t="shared" si="52"/>
        <v/>
      </c>
      <c r="V109" s="23"/>
      <c r="W109" s="21" t="str">
        <f t="shared" si="53"/>
        <v/>
      </c>
      <c r="X109" s="23"/>
      <c r="Y109" s="21" t="str">
        <f t="shared" si="54"/>
        <v/>
      </c>
      <c r="Z109" s="23"/>
      <c r="AA109" s="21" t="str">
        <f t="shared" si="55"/>
        <v/>
      </c>
      <c r="AB109" s="23"/>
      <c r="AC109" s="21" t="str">
        <f t="shared" si="56"/>
        <v/>
      </c>
      <c r="AD109" s="23"/>
      <c r="AG109" s="25" t="str">
        <f t="shared" si="45"/>
        <v/>
      </c>
      <c r="AK109" s="10" t="str">
        <f t="shared" si="34"/>
        <v/>
      </c>
      <c r="AL109" s="11">
        <f t="shared" si="35"/>
        <v>1</v>
      </c>
      <c r="AM109" s="11" t="str">
        <f t="shared" si="36"/>
        <v/>
      </c>
      <c r="AN109" s="11" t="str">
        <f t="shared" si="37"/>
        <v/>
      </c>
      <c r="AO109" s="11" t="str">
        <f t="shared" si="38"/>
        <v/>
      </c>
      <c r="AP109" s="11" t="str">
        <f t="shared" si="39"/>
        <v/>
      </c>
      <c r="AQ109" s="11" t="str">
        <f t="shared" si="40"/>
        <v/>
      </c>
      <c r="AR109" s="11" t="str">
        <f t="shared" si="41"/>
        <v/>
      </c>
      <c r="AS109" s="11" t="str">
        <f t="shared" si="42"/>
        <v/>
      </c>
      <c r="AT109" s="12" t="str">
        <f t="shared" si="43"/>
        <v/>
      </c>
    </row>
    <row r="110" spans="1:46" ht="18.75" x14ac:dyDescent="0.25">
      <c r="A110" s="5" t="s">
        <v>26</v>
      </c>
      <c r="B110" t="str">
        <f>'Final list of total hauls pros'!M107</f>
        <v>POL (SD 25-32)</v>
      </c>
      <c r="C110">
        <v>106</v>
      </c>
      <c r="D110">
        <f>'Final list of total hauls pros'!A107</f>
        <v>25056</v>
      </c>
      <c r="E110" t="str">
        <f t="shared" si="46"/>
        <v>25</v>
      </c>
      <c r="F110" t="str">
        <f>'Final list of total hauls pros'!B107</f>
        <v>38G5</v>
      </c>
      <c r="G110" t="str">
        <f>'Final list of total hauls pros'!I107</f>
        <v>POL</v>
      </c>
      <c r="H110" t="str">
        <f>'Final list of total hauls pros'!L107</f>
        <v>25-32</v>
      </c>
      <c r="I110" t="str">
        <f t="shared" si="44"/>
        <v>DEN (SD 25-32)</v>
      </c>
      <c r="K110" s="20" t="str">
        <f t="shared" si="47"/>
        <v/>
      </c>
      <c r="L110" s="23"/>
      <c r="M110" s="21">
        <f t="shared" si="48"/>
        <v>1</v>
      </c>
      <c r="N110" s="23" t="s">
        <v>138</v>
      </c>
      <c r="O110" s="21" t="str">
        <f t="shared" si="49"/>
        <v/>
      </c>
      <c r="P110" s="23"/>
      <c r="Q110" s="21" t="str">
        <f t="shared" si="50"/>
        <v/>
      </c>
      <c r="R110" s="23"/>
      <c r="S110" s="21" t="str">
        <f t="shared" si="51"/>
        <v/>
      </c>
      <c r="T110" s="23" t="s">
        <v>132</v>
      </c>
      <c r="U110" s="21" t="str">
        <f t="shared" si="52"/>
        <v/>
      </c>
      <c r="V110" s="23"/>
      <c r="W110" s="21" t="str">
        <f t="shared" si="53"/>
        <v/>
      </c>
      <c r="X110" s="23"/>
      <c r="Y110" s="21" t="str">
        <f t="shared" si="54"/>
        <v/>
      </c>
      <c r="Z110" s="23"/>
      <c r="AA110" s="21" t="str">
        <f t="shared" si="55"/>
        <v/>
      </c>
      <c r="AB110" s="23"/>
      <c r="AC110" s="21" t="str">
        <f t="shared" si="56"/>
        <v/>
      </c>
      <c r="AD110" s="23"/>
      <c r="AG110" s="25" t="str">
        <f t="shared" si="45"/>
        <v/>
      </c>
      <c r="AK110" s="10" t="str">
        <f t="shared" si="34"/>
        <v/>
      </c>
      <c r="AL110" s="11" t="str">
        <f t="shared" si="35"/>
        <v/>
      </c>
      <c r="AM110" s="11" t="str">
        <f t="shared" si="36"/>
        <v/>
      </c>
      <c r="AN110" s="11" t="str">
        <f t="shared" si="37"/>
        <v/>
      </c>
      <c r="AO110" s="11">
        <f t="shared" si="38"/>
        <v>1</v>
      </c>
      <c r="AP110" s="11" t="str">
        <f t="shared" si="39"/>
        <v/>
      </c>
      <c r="AQ110" s="11" t="str">
        <f t="shared" si="40"/>
        <v/>
      </c>
      <c r="AR110" s="11" t="str">
        <f t="shared" si="41"/>
        <v/>
      </c>
      <c r="AS110" s="11" t="str">
        <f t="shared" si="42"/>
        <v/>
      </c>
      <c r="AT110" s="12" t="str">
        <f t="shared" si="43"/>
        <v/>
      </c>
    </row>
    <row r="111" spans="1:46" ht="18.75" x14ac:dyDescent="0.25">
      <c r="A111" s="5" t="s">
        <v>26</v>
      </c>
      <c r="B111" t="str">
        <f>'Final list of total hauls pros'!M108</f>
        <v>POL (SD 25-32)</v>
      </c>
      <c r="C111">
        <v>107</v>
      </c>
      <c r="D111">
        <f>'Final list of total hauls pros'!A108</f>
        <v>25060</v>
      </c>
      <c r="E111" t="str">
        <f t="shared" si="46"/>
        <v>25</v>
      </c>
      <c r="F111" t="str">
        <f>'Final list of total hauls pros'!B108</f>
        <v>38G5</v>
      </c>
      <c r="G111" t="str">
        <f>'Final list of total hauls pros'!I108</f>
        <v>POL</v>
      </c>
      <c r="H111" t="str">
        <f>'Final list of total hauls pros'!L108</f>
        <v>25-32</v>
      </c>
      <c r="I111" t="str">
        <f t="shared" si="44"/>
        <v>DEN (SD 25-32)</v>
      </c>
      <c r="K111" s="20" t="str">
        <f t="shared" si="47"/>
        <v/>
      </c>
      <c r="L111" s="23"/>
      <c r="M111" s="21">
        <f t="shared" si="48"/>
        <v>1</v>
      </c>
      <c r="N111" s="23" t="s">
        <v>138</v>
      </c>
      <c r="O111" s="21" t="str">
        <f t="shared" si="49"/>
        <v/>
      </c>
      <c r="P111" s="23"/>
      <c r="Q111" s="21" t="str">
        <f t="shared" si="50"/>
        <v/>
      </c>
      <c r="R111" s="23"/>
      <c r="S111" s="21" t="str">
        <f t="shared" si="51"/>
        <v/>
      </c>
      <c r="T111" s="23" t="s">
        <v>132</v>
      </c>
      <c r="U111" s="21" t="str">
        <f t="shared" si="52"/>
        <v/>
      </c>
      <c r="V111" s="23"/>
      <c r="W111" s="21" t="str">
        <f t="shared" si="53"/>
        <v/>
      </c>
      <c r="X111" s="23"/>
      <c r="Y111" s="21" t="str">
        <f t="shared" si="54"/>
        <v/>
      </c>
      <c r="Z111" s="23"/>
      <c r="AA111" s="21" t="str">
        <f t="shared" si="55"/>
        <v/>
      </c>
      <c r="AB111" s="23"/>
      <c r="AC111" s="21" t="str">
        <f t="shared" si="56"/>
        <v/>
      </c>
      <c r="AD111" s="23"/>
      <c r="AG111" s="25" t="str">
        <f t="shared" si="45"/>
        <v/>
      </c>
      <c r="AK111" s="10" t="str">
        <f t="shared" si="34"/>
        <v/>
      </c>
      <c r="AL111" s="11" t="str">
        <f t="shared" si="35"/>
        <v/>
      </c>
      <c r="AM111" s="11" t="str">
        <f t="shared" si="36"/>
        <v/>
      </c>
      <c r="AN111" s="11" t="str">
        <f t="shared" si="37"/>
        <v/>
      </c>
      <c r="AO111" s="11">
        <f t="shared" si="38"/>
        <v>1</v>
      </c>
      <c r="AP111" s="11" t="str">
        <f t="shared" si="39"/>
        <v/>
      </c>
      <c r="AQ111" s="11" t="str">
        <f t="shared" si="40"/>
        <v/>
      </c>
      <c r="AR111" s="11" t="str">
        <f t="shared" si="41"/>
        <v/>
      </c>
      <c r="AS111" s="11" t="str">
        <f t="shared" si="42"/>
        <v/>
      </c>
      <c r="AT111" s="12" t="str">
        <f t="shared" si="43"/>
        <v/>
      </c>
    </row>
    <row r="112" spans="1:46" ht="18.75" x14ac:dyDescent="0.25">
      <c r="A112" s="5" t="s">
        <v>26</v>
      </c>
      <c r="B112" t="str">
        <f>'Final list of total hauls pros'!M109</f>
        <v>POL (SD 25-32)</v>
      </c>
      <c r="C112">
        <v>108</v>
      </c>
      <c r="D112">
        <f>'Final list of total hauls pros'!A109</f>
        <v>25061</v>
      </c>
      <c r="E112" t="str">
        <f t="shared" si="46"/>
        <v>25</v>
      </c>
      <c r="F112" t="str">
        <f>'Final list of total hauls pros'!B109</f>
        <v>38G6</v>
      </c>
      <c r="G112" t="str">
        <f>'Final list of total hauls pros'!I109</f>
        <v>POL</v>
      </c>
      <c r="H112" t="str">
        <f>'Final list of total hauls pros'!L109</f>
        <v>25-32</v>
      </c>
      <c r="I112" t="str">
        <f t="shared" si="44"/>
        <v>DEN (SD 25-32)</v>
      </c>
      <c r="K112" s="20" t="str">
        <f t="shared" si="47"/>
        <v/>
      </c>
      <c r="L112" s="23"/>
      <c r="M112" s="21">
        <f t="shared" si="48"/>
        <v>1</v>
      </c>
      <c r="N112" s="23" t="s">
        <v>138</v>
      </c>
      <c r="O112" s="21" t="str">
        <f t="shared" si="49"/>
        <v/>
      </c>
      <c r="P112" s="23"/>
      <c r="Q112" s="21" t="str">
        <f t="shared" si="50"/>
        <v/>
      </c>
      <c r="R112" s="23"/>
      <c r="S112" s="21" t="str">
        <f t="shared" si="51"/>
        <v/>
      </c>
      <c r="T112" s="23" t="s">
        <v>132</v>
      </c>
      <c r="U112" s="21" t="str">
        <f t="shared" si="52"/>
        <v/>
      </c>
      <c r="V112" s="23"/>
      <c r="W112" s="21" t="str">
        <f t="shared" si="53"/>
        <v/>
      </c>
      <c r="X112" s="23"/>
      <c r="Y112" s="21" t="str">
        <f t="shared" si="54"/>
        <v/>
      </c>
      <c r="Z112" s="23"/>
      <c r="AA112" s="21" t="str">
        <f t="shared" si="55"/>
        <v/>
      </c>
      <c r="AB112" s="23"/>
      <c r="AC112" s="21" t="str">
        <f t="shared" si="56"/>
        <v/>
      </c>
      <c r="AD112" s="23"/>
      <c r="AG112" s="25" t="str">
        <f t="shared" si="45"/>
        <v/>
      </c>
      <c r="AK112" s="10" t="str">
        <f t="shared" si="34"/>
        <v/>
      </c>
      <c r="AL112" s="11" t="str">
        <f t="shared" si="35"/>
        <v/>
      </c>
      <c r="AM112" s="11" t="str">
        <f t="shared" si="36"/>
        <v/>
      </c>
      <c r="AN112" s="11" t="str">
        <f t="shared" si="37"/>
        <v/>
      </c>
      <c r="AO112" s="11">
        <f t="shared" si="38"/>
        <v>1</v>
      </c>
      <c r="AP112" s="11" t="str">
        <f t="shared" si="39"/>
        <v/>
      </c>
      <c r="AQ112" s="11" t="str">
        <f t="shared" si="40"/>
        <v/>
      </c>
      <c r="AR112" s="11" t="str">
        <f t="shared" si="41"/>
        <v/>
      </c>
      <c r="AS112" s="11" t="str">
        <f t="shared" si="42"/>
        <v/>
      </c>
      <c r="AT112" s="12" t="str">
        <f t="shared" si="43"/>
        <v/>
      </c>
    </row>
    <row r="113" spans="1:46" ht="18.75" x14ac:dyDescent="0.25">
      <c r="A113" s="5" t="s">
        <v>26</v>
      </c>
      <c r="B113" t="str">
        <f>'Final list of total hauls pros'!M110</f>
        <v>DEN (SD 25-32)</v>
      </c>
      <c r="C113">
        <v>109</v>
      </c>
      <c r="D113">
        <f>'Final list of total hauls pros'!A110</f>
        <v>25065</v>
      </c>
      <c r="E113" t="str">
        <f t="shared" si="46"/>
        <v>25</v>
      </c>
      <c r="F113" t="str">
        <f>'Final list of total hauls pros'!B110</f>
        <v>39G5</v>
      </c>
      <c r="G113" t="str">
        <f>'Final list of total hauls pros'!I110</f>
        <v>DEN</v>
      </c>
      <c r="H113" t="str">
        <f>'Final list of total hauls pros'!L110</f>
        <v>25-32</v>
      </c>
      <c r="I113" t="str">
        <f t="shared" si="44"/>
        <v>DEN (SD 25-32)</v>
      </c>
      <c r="K113" s="20" t="str">
        <f t="shared" si="47"/>
        <v/>
      </c>
      <c r="L113" s="23"/>
      <c r="M113" s="21">
        <f t="shared" si="48"/>
        <v>1</v>
      </c>
      <c r="N113" s="23"/>
      <c r="O113" s="21" t="str">
        <f t="shared" si="49"/>
        <v/>
      </c>
      <c r="P113" s="23"/>
      <c r="Q113" s="21" t="str">
        <f t="shared" si="50"/>
        <v/>
      </c>
      <c r="R113" s="23"/>
      <c r="S113" s="21" t="str">
        <f t="shared" si="51"/>
        <v/>
      </c>
      <c r="T113" s="23"/>
      <c r="U113" s="21" t="str">
        <f t="shared" si="52"/>
        <v/>
      </c>
      <c r="V113" s="23"/>
      <c r="W113" s="21" t="str">
        <f t="shared" si="53"/>
        <v/>
      </c>
      <c r="X113" s="23"/>
      <c r="Y113" s="21" t="str">
        <f t="shared" si="54"/>
        <v/>
      </c>
      <c r="Z113" s="23"/>
      <c r="AA113" s="21" t="str">
        <f t="shared" si="55"/>
        <v/>
      </c>
      <c r="AB113" s="23"/>
      <c r="AC113" s="21" t="str">
        <f t="shared" si="56"/>
        <v/>
      </c>
      <c r="AD113" s="23"/>
      <c r="AG113" s="25" t="str">
        <f t="shared" si="45"/>
        <v/>
      </c>
      <c r="AK113" s="10" t="str">
        <f t="shared" si="34"/>
        <v/>
      </c>
      <c r="AL113" s="11">
        <f t="shared" si="35"/>
        <v>1</v>
      </c>
      <c r="AM113" s="11" t="str">
        <f t="shared" si="36"/>
        <v/>
      </c>
      <c r="AN113" s="11" t="str">
        <f t="shared" si="37"/>
        <v/>
      </c>
      <c r="AO113" s="11" t="str">
        <f t="shared" si="38"/>
        <v/>
      </c>
      <c r="AP113" s="11" t="str">
        <f t="shared" si="39"/>
        <v/>
      </c>
      <c r="AQ113" s="11" t="str">
        <f t="shared" si="40"/>
        <v/>
      </c>
      <c r="AR113" s="11" t="str">
        <f t="shared" si="41"/>
        <v/>
      </c>
      <c r="AS113" s="11" t="str">
        <f t="shared" si="42"/>
        <v/>
      </c>
      <c r="AT113" s="12" t="str">
        <f t="shared" si="43"/>
        <v/>
      </c>
    </row>
    <row r="114" spans="1:46" ht="18.75" x14ac:dyDescent="0.25">
      <c r="A114" s="5" t="s">
        <v>26</v>
      </c>
      <c r="B114" t="str">
        <f>'Final list of total hauls pros'!M111</f>
        <v>POL (SD 25-32)</v>
      </c>
      <c r="C114">
        <v>110</v>
      </c>
      <c r="D114">
        <f>'Final list of total hauls pros'!A111</f>
        <v>25066</v>
      </c>
      <c r="E114" t="str">
        <f t="shared" si="46"/>
        <v>25</v>
      </c>
      <c r="F114" t="str">
        <f>'Final list of total hauls pros'!B111</f>
        <v>39G6</v>
      </c>
      <c r="G114" t="str">
        <f>'Final list of total hauls pros'!I111</f>
        <v>POL</v>
      </c>
      <c r="H114" t="str">
        <f>'Final list of total hauls pros'!L111</f>
        <v>25-32</v>
      </c>
      <c r="I114" t="str">
        <f t="shared" si="44"/>
        <v>DEN (SD 25-32)</v>
      </c>
      <c r="K114" s="20" t="str">
        <f t="shared" si="47"/>
        <v/>
      </c>
      <c r="L114" s="23"/>
      <c r="M114" s="21">
        <f t="shared" si="48"/>
        <v>1</v>
      </c>
      <c r="N114" s="23" t="s">
        <v>138</v>
      </c>
      <c r="O114" s="21" t="str">
        <f t="shared" si="49"/>
        <v/>
      </c>
      <c r="P114" s="23"/>
      <c r="Q114" s="21" t="str">
        <f t="shared" si="50"/>
        <v/>
      </c>
      <c r="R114" s="23"/>
      <c r="S114" s="21" t="str">
        <f t="shared" si="51"/>
        <v/>
      </c>
      <c r="T114" s="23" t="s">
        <v>132</v>
      </c>
      <c r="U114" s="21" t="str">
        <f t="shared" si="52"/>
        <v/>
      </c>
      <c r="V114" s="23"/>
      <c r="W114" s="21" t="str">
        <f t="shared" si="53"/>
        <v/>
      </c>
      <c r="X114" s="23"/>
      <c r="Y114" s="21" t="str">
        <f t="shared" si="54"/>
        <v/>
      </c>
      <c r="Z114" s="23"/>
      <c r="AA114" s="21" t="str">
        <f t="shared" si="55"/>
        <v/>
      </c>
      <c r="AB114" s="23"/>
      <c r="AC114" s="21" t="str">
        <f t="shared" si="56"/>
        <v/>
      </c>
      <c r="AD114" s="23"/>
      <c r="AG114" s="25" t="str">
        <f t="shared" si="45"/>
        <v/>
      </c>
      <c r="AK114" s="10" t="str">
        <f t="shared" si="34"/>
        <v/>
      </c>
      <c r="AL114" s="11" t="str">
        <f t="shared" si="35"/>
        <v/>
      </c>
      <c r="AM114" s="11" t="str">
        <f t="shared" si="36"/>
        <v/>
      </c>
      <c r="AN114" s="11" t="str">
        <f t="shared" si="37"/>
        <v/>
      </c>
      <c r="AO114" s="11">
        <f t="shared" si="38"/>
        <v>1</v>
      </c>
      <c r="AP114" s="11" t="str">
        <f t="shared" si="39"/>
        <v/>
      </c>
      <c r="AQ114" s="11" t="str">
        <f t="shared" si="40"/>
        <v/>
      </c>
      <c r="AR114" s="11" t="str">
        <f t="shared" si="41"/>
        <v/>
      </c>
      <c r="AS114" s="11" t="str">
        <f t="shared" si="42"/>
        <v/>
      </c>
      <c r="AT114" s="12" t="str">
        <f t="shared" si="43"/>
        <v/>
      </c>
    </row>
    <row r="115" spans="1:46" ht="18.75" x14ac:dyDescent="0.25">
      <c r="A115" s="5" t="s">
        <v>26</v>
      </c>
      <c r="B115" t="str">
        <f>'Final list of total hauls pros'!M112</f>
        <v>POL (SD 25-32)</v>
      </c>
      <c r="C115">
        <v>111</v>
      </c>
      <c r="D115">
        <f>'Final list of total hauls pros'!A112</f>
        <v>25067</v>
      </c>
      <c r="E115" t="str">
        <f t="shared" si="46"/>
        <v>25</v>
      </c>
      <c r="F115" t="str">
        <f>'Final list of total hauls pros'!B112</f>
        <v>39G6</v>
      </c>
      <c r="G115" t="str">
        <f>'Final list of total hauls pros'!I112</f>
        <v>POL</v>
      </c>
      <c r="H115" t="str">
        <f>'Final list of total hauls pros'!L112</f>
        <v>25-32</v>
      </c>
      <c r="I115" t="str">
        <f t="shared" si="44"/>
        <v>DEN (SD 25-32)</v>
      </c>
      <c r="K115" s="20" t="str">
        <f t="shared" si="47"/>
        <v/>
      </c>
      <c r="L115" s="23"/>
      <c r="M115" s="21">
        <f t="shared" si="48"/>
        <v>1</v>
      </c>
      <c r="N115" s="23" t="s">
        <v>138</v>
      </c>
      <c r="O115" s="21" t="str">
        <f t="shared" si="49"/>
        <v/>
      </c>
      <c r="P115" s="23"/>
      <c r="Q115" s="21" t="str">
        <f t="shared" si="50"/>
        <v/>
      </c>
      <c r="R115" s="23"/>
      <c r="S115" s="21" t="str">
        <f t="shared" si="51"/>
        <v/>
      </c>
      <c r="T115" s="23" t="s">
        <v>132</v>
      </c>
      <c r="U115" s="21" t="str">
        <f t="shared" si="52"/>
        <v/>
      </c>
      <c r="V115" s="23"/>
      <c r="W115" s="21" t="str">
        <f t="shared" si="53"/>
        <v/>
      </c>
      <c r="X115" s="23"/>
      <c r="Y115" s="21" t="str">
        <f t="shared" si="54"/>
        <v/>
      </c>
      <c r="Z115" s="23"/>
      <c r="AA115" s="21" t="str">
        <f t="shared" si="55"/>
        <v/>
      </c>
      <c r="AB115" s="23"/>
      <c r="AC115" s="21" t="str">
        <f t="shared" si="56"/>
        <v/>
      </c>
      <c r="AD115" s="23"/>
      <c r="AG115" s="25" t="str">
        <f t="shared" si="45"/>
        <v/>
      </c>
      <c r="AK115" s="10" t="str">
        <f t="shared" si="34"/>
        <v/>
      </c>
      <c r="AL115" s="11" t="str">
        <f t="shared" si="35"/>
        <v/>
      </c>
      <c r="AM115" s="11" t="str">
        <f t="shared" si="36"/>
        <v/>
      </c>
      <c r="AN115" s="11" t="str">
        <f t="shared" si="37"/>
        <v/>
      </c>
      <c r="AO115" s="11">
        <f t="shared" si="38"/>
        <v>1</v>
      </c>
      <c r="AP115" s="11" t="str">
        <f t="shared" si="39"/>
        <v/>
      </c>
      <c r="AQ115" s="11" t="str">
        <f t="shared" si="40"/>
        <v/>
      </c>
      <c r="AR115" s="11" t="str">
        <f t="shared" si="41"/>
        <v/>
      </c>
      <c r="AS115" s="11" t="str">
        <f t="shared" si="42"/>
        <v/>
      </c>
      <c r="AT115" s="12" t="str">
        <f t="shared" si="43"/>
        <v/>
      </c>
    </row>
    <row r="116" spans="1:46" ht="18.75" x14ac:dyDescent="0.25">
      <c r="A116" s="5" t="s">
        <v>26</v>
      </c>
      <c r="B116" t="str">
        <f>'Final list of total hauls pros'!M113</f>
        <v>POL (SD 25-32)</v>
      </c>
      <c r="C116">
        <v>112</v>
      </c>
      <c r="D116">
        <f>'Final list of total hauls pros'!A113</f>
        <v>25081</v>
      </c>
      <c r="E116" t="str">
        <f t="shared" si="46"/>
        <v>25</v>
      </c>
      <c r="F116" t="str">
        <f>'Final list of total hauls pros'!B113</f>
        <v>39G6</v>
      </c>
      <c r="G116" t="str">
        <f>'Final list of total hauls pros'!I113</f>
        <v>POL</v>
      </c>
      <c r="H116" t="str">
        <f>'Final list of total hauls pros'!L113</f>
        <v>25-32</v>
      </c>
      <c r="I116" t="str">
        <f t="shared" si="44"/>
        <v>DEN (SD 25-32)</v>
      </c>
      <c r="K116" s="20" t="str">
        <f t="shared" si="47"/>
        <v/>
      </c>
      <c r="L116" s="23"/>
      <c r="M116" s="21">
        <f t="shared" si="48"/>
        <v>1</v>
      </c>
      <c r="N116" s="23" t="s">
        <v>138</v>
      </c>
      <c r="O116" s="21" t="str">
        <f t="shared" si="49"/>
        <v/>
      </c>
      <c r="P116" s="23"/>
      <c r="Q116" s="21" t="str">
        <f t="shared" si="50"/>
        <v/>
      </c>
      <c r="R116" s="23"/>
      <c r="S116" s="21" t="str">
        <f t="shared" si="51"/>
        <v/>
      </c>
      <c r="T116" s="23" t="s">
        <v>132</v>
      </c>
      <c r="U116" s="21" t="str">
        <f t="shared" si="52"/>
        <v/>
      </c>
      <c r="V116" s="23"/>
      <c r="W116" s="21" t="str">
        <f t="shared" si="53"/>
        <v/>
      </c>
      <c r="X116" s="23"/>
      <c r="Y116" s="21" t="str">
        <f t="shared" si="54"/>
        <v/>
      </c>
      <c r="Z116" s="23"/>
      <c r="AA116" s="21" t="str">
        <f t="shared" si="55"/>
        <v/>
      </c>
      <c r="AB116" s="23"/>
      <c r="AC116" s="21" t="str">
        <f t="shared" si="56"/>
        <v/>
      </c>
      <c r="AD116" s="23"/>
      <c r="AG116" s="25" t="str">
        <f t="shared" si="45"/>
        <v/>
      </c>
      <c r="AK116" s="10" t="str">
        <f t="shared" si="34"/>
        <v/>
      </c>
      <c r="AL116" s="11" t="str">
        <f t="shared" si="35"/>
        <v/>
      </c>
      <c r="AM116" s="11" t="str">
        <f t="shared" si="36"/>
        <v/>
      </c>
      <c r="AN116" s="11" t="str">
        <f t="shared" si="37"/>
        <v/>
      </c>
      <c r="AO116" s="11">
        <f t="shared" si="38"/>
        <v>1</v>
      </c>
      <c r="AP116" s="11" t="str">
        <f t="shared" si="39"/>
        <v/>
      </c>
      <c r="AQ116" s="11" t="str">
        <f t="shared" si="40"/>
        <v/>
      </c>
      <c r="AR116" s="11" t="str">
        <f t="shared" si="41"/>
        <v/>
      </c>
      <c r="AS116" s="11" t="str">
        <f t="shared" si="42"/>
        <v/>
      </c>
      <c r="AT116" s="12" t="str">
        <f t="shared" si="43"/>
        <v/>
      </c>
    </row>
    <row r="117" spans="1:46" ht="18.75" x14ac:dyDescent="0.25">
      <c r="A117" s="5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25136</v>
      </c>
      <c r="E117" t="str">
        <f t="shared" si="46"/>
        <v>25</v>
      </c>
      <c r="F117" t="str">
        <f>'Final list of total hauls pros'!B114</f>
        <v>40G7</v>
      </c>
      <c r="G117" t="str">
        <f>'Final list of total hauls pros'!I114</f>
        <v>SWE</v>
      </c>
      <c r="H117" t="str">
        <f>'Final list of total hauls pros'!L114</f>
        <v>25-32</v>
      </c>
      <c r="I117" t="str">
        <f t="shared" si="44"/>
        <v>SWE (SD 25-32)</v>
      </c>
      <c r="K117" s="20" t="str">
        <f t="shared" si="47"/>
        <v/>
      </c>
      <c r="L117" s="23"/>
      <c r="M117" s="21" t="str">
        <f t="shared" si="48"/>
        <v/>
      </c>
      <c r="N117" s="23" t="s">
        <v>132</v>
      </c>
      <c r="O117" s="21">
        <f t="shared" si="49"/>
        <v>1</v>
      </c>
      <c r="P117" s="23" t="s">
        <v>138</v>
      </c>
      <c r="Q117" s="21" t="str">
        <f t="shared" si="50"/>
        <v/>
      </c>
      <c r="R117" s="23"/>
      <c r="S117" s="21" t="str">
        <f t="shared" si="51"/>
        <v/>
      </c>
      <c r="T117" s="23"/>
      <c r="U117" s="21" t="str">
        <f t="shared" si="52"/>
        <v/>
      </c>
      <c r="V117" s="23"/>
      <c r="W117" s="21" t="str">
        <f t="shared" si="53"/>
        <v/>
      </c>
      <c r="X117" s="23"/>
      <c r="Y117" s="21" t="str">
        <f t="shared" si="54"/>
        <v/>
      </c>
      <c r="Z117" s="23"/>
      <c r="AA117" s="21" t="str">
        <f t="shared" si="55"/>
        <v/>
      </c>
      <c r="AB117" s="23"/>
      <c r="AC117" s="21" t="str">
        <f t="shared" si="56"/>
        <v/>
      </c>
      <c r="AD117" s="23"/>
      <c r="AG117" s="25" t="str">
        <f t="shared" si="45"/>
        <v/>
      </c>
      <c r="AK117" s="10" t="str">
        <f t="shared" si="34"/>
        <v/>
      </c>
      <c r="AL117" s="11">
        <f t="shared" si="35"/>
        <v>1</v>
      </c>
      <c r="AM117" s="11" t="str">
        <f t="shared" si="36"/>
        <v/>
      </c>
      <c r="AN117" s="11" t="str">
        <f t="shared" si="37"/>
        <v/>
      </c>
      <c r="AO117" s="11" t="str">
        <f t="shared" si="38"/>
        <v/>
      </c>
      <c r="AP117" s="11" t="str">
        <f t="shared" si="39"/>
        <v/>
      </c>
      <c r="AQ117" s="11" t="str">
        <f t="shared" si="40"/>
        <v/>
      </c>
      <c r="AR117" s="11" t="str">
        <f t="shared" si="41"/>
        <v/>
      </c>
      <c r="AS117" s="11" t="str">
        <f t="shared" si="42"/>
        <v/>
      </c>
      <c r="AT117" s="12" t="str">
        <f t="shared" si="43"/>
        <v/>
      </c>
    </row>
    <row r="118" spans="1:46" ht="18.75" x14ac:dyDescent="0.25">
      <c r="A118" s="5" t="s">
        <v>26</v>
      </c>
      <c r="B118" t="str">
        <f>'Final list of total hauls pros'!M115</f>
        <v>SWE (SD 25-32)</v>
      </c>
      <c r="C118">
        <v>114</v>
      </c>
      <c r="D118">
        <f>'Final list of total hauls pros'!A115</f>
        <v>25140</v>
      </c>
      <c r="E118" t="str">
        <f t="shared" si="46"/>
        <v>25</v>
      </c>
      <c r="F118" t="str">
        <f>'Final list of total hauls pros'!B115</f>
        <v>40G5</v>
      </c>
      <c r="G118" t="str">
        <f>'Final list of total hauls pros'!I115</f>
        <v>SWE</v>
      </c>
      <c r="H118" t="str">
        <f>'Final list of total hauls pros'!L115</f>
        <v>25-32</v>
      </c>
      <c r="I118" t="str">
        <f t="shared" si="44"/>
        <v>SWE (SD 25-32)</v>
      </c>
      <c r="K118" s="20" t="str">
        <f t="shared" si="47"/>
        <v/>
      </c>
      <c r="L118" s="23"/>
      <c r="M118" s="21" t="str">
        <f t="shared" si="48"/>
        <v/>
      </c>
      <c r="N118" s="23"/>
      <c r="O118" s="21">
        <f t="shared" si="49"/>
        <v>1</v>
      </c>
      <c r="P118" s="23"/>
      <c r="Q118" s="21" t="str">
        <f t="shared" si="50"/>
        <v/>
      </c>
      <c r="R118" s="23"/>
      <c r="S118" s="21" t="str">
        <f t="shared" si="51"/>
        <v/>
      </c>
      <c r="T118" s="23"/>
      <c r="U118" s="21" t="str">
        <f t="shared" si="52"/>
        <v/>
      </c>
      <c r="V118" s="23"/>
      <c r="W118" s="21" t="str">
        <f t="shared" si="53"/>
        <v/>
      </c>
      <c r="X118" s="23"/>
      <c r="Y118" s="21" t="str">
        <f t="shared" si="54"/>
        <v/>
      </c>
      <c r="Z118" s="23"/>
      <c r="AA118" s="21" t="str">
        <f t="shared" si="55"/>
        <v/>
      </c>
      <c r="AB118" s="23"/>
      <c r="AC118" s="21" t="str">
        <f t="shared" si="56"/>
        <v/>
      </c>
      <c r="AD118" s="23"/>
      <c r="AG118" s="25" t="str">
        <f t="shared" si="45"/>
        <v/>
      </c>
      <c r="AK118" s="10" t="str">
        <f t="shared" si="34"/>
        <v/>
      </c>
      <c r="AL118" s="11" t="str">
        <f t="shared" si="35"/>
        <v/>
      </c>
      <c r="AM118" s="11">
        <f t="shared" si="36"/>
        <v>1</v>
      </c>
      <c r="AN118" s="11" t="str">
        <f t="shared" si="37"/>
        <v/>
      </c>
      <c r="AO118" s="11" t="str">
        <f t="shared" si="38"/>
        <v/>
      </c>
      <c r="AP118" s="11" t="str">
        <f t="shared" si="39"/>
        <v/>
      </c>
      <c r="AQ118" s="11" t="str">
        <f t="shared" si="40"/>
        <v/>
      </c>
      <c r="AR118" s="11" t="str">
        <f t="shared" si="41"/>
        <v/>
      </c>
      <c r="AS118" s="11" t="str">
        <f t="shared" si="42"/>
        <v/>
      </c>
      <c r="AT118" s="12" t="str">
        <f t="shared" si="43"/>
        <v/>
      </c>
    </row>
    <row r="119" spans="1:46" ht="18.75" x14ac:dyDescent="0.25">
      <c r="A119" s="5" t="s">
        <v>26</v>
      </c>
      <c r="B119" t="str">
        <f>'Final list of total hauls pros'!M116</f>
        <v>DEN (SD 25-32)</v>
      </c>
      <c r="C119">
        <v>115</v>
      </c>
      <c r="D119">
        <f>'Final list of total hauls pros'!A116</f>
        <v>25161</v>
      </c>
      <c r="E119" t="str">
        <f t="shared" si="46"/>
        <v>25</v>
      </c>
      <c r="F119" t="str">
        <f>'Final list of total hauls pros'!B116</f>
        <v>40G7</v>
      </c>
      <c r="G119" t="str">
        <f>'Final list of total hauls pros'!I116</f>
        <v>SWE</v>
      </c>
      <c r="H119" t="str">
        <f>'Final list of total hauls pros'!L116</f>
        <v>25-32</v>
      </c>
      <c r="I119" t="str">
        <f t="shared" si="44"/>
        <v>SWE (SD 25-32)</v>
      </c>
      <c r="K119" s="20" t="str">
        <f t="shared" si="47"/>
        <v/>
      </c>
      <c r="L119" s="23"/>
      <c r="M119" s="21" t="str">
        <f t="shared" si="48"/>
        <v/>
      </c>
      <c r="N119" s="23" t="s">
        <v>132</v>
      </c>
      <c r="O119" s="21">
        <f t="shared" si="49"/>
        <v>1</v>
      </c>
      <c r="P119" s="23" t="s">
        <v>138</v>
      </c>
      <c r="Q119" s="21" t="str">
        <f t="shared" si="50"/>
        <v/>
      </c>
      <c r="R119" s="23"/>
      <c r="S119" s="21" t="str">
        <f t="shared" si="51"/>
        <v/>
      </c>
      <c r="T119" s="23"/>
      <c r="U119" s="21" t="str">
        <f t="shared" si="52"/>
        <v/>
      </c>
      <c r="V119" s="23"/>
      <c r="W119" s="21" t="str">
        <f t="shared" si="53"/>
        <v/>
      </c>
      <c r="X119" s="23"/>
      <c r="Y119" s="21" t="str">
        <f t="shared" si="54"/>
        <v/>
      </c>
      <c r="Z119" s="23"/>
      <c r="AA119" s="21" t="str">
        <f t="shared" si="55"/>
        <v/>
      </c>
      <c r="AB119" s="23"/>
      <c r="AC119" s="21" t="str">
        <f t="shared" si="56"/>
        <v/>
      </c>
      <c r="AD119" s="23"/>
      <c r="AG119" s="25" t="str">
        <f t="shared" si="45"/>
        <v/>
      </c>
      <c r="AK119" s="10" t="str">
        <f t="shared" si="34"/>
        <v/>
      </c>
      <c r="AL119" s="11">
        <f t="shared" si="35"/>
        <v>1</v>
      </c>
      <c r="AM119" s="11" t="str">
        <f t="shared" si="36"/>
        <v/>
      </c>
      <c r="AN119" s="11" t="str">
        <f t="shared" si="37"/>
        <v/>
      </c>
      <c r="AO119" s="11" t="str">
        <f t="shared" si="38"/>
        <v/>
      </c>
      <c r="AP119" s="11" t="str">
        <f t="shared" si="39"/>
        <v/>
      </c>
      <c r="AQ119" s="11" t="str">
        <f t="shared" si="40"/>
        <v/>
      </c>
      <c r="AR119" s="11" t="str">
        <f t="shared" si="41"/>
        <v/>
      </c>
      <c r="AS119" s="11" t="str">
        <f t="shared" si="42"/>
        <v/>
      </c>
      <c r="AT119" s="12" t="str">
        <f t="shared" si="43"/>
        <v/>
      </c>
    </row>
    <row r="120" spans="1:46" ht="18.75" x14ac:dyDescent="0.25">
      <c r="A120" s="5" t="s">
        <v>26</v>
      </c>
      <c r="B120" t="str">
        <f>'Final list of total hauls pros'!M117</f>
        <v>POL (SD 25-32)</v>
      </c>
      <c r="C120">
        <v>116</v>
      </c>
      <c r="D120">
        <f>'Final list of total hauls pros'!A117</f>
        <v>25173</v>
      </c>
      <c r="E120" t="str">
        <f t="shared" si="46"/>
        <v>25</v>
      </c>
      <c r="F120" t="str">
        <f>'Final list of total hauls pros'!B117</f>
        <v>38G5</v>
      </c>
      <c r="G120" t="str">
        <f>'Final list of total hauls pros'!I117</f>
        <v>POL</v>
      </c>
      <c r="H120" t="str">
        <f>'Final list of total hauls pros'!L117</f>
        <v>25-32</v>
      </c>
      <c r="I120" t="str">
        <f t="shared" si="44"/>
        <v>DEN (SD 25-32)</v>
      </c>
      <c r="K120" s="20" t="str">
        <f t="shared" si="47"/>
        <v/>
      </c>
      <c r="L120" s="23"/>
      <c r="M120" s="21">
        <f t="shared" si="48"/>
        <v>1</v>
      </c>
      <c r="N120" s="23" t="s">
        <v>138</v>
      </c>
      <c r="O120" s="21" t="str">
        <f t="shared" si="49"/>
        <v/>
      </c>
      <c r="P120" s="23"/>
      <c r="Q120" s="21" t="str">
        <f t="shared" si="50"/>
        <v/>
      </c>
      <c r="R120" s="23"/>
      <c r="S120" s="21" t="str">
        <f t="shared" si="51"/>
        <v/>
      </c>
      <c r="T120" s="23" t="s">
        <v>132</v>
      </c>
      <c r="U120" s="21" t="str">
        <f t="shared" si="52"/>
        <v/>
      </c>
      <c r="V120" s="23"/>
      <c r="W120" s="21" t="str">
        <f t="shared" si="53"/>
        <v/>
      </c>
      <c r="X120" s="23"/>
      <c r="Y120" s="21" t="str">
        <f t="shared" si="54"/>
        <v/>
      </c>
      <c r="Z120" s="23"/>
      <c r="AA120" s="21" t="str">
        <f t="shared" si="55"/>
        <v/>
      </c>
      <c r="AB120" s="23"/>
      <c r="AC120" s="21" t="str">
        <f t="shared" si="56"/>
        <v/>
      </c>
      <c r="AD120" s="23"/>
      <c r="AG120" s="25" t="str">
        <f t="shared" si="45"/>
        <v/>
      </c>
      <c r="AK120" s="10" t="str">
        <f t="shared" si="34"/>
        <v/>
      </c>
      <c r="AL120" s="11" t="str">
        <f t="shared" si="35"/>
        <v/>
      </c>
      <c r="AM120" s="11" t="str">
        <f t="shared" si="36"/>
        <v/>
      </c>
      <c r="AN120" s="11" t="str">
        <f t="shared" si="37"/>
        <v/>
      </c>
      <c r="AO120" s="11">
        <f t="shared" si="38"/>
        <v>1</v>
      </c>
      <c r="AP120" s="11" t="str">
        <f t="shared" si="39"/>
        <v/>
      </c>
      <c r="AQ120" s="11" t="str">
        <f t="shared" si="40"/>
        <v/>
      </c>
      <c r="AR120" s="11" t="str">
        <f t="shared" si="41"/>
        <v/>
      </c>
      <c r="AS120" s="11" t="str">
        <f t="shared" si="42"/>
        <v/>
      </c>
      <c r="AT120" s="12" t="str">
        <f t="shared" si="43"/>
        <v/>
      </c>
    </row>
    <row r="121" spans="1:46" ht="18.75" x14ac:dyDescent="0.25">
      <c r="A121" s="5" t="s">
        <v>26</v>
      </c>
      <c r="B121" t="str">
        <f>'Final list of total hauls pros'!M118</f>
        <v>DEN (SD 25-32)</v>
      </c>
      <c r="C121">
        <v>117</v>
      </c>
      <c r="D121">
        <f>'Final list of total hauls pros'!A118</f>
        <v>25195</v>
      </c>
      <c r="E121" t="str">
        <f t="shared" si="46"/>
        <v>25</v>
      </c>
      <c r="F121" t="str">
        <f>'Final list of total hauls pros'!B118</f>
        <v>38G5</v>
      </c>
      <c r="G121" t="str">
        <f>'Final list of total hauls pros'!I118</f>
        <v>DEN</v>
      </c>
      <c r="H121" t="str">
        <f>'Final list of total hauls pros'!L118</f>
        <v>25-32</v>
      </c>
      <c r="I121" t="str">
        <f t="shared" si="44"/>
        <v>DEN (SD 25-32)</v>
      </c>
      <c r="K121" s="20" t="str">
        <f t="shared" si="47"/>
        <v/>
      </c>
      <c r="L121" s="23"/>
      <c r="M121" s="21">
        <f t="shared" si="48"/>
        <v>1</v>
      </c>
      <c r="N121" s="23"/>
      <c r="O121" s="21" t="str">
        <f t="shared" si="49"/>
        <v/>
      </c>
      <c r="P121" s="23"/>
      <c r="Q121" s="21" t="str">
        <f t="shared" si="50"/>
        <v/>
      </c>
      <c r="R121" s="23"/>
      <c r="S121" s="21" t="str">
        <f t="shared" si="51"/>
        <v/>
      </c>
      <c r="T121" s="23"/>
      <c r="U121" s="21" t="str">
        <f t="shared" si="52"/>
        <v/>
      </c>
      <c r="V121" s="23"/>
      <c r="W121" s="21" t="str">
        <f t="shared" si="53"/>
        <v/>
      </c>
      <c r="X121" s="23"/>
      <c r="Y121" s="21" t="str">
        <f t="shared" si="54"/>
        <v/>
      </c>
      <c r="Z121" s="23"/>
      <c r="AA121" s="21" t="str">
        <f t="shared" si="55"/>
        <v/>
      </c>
      <c r="AB121" s="23"/>
      <c r="AC121" s="21" t="str">
        <f t="shared" si="56"/>
        <v/>
      </c>
      <c r="AD121" s="23"/>
      <c r="AG121" s="25" t="str">
        <f t="shared" si="45"/>
        <v/>
      </c>
      <c r="AK121" s="10" t="str">
        <f t="shared" si="34"/>
        <v/>
      </c>
      <c r="AL121" s="11">
        <f t="shared" si="35"/>
        <v>1</v>
      </c>
      <c r="AM121" s="11" t="str">
        <f t="shared" si="36"/>
        <v/>
      </c>
      <c r="AN121" s="11" t="str">
        <f t="shared" si="37"/>
        <v/>
      </c>
      <c r="AO121" s="11" t="str">
        <f t="shared" si="38"/>
        <v/>
      </c>
      <c r="AP121" s="11" t="str">
        <f t="shared" si="39"/>
        <v/>
      </c>
      <c r="AQ121" s="11" t="str">
        <f t="shared" si="40"/>
        <v/>
      </c>
      <c r="AR121" s="11" t="str">
        <f t="shared" si="41"/>
        <v/>
      </c>
      <c r="AS121" s="11" t="str">
        <f t="shared" si="42"/>
        <v/>
      </c>
      <c r="AT121" s="12" t="str">
        <f t="shared" si="43"/>
        <v/>
      </c>
    </row>
    <row r="122" spans="1:46" ht="18.75" x14ac:dyDescent="0.25">
      <c r="A122" s="5" t="s">
        <v>26</v>
      </c>
      <c r="B122" t="str">
        <f>'Final list of total hauls pros'!M119</f>
        <v>DEN (SD 25-32)</v>
      </c>
      <c r="C122">
        <v>118</v>
      </c>
      <c r="D122">
        <f>'Final list of total hauls pros'!A119</f>
        <v>25197</v>
      </c>
      <c r="E122" t="str">
        <f t="shared" si="46"/>
        <v>25</v>
      </c>
      <c r="F122" t="str">
        <f>'Final list of total hauls pros'!B119</f>
        <v>39G5</v>
      </c>
      <c r="G122" t="str">
        <f>'Final list of total hauls pros'!I119</f>
        <v>DEN</v>
      </c>
      <c r="H122" t="str">
        <f>'Final list of total hauls pros'!L119</f>
        <v>25-32</v>
      </c>
      <c r="I122" t="str">
        <f t="shared" si="44"/>
        <v>DEN (SD 25-32)</v>
      </c>
      <c r="K122" s="20" t="str">
        <f t="shared" si="47"/>
        <v/>
      </c>
      <c r="L122" s="23"/>
      <c r="M122" s="21">
        <f t="shared" si="48"/>
        <v>1</v>
      </c>
      <c r="N122" s="23"/>
      <c r="O122" s="21" t="str">
        <f t="shared" si="49"/>
        <v/>
      </c>
      <c r="P122" s="23"/>
      <c r="Q122" s="21" t="str">
        <f t="shared" si="50"/>
        <v/>
      </c>
      <c r="R122" s="23"/>
      <c r="S122" s="21" t="str">
        <f t="shared" si="51"/>
        <v/>
      </c>
      <c r="T122" s="23"/>
      <c r="U122" s="21" t="str">
        <f t="shared" si="52"/>
        <v/>
      </c>
      <c r="V122" s="23"/>
      <c r="W122" s="21" t="str">
        <f t="shared" si="53"/>
        <v/>
      </c>
      <c r="X122" s="23"/>
      <c r="Y122" s="21" t="str">
        <f t="shared" si="54"/>
        <v/>
      </c>
      <c r="Z122" s="23"/>
      <c r="AA122" s="21" t="str">
        <f t="shared" si="55"/>
        <v/>
      </c>
      <c r="AB122" s="23"/>
      <c r="AC122" s="21" t="str">
        <f t="shared" si="56"/>
        <v/>
      </c>
      <c r="AD122" s="23"/>
      <c r="AG122" s="25" t="str">
        <f t="shared" si="45"/>
        <v/>
      </c>
      <c r="AK122" s="10" t="str">
        <f t="shared" si="34"/>
        <v/>
      </c>
      <c r="AL122" s="11">
        <f t="shared" si="35"/>
        <v>1</v>
      </c>
      <c r="AM122" s="11" t="str">
        <f t="shared" si="36"/>
        <v/>
      </c>
      <c r="AN122" s="11" t="str">
        <f t="shared" si="37"/>
        <v/>
      </c>
      <c r="AO122" s="11" t="str">
        <f t="shared" si="38"/>
        <v/>
      </c>
      <c r="AP122" s="11" t="str">
        <f t="shared" si="39"/>
        <v/>
      </c>
      <c r="AQ122" s="11" t="str">
        <f t="shared" si="40"/>
        <v/>
      </c>
      <c r="AR122" s="11" t="str">
        <f t="shared" si="41"/>
        <v/>
      </c>
      <c r="AS122" s="11" t="str">
        <f t="shared" si="42"/>
        <v/>
      </c>
      <c r="AT122" s="12" t="str">
        <f t="shared" si="43"/>
        <v/>
      </c>
    </row>
    <row r="123" spans="1:46" ht="18.75" x14ac:dyDescent="0.25">
      <c r="A123" s="5" t="s">
        <v>26</v>
      </c>
      <c r="B123" t="str">
        <f>'Final list of total hauls pros'!M120</f>
        <v>POL (SD 25-32)</v>
      </c>
      <c r="C123">
        <v>119</v>
      </c>
      <c r="D123">
        <f>'Final list of total hauls pros'!A120</f>
        <v>25212</v>
      </c>
      <c r="E123" t="str">
        <f t="shared" si="46"/>
        <v>25</v>
      </c>
      <c r="F123" t="str">
        <f>'Final list of total hauls pros'!B120</f>
        <v>39G6</v>
      </c>
      <c r="G123" t="str">
        <f>'Final list of total hauls pros'!I120</f>
        <v>POL</v>
      </c>
      <c r="H123" t="str">
        <f>'Final list of total hauls pros'!L120</f>
        <v>25-32</v>
      </c>
      <c r="I123" t="str">
        <f t="shared" si="44"/>
        <v>DEN (SD 25-32)</v>
      </c>
      <c r="K123" s="20" t="str">
        <f t="shared" si="47"/>
        <v/>
      </c>
      <c r="L123" s="23"/>
      <c r="M123" s="21">
        <f t="shared" si="48"/>
        <v>1</v>
      </c>
      <c r="N123" s="23" t="s">
        <v>138</v>
      </c>
      <c r="O123" s="21" t="str">
        <f t="shared" si="49"/>
        <v/>
      </c>
      <c r="P123" s="23"/>
      <c r="Q123" s="21" t="str">
        <f t="shared" si="50"/>
        <v/>
      </c>
      <c r="R123" s="23"/>
      <c r="S123" s="21" t="str">
        <f t="shared" si="51"/>
        <v/>
      </c>
      <c r="T123" s="23" t="s">
        <v>132</v>
      </c>
      <c r="U123" s="21" t="str">
        <f t="shared" si="52"/>
        <v/>
      </c>
      <c r="V123" s="23"/>
      <c r="W123" s="21" t="str">
        <f t="shared" si="53"/>
        <v/>
      </c>
      <c r="X123" s="23"/>
      <c r="Y123" s="21" t="str">
        <f t="shared" si="54"/>
        <v/>
      </c>
      <c r="Z123" s="23"/>
      <c r="AA123" s="21" t="str">
        <f t="shared" si="55"/>
        <v/>
      </c>
      <c r="AB123" s="23"/>
      <c r="AC123" s="21" t="str">
        <f t="shared" si="56"/>
        <v/>
      </c>
      <c r="AD123" s="23"/>
      <c r="AG123" s="25" t="str">
        <f t="shared" si="45"/>
        <v/>
      </c>
      <c r="AK123" s="10" t="str">
        <f t="shared" si="34"/>
        <v/>
      </c>
      <c r="AL123" s="11" t="str">
        <f t="shared" si="35"/>
        <v/>
      </c>
      <c r="AM123" s="11" t="str">
        <f t="shared" si="36"/>
        <v/>
      </c>
      <c r="AN123" s="11" t="str">
        <f t="shared" si="37"/>
        <v/>
      </c>
      <c r="AO123" s="11">
        <f t="shared" si="38"/>
        <v>1</v>
      </c>
      <c r="AP123" s="11" t="str">
        <f t="shared" si="39"/>
        <v/>
      </c>
      <c r="AQ123" s="11" t="str">
        <f t="shared" si="40"/>
        <v/>
      </c>
      <c r="AR123" s="11" t="str">
        <f t="shared" si="41"/>
        <v/>
      </c>
      <c r="AS123" s="11" t="str">
        <f t="shared" si="42"/>
        <v/>
      </c>
      <c r="AT123" s="12" t="str">
        <f t="shared" si="43"/>
        <v/>
      </c>
    </row>
    <row r="124" spans="1:46" ht="18.75" x14ac:dyDescent="0.25">
      <c r="A124" s="5" t="s">
        <v>26</v>
      </c>
      <c r="B124" t="str">
        <f>'Final list of total hauls pros'!M121</f>
        <v>POL (SD 25-32)</v>
      </c>
      <c r="C124">
        <v>120</v>
      </c>
      <c r="D124">
        <f>'Final list of total hauls pros'!A121</f>
        <v>25214</v>
      </c>
      <c r="E124" t="str">
        <f t="shared" si="46"/>
        <v>25</v>
      </c>
      <c r="F124" t="str">
        <f>'Final list of total hauls pros'!B121</f>
        <v>39G6</v>
      </c>
      <c r="G124" t="str">
        <f>'Final list of total hauls pros'!I121</f>
        <v>POL</v>
      </c>
      <c r="H124" t="str">
        <f>'Final list of total hauls pros'!L121</f>
        <v>25-32</v>
      </c>
      <c r="I124" t="str">
        <f t="shared" si="44"/>
        <v>DEN (SD 25-32)</v>
      </c>
      <c r="K124" s="20" t="str">
        <f t="shared" si="47"/>
        <v/>
      </c>
      <c r="L124" s="23"/>
      <c r="M124" s="21">
        <f t="shared" si="48"/>
        <v>1</v>
      </c>
      <c r="N124" s="23" t="s">
        <v>138</v>
      </c>
      <c r="O124" s="21" t="str">
        <f t="shared" si="49"/>
        <v/>
      </c>
      <c r="P124" s="23"/>
      <c r="Q124" s="21" t="str">
        <f t="shared" si="50"/>
        <v/>
      </c>
      <c r="R124" s="23"/>
      <c r="S124" s="21" t="str">
        <f t="shared" si="51"/>
        <v/>
      </c>
      <c r="T124" s="23" t="s">
        <v>132</v>
      </c>
      <c r="U124" s="21" t="str">
        <f t="shared" si="52"/>
        <v/>
      </c>
      <c r="V124" s="23"/>
      <c r="W124" s="21" t="str">
        <f t="shared" si="53"/>
        <v/>
      </c>
      <c r="X124" s="23"/>
      <c r="Y124" s="21" t="str">
        <f t="shared" si="54"/>
        <v/>
      </c>
      <c r="Z124" s="23"/>
      <c r="AA124" s="21" t="str">
        <f t="shared" si="55"/>
        <v/>
      </c>
      <c r="AB124" s="23"/>
      <c r="AC124" s="21" t="str">
        <f t="shared" si="56"/>
        <v/>
      </c>
      <c r="AD124" s="23"/>
      <c r="AG124" s="25" t="str">
        <f t="shared" si="45"/>
        <v/>
      </c>
      <c r="AK124" s="10" t="str">
        <f t="shared" si="34"/>
        <v/>
      </c>
      <c r="AL124" s="11" t="str">
        <f t="shared" si="35"/>
        <v/>
      </c>
      <c r="AM124" s="11" t="str">
        <f t="shared" si="36"/>
        <v/>
      </c>
      <c r="AN124" s="11" t="str">
        <f t="shared" si="37"/>
        <v/>
      </c>
      <c r="AO124" s="11">
        <f t="shared" si="38"/>
        <v>1</v>
      </c>
      <c r="AP124" s="11" t="str">
        <f t="shared" si="39"/>
        <v/>
      </c>
      <c r="AQ124" s="11" t="str">
        <f t="shared" si="40"/>
        <v/>
      </c>
      <c r="AR124" s="11" t="str">
        <f t="shared" si="41"/>
        <v/>
      </c>
      <c r="AS124" s="11" t="str">
        <f t="shared" si="42"/>
        <v/>
      </c>
      <c r="AT124" s="12" t="str">
        <f t="shared" si="43"/>
        <v/>
      </c>
    </row>
    <row r="125" spans="1:46" ht="18.75" x14ac:dyDescent="0.25">
      <c r="A125" s="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25219</v>
      </c>
      <c r="E125" t="str">
        <f t="shared" si="46"/>
        <v>25</v>
      </c>
      <c r="F125" t="str">
        <f>'Final list of total hauls pros'!B122</f>
        <v>39G5</v>
      </c>
      <c r="G125" t="str">
        <f>'Final list of total hauls pros'!I122</f>
        <v>DEN</v>
      </c>
      <c r="H125" t="str">
        <f>'Final list of total hauls pros'!L122</f>
        <v>25-32</v>
      </c>
      <c r="I125" t="str">
        <f t="shared" si="44"/>
        <v>DEN (SD 25-32)</v>
      </c>
      <c r="K125" s="20" t="str">
        <f t="shared" si="47"/>
        <v/>
      </c>
      <c r="L125" s="23"/>
      <c r="M125" s="21">
        <f t="shared" si="48"/>
        <v>1</v>
      </c>
      <c r="N125" s="23"/>
      <c r="O125" s="21" t="str">
        <f t="shared" si="49"/>
        <v/>
      </c>
      <c r="P125" s="23"/>
      <c r="Q125" s="21" t="str">
        <f t="shared" si="50"/>
        <v/>
      </c>
      <c r="R125" s="23"/>
      <c r="S125" s="21" t="str">
        <f t="shared" si="51"/>
        <v/>
      </c>
      <c r="T125" s="23"/>
      <c r="U125" s="21" t="str">
        <f t="shared" si="52"/>
        <v/>
      </c>
      <c r="V125" s="23"/>
      <c r="W125" s="21" t="str">
        <f t="shared" si="53"/>
        <v/>
      </c>
      <c r="X125" s="23"/>
      <c r="Y125" s="21" t="str">
        <f t="shared" si="54"/>
        <v/>
      </c>
      <c r="Z125" s="23"/>
      <c r="AA125" s="21" t="str">
        <f t="shared" si="55"/>
        <v/>
      </c>
      <c r="AB125" s="23"/>
      <c r="AC125" s="21" t="str">
        <f t="shared" si="56"/>
        <v/>
      </c>
      <c r="AD125" s="23"/>
      <c r="AG125" s="25" t="str">
        <f t="shared" si="45"/>
        <v/>
      </c>
      <c r="AK125" s="10" t="str">
        <f t="shared" si="34"/>
        <v/>
      </c>
      <c r="AL125" s="11">
        <f t="shared" si="35"/>
        <v>1</v>
      </c>
      <c r="AM125" s="11" t="str">
        <f t="shared" si="36"/>
        <v/>
      </c>
      <c r="AN125" s="11" t="str">
        <f t="shared" si="37"/>
        <v/>
      </c>
      <c r="AO125" s="11" t="str">
        <f t="shared" si="38"/>
        <v/>
      </c>
      <c r="AP125" s="11" t="str">
        <f t="shared" si="39"/>
        <v/>
      </c>
      <c r="AQ125" s="11" t="str">
        <f t="shared" si="40"/>
        <v/>
      </c>
      <c r="AR125" s="11" t="str">
        <f t="shared" si="41"/>
        <v/>
      </c>
      <c r="AS125" s="11" t="str">
        <f t="shared" si="42"/>
        <v/>
      </c>
      <c r="AT125" s="12" t="str">
        <f t="shared" si="43"/>
        <v/>
      </c>
    </row>
    <row r="126" spans="1:46" ht="18.75" x14ac:dyDescent="0.25">
      <c r="A126" s="5" t="s">
        <v>26</v>
      </c>
      <c r="B126" t="str">
        <f>'Final list of total hauls pros'!M123</f>
        <v>POL (SD 25-32)</v>
      </c>
      <c r="C126">
        <v>122</v>
      </c>
      <c r="D126">
        <f>'Final list of total hauls pros'!A123</f>
        <v>25232</v>
      </c>
      <c r="E126" t="str">
        <f t="shared" si="46"/>
        <v>25</v>
      </c>
      <c r="F126" t="str">
        <f>'Final list of total hauls pros'!B123</f>
        <v>39G7</v>
      </c>
      <c r="G126" t="str">
        <f>'Final list of total hauls pros'!I123</f>
        <v>POL</v>
      </c>
      <c r="H126" t="str">
        <f>'Final list of total hauls pros'!L123</f>
        <v>25-32</v>
      </c>
      <c r="I126" t="str">
        <f t="shared" si="44"/>
        <v>DEN (SD 25-32)</v>
      </c>
      <c r="K126" s="20" t="str">
        <f t="shared" si="47"/>
        <v/>
      </c>
      <c r="L126" s="23"/>
      <c r="M126" s="21">
        <f t="shared" si="48"/>
        <v>1</v>
      </c>
      <c r="N126" s="23" t="s">
        <v>138</v>
      </c>
      <c r="O126" s="21" t="str">
        <f t="shared" si="49"/>
        <v/>
      </c>
      <c r="P126" s="23"/>
      <c r="Q126" s="21" t="str">
        <f t="shared" si="50"/>
        <v/>
      </c>
      <c r="R126" s="23"/>
      <c r="S126" s="21" t="str">
        <f t="shared" si="51"/>
        <v/>
      </c>
      <c r="T126" s="23" t="s">
        <v>132</v>
      </c>
      <c r="U126" s="21" t="str">
        <f t="shared" si="52"/>
        <v/>
      </c>
      <c r="V126" s="23"/>
      <c r="W126" s="21" t="str">
        <f t="shared" si="53"/>
        <v/>
      </c>
      <c r="X126" s="23"/>
      <c r="Y126" s="21" t="str">
        <f t="shared" si="54"/>
        <v/>
      </c>
      <c r="Z126" s="23"/>
      <c r="AA126" s="21" t="str">
        <f t="shared" si="55"/>
        <v/>
      </c>
      <c r="AB126" s="23"/>
      <c r="AC126" s="21" t="str">
        <f t="shared" si="56"/>
        <v/>
      </c>
      <c r="AD126" s="23"/>
      <c r="AG126" s="25" t="str">
        <f t="shared" si="45"/>
        <v/>
      </c>
      <c r="AK126" s="10" t="str">
        <f t="shared" si="34"/>
        <v/>
      </c>
      <c r="AL126" s="11" t="str">
        <f t="shared" si="35"/>
        <v/>
      </c>
      <c r="AM126" s="11" t="str">
        <f t="shared" si="36"/>
        <v/>
      </c>
      <c r="AN126" s="11" t="str">
        <f t="shared" si="37"/>
        <v/>
      </c>
      <c r="AO126" s="11">
        <f t="shared" si="38"/>
        <v>1</v>
      </c>
      <c r="AP126" s="11" t="str">
        <f t="shared" si="39"/>
        <v/>
      </c>
      <c r="AQ126" s="11" t="str">
        <f t="shared" si="40"/>
        <v/>
      </c>
      <c r="AR126" s="11" t="str">
        <f t="shared" si="41"/>
        <v/>
      </c>
      <c r="AS126" s="11" t="str">
        <f t="shared" si="42"/>
        <v/>
      </c>
      <c r="AT126" s="12" t="str">
        <f t="shared" si="43"/>
        <v/>
      </c>
    </row>
    <row r="127" spans="1:46" ht="18.75" x14ac:dyDescent="0.25">
      <c r="A127" s="5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25241</v>
      </c>
      <c r="E127" t="str">
        <f t="shared" si="46"/>
        <v>25</v>
      </c>
      <c r="F127" t="str">
        <f>'Final list of total hauls pros'!B124</f>
        <v>39G5</v>
      </c>
      <c r="G127" t="str">
        <f>'Final list of total hauls pros'!I124</f>
        <v>DEN</v>
      </c>
      <c r="H127" t="str">
        <f>'Final list of total hauls pros'!L124</f>
        <v>25-32</v>
      </c>
      <c r="I127" t="str">
        <f t="shared" si="44"/>
        <v>DEN (SD 25-32)</v>
      </c>
      <c r="K127" s="20" t="str">
        <f t="shared" si="47"/>
        <v/>
      </c>
      <c r="L127" s="23"/>
      <c r="M127" s="21">
        <f t="shared" si="48"/>
        <v>1</v>
      </c>
      <c r="N127" s="23"/>
      <c r="O127" s="21" t="str">
        <f t="shared" si="49"/>
        <v/>
      </c>
      <c r="P127" s="23"/>
      <c r="Q127" s="21" t="str">
        <f t="shared" si="50"/>
        <v/>
      </c>
      <c r="R127" s="23"/>
      <c r="S127" s="21" t="str">
        <f t="shared" si="51"/>
        <v/>
      </c>
      <c r="T127" s="23"/>
      <c r="U127" s="21" t="str">
        <f t="shared" si="52"/>
        <v/>
      </c>
      <c r="V127" s="23"/>
      <c r="W127" s="21" t="str">
        <f t="shared" si="53"/>
        <v/>
      </c>
      <c r="X127" s="23"/>
      <c r="Y127" s="21" t="str">
        <f t="shared" si="54"/>
        <v/>
      </c>
      <c r="Z127" s="23"/>
      <c r="AA127" s="21" t="str">
        <f t="shared" si="55"/>
        <v/>
      </c>
      <c r="AB127" s="23"/>
      <c r="AC127" s="21" t="str">
        <f t="shared" si="56"/>
        <v/>
      </c>
      <c r="AD127" s="23"/>
      <c r="AG127" s="25" t="str">
        <f t="shared" si="45"/>
        <v/>
      </c>
      <c r="AK127" s="10" t="str">
        <f t="shared" si="34"/>
        <v/>
      </c>
      <c r="AL127" s="11">
        <f t="shared" si="35"/>
        <v>1</v>
      </c>
      <c r="AM127" s="11" t="str">
        <f t="shared" si="36"/>
        <v/>
      </c>
      <c r="AN127" s="11" t="str">
        <f t="shared" si="37"/>
        <v/>
      </c>
      <c r="AO127" s="11" t="str">
        <f t="shared" si="38"/>
        <v/>
      </c>
      <c r="AP127" s="11" t="str">
        <f t="shared" si="39"/>
        <v/>
      </c>
      <c r="AQ127" s="11" t="str">
        <f t="shared" si="40"/>
        <v/>
      </c>
      <c r="AR127" s="11" t="str">
        <f t="shared" si="41"/>
        <v/>
      </c>
      <c r="AS127" s="11" t="str">
        <f t="shared" si="42"/>
        <v/>
      </c>
      <c r="AT127" s="12" t="str">
        <f t="shared" si="43"/>
        <v/>
      </c>
    </row>
    <row r="128" spans="1:46" ht="18.75" x14ac:dyDescent="0.25">
      <c r="A128" s="5" t="s">
        <v>26</v>
      </c>
      <c r="B128" t="str">
        <f>'Final list of total hauls pros'!M125</f>
        <v>SWE (SD 25-32)</v>
      </c>
      <c r="C128">
        <v>124</v>
      </c>
      <c r="D128">
        <f>'Final list of total hauls pros'!A125</f>
        <v>25243</v>
      </c>
      <c r="E128" t="str">
        <f t="shared" si="46"/>
        <v>25</v>
      </c>
      <c r="F128" t="str">
        <f>'Final list of total hauls pros'!B125</f>
        <v>39G6</v>
      </c>
      <c r="G128" t="str">
        <f>'Final list of total hauls pros'!I125</f>
        <v>SWE</v>
      </c>
      <c r="H128" t="str">
        <f>'Final list of total hauls pros'!L125</f>
        <v>25-32</v>
      </c>
      <c r="I128" t="str">
        <f t="shared" si="44"/>
        <v>SWE (SD 25-32)</v>
      </c>
      <c r="K128" s="20" t="str">
        <f t="shared" si="47"/>
        <v/>
      </c>
      <c r="L128" s="23"/>
      <c r="M128" s="21" t="str">
        <f t="shared" si="48"/>
        <v/>
      </c>
      <c r="N128" s="23"/>
      <c r="O128" s="21">
        <f t="shared" si="49"/>
        <v>1</v>
      </c>
      <c r="P128" s="23"/>
      <c r="Q128" s="21" t="str">
        <f t="shared" si="50"/>
        <v/>
      </c>
      <c r="R128" s="23"/>
      <c r="S128" s="21" t="str">
        <f t="shared" si="51"/>
        <v/>
      </c>
      <c r="T128" s="23"/>
      <c r="U128" s="21" t="str">
        <f t="shared" si="52"/>
        <v/>
      </c>
      <c r="V128" s="23"/>
      <c r="W128" s="21" t="str">
        <f t="shared" si="53"/>
        <v/>
      </c>
      <c r="X128" s="23"/>
      <c r="Y128" s="21" t="str">
        <f t="shared" si="54"/>
        <v/>
      </c>
      <c r="Z128" s="23"/>
      <c r="AA128" s="21" t="str">
        <f t="shared" si="55"/>
        <v/>
      </c>
      <c r="AB128" s="23"/>
      <c r="AC128" s="21" t="str">
        <f t="shared" si="56"/>
        <v/>
      </c>
      <c r="AD128" s="23"/>
      <c r="AG128" s="25" t="str">
        <f t="shared" si="45"/>
        <v/>
      </c>
      <c r="AK128" s="10" t="str">
        <f t="shared" si="34"/>
        <v/>
      </c>
      <c r="AL128" s="11" t="str">
        <f t="shared" si="35"/>
        <v/>
      </c>
      <c r="AM128" s="11">
        <f t="shared" si="36"/>
        <v>1</v>
      </c>
      <c r="AN128" s="11" t="str">
        <f t="shared" si="37"/>
        <v/>
      </c>
      <c r="AO128" s="11" t="str">
        <f t="shared" si="38"/>
        <v/>
      </c>
      <c r="AP128" s="11" t="str">
        <f t="shared" si="39"/>
        <v/>
      </c>
      <c r="AQ128" s="11" t="str">
        <f t="shared" si="40"/>
        <v/>
      </c>
      <c r="AR128" s="11" t="str">
        <f t="shared" si="41"/>
        <v/>
      </c>
      <c r="AS128" s="11" t="str">
        <f t="shared" si="42"/>
        <v/>
      </c>
      <c r="AT128" s="12" t="str">
        <f t="shared" si="43"/>
        <v/>
      </c>
    </row>
    <row r="129" spans="1:46" ht="18.75" x14ac:dyDescent="0.25">
      <c r="A129" s="5" t="s">
        <v>26</v>
      </c>
      <c r="B129" t="str">
        <f>'Final list of total hauls pros'!M126</f>
        <v>POL (SD 25-32)</v>
      </c>
      <c r="C129">
        <v>125</v>
      </c>
      <c r="D129">
        <f>'Final list of total hauls pros'!A126</f>
        <v>25246</v>
      </c>
      <c r="E129" t="str">
        <f t="shared" si="46"/>
        <v>25</v>
      </c>
      <c r="F129" t="str">
        <f>'Final list of total hauls pros'!B126</f>
        <v>39G6</v>
      </c>
      <c r="G129" t="str">
        <f>'Final list of total hauls pros'!I126</f>
        <v>POL</v>
      </c>
      <c r="H129" t="str">
        <f>'Final list of total hauls pros'!L126</f>
        <v>25-32</v>
      </c>
      <c r="I129" t="str">
        <f t="shared" si="44"/>
        <v>DEN (SD 25-32)</v>
      </c>
      <c r="K129" s="20" t="str">
        <f t="shared" si="47"/>
        <v/>
      </c>
      <c r="L129" s="23"/>
      <c r="M129" s="21">
        <f t="shared" si="48"/>
        <v>1</v>
      </c>
      <c r="N129" s="23" t="s">
        <v>138</v>
      </c>
      <c r="O129" s="21" t="str">
        <f t="shared" si="49"/>
        <v/>
      </c>
      <c r="P129" s="23"/>
      <c r="Q129" s="21" t="str">
        <f t="shared" si="50"/>
        <v/>
      </c>
      <c r="R129" s="23"/>
      <c r="S129" s="21" t="str">
        <f t="shared" si="51"/>
        <v/>
      </c>
      <c r="T129" s="23" t="s">
        <v>132</v>
      </c>
      <c r="U129" s="21" t="str">
        <f t="shared" si="52"/>
        <v/>
      </c>
      <c r="V129" s="23"/>
      <c r="W129" s="21" t="str">
        <f t="shared" si="53"/>
        <v/>
      </c>
      <c r="X129" s="23"/>
      <c r="Y129" s="21" t="str">
        <f t="shared" si="54"/>
        <v/>
      </c>
      <c r="Z129" s="23"/>
      <c r="AA129" s="21" t="str">
        <f t="shared" si="55"/>
        <v/>
      </c>
      <c r="AB129" s="23"/>
      <c r="AC129" s="21" t="str">
        <f t="shared" si="56"/>
        <v/>
      </c>
      <c r="AD129" s="23"/>
      <c r="AG129" s="25" t="str">
        <f t="shared" si="45"/>
        <v/>
      </c>
      <c r="AK129" s="10" t="str">
        <f t="shared" si="34"/>
        <v/>
      </c>
      <c r="AL129" s="11" t="str">
        <f t="shared" si="35"/>
        <v/>
      </c>
      <c r="AM129" s="11" t="str">
        <f t="shared" si="36"/>
        <v/>
      </c>
      <c r="AN129" s="11" t="str">
        <f t="shared" si="37"/>
        <v/>
      </c>
      <c r="AO129" s="11">
        <f t="shared" si="38"/>
        <v>1</v>
      </c>
      <c r="AP129" s="11" t="str">
        <f t="shared" si="39"/>
        <v/>
      </c>
      <c r="AQ129" s="11" t="str">
        <f t="shared" si="40"/>
        <v/>
      </c>
      <c r="AR129" s="11" t="str">
        <f t="shared" si="41"/>
        <v/>
      </c>
      <c r="AS129" s="11" t="str">
        <f t="shared" si="42"/>
        <v/>
      </c>
      <c r="AT129" s="12" t="str">
        <f t="shared" si="43"/>
        <v/>
      </c>
    </row>
    <row r="130" spans="1:46" ht="18.75" x14ac:dyDescent="0.25">
      <c r="A130" s="5" t="s">
        <v>26</v>
      </c>
      <c r="B130" t="str">
        <f>'Final list of total hauls pros'!M127</f>
        <v>DEN (SD 25-32)</v>
      </c>
      <c r="C130">
        <v>126</v>
      </c>
      <c r="D130">
        <f>'Final list of total hauls pros'!A127</f>
        <v>25274</v>
      </c>
      <c r="E130" t="str">
        <f t="shared" si="46"/>
        <v>25</v>
      </c>
      <c r="F130" t="str">
        <f>'Final list of total hauls pros'!B127</f>
        <v>40G5</v>
      </c>
      <c r="G130" t="str">
        <f>'Final list of total hauls pros'!I127</f>
        <v>DEN</v>
      </c>
      <c r="H130" t="str">
        <f>'Final list of total hauls pros'!L127</f>
        <v>25-32</v>
      </c>
      <c r="I130" t="str">
        <f t="shared" si="44"/>
        <v>DEN (SD 25-32)</v>
      </c>
      <c r="K130" s="20" t="str">
        <f t="shared" si="47"/>
        <v/>
      </c>
      <c r="L130" s="23"/>
      <c r="M130" s="21">
        <f t="shared" si="48"/>
        <v>1</v>
      </c>
      <c r="N130" s="23"/>
      <c r="O130" s="21" t="str">
        <f t="shared" si="49"/>
        <v/>
      </c>
      <c r="P130" s="23"/>
      <c r="Q130" s="21" t="str">
        <f t="shared" si="50"/>
        <v/>
      </c>
      <c r="R130" s="23"/>
      <c r="S130" s="21" t="str">
        <f t="shared" si="51"/>
        <v/>
      </c>
      <c r="T130" s="23"/>
      <c r="U130" s="21" t="str">
        <f t="shared" si="52"/>
        <v/>
      </c>
      <c r="V130" s="23"/>
      <c r="W130" s="21" t="str">
        <f t="shared" si="53"/>
        <v/>
      </c>
      <c r="X130" s="23"/>
      <c r="Y130" s="21" t="str">
        <f t="shared" si="54"/>
        <v/>
      </c>
      <c r="Z130" s="23"/>
      <c r="AA130" s="21" t="str">
        <f t="shared" si="55"/>
        <v/>
      </c>
      <c r="AB130" s="23"/>
      <c r="AC130" s="21" t="str">
        <f t="shared" si="56"/>
        <v/>
      </c>
      <c r="AD130" s="23"/>
      <c r="AG130" s="25" t="str">
        <f t="shared" si="45"/>
        <v/>
      </c>
      <c r="AK130" s="10" t="str">
        <f t="shared" si="34"/>
        <v/>
      </c>
      <c r="AL130" s="11">
        <f t="shared" si="35"/>
        <v>1</v>
      </c>
      <c r="AM130" s="11" t="str">
        <f t="shared" si="36"/>
        <v/>
      </c>
      <c r="AN130" s="11" t="str">
        <f t="shared" si="37"/>
        <v/>
      </c>
      <c r="AO130" s="11" t="str">
        <f t="shared" si="38"/>
        <v/>
      </c>
      <c r="AP130" s="11" t="str">
        <f t="shared" si="39"/>
        <v/>
      </c>
      <c r="AQ130" s="11" t="str">
        <f t="shared" si="40"/>
        <v/>
      </c>
      <c r="AR130" s="11" t="str">
        <f t="shared" si="41"/>
        <v/>
      </c>
      <c r="AS130" s="11" t="str">
        <f t="shared" si="42"/>
        <v/>
      </c>
      <c r="AT130" s="12" t="str">
        <f t="shared" si="43"/>
        <v/>
      </c>
    </row>
    <row r="131" spans="1:46" ht="18.75" x14ac:dyDescent="0.25">
      <c r="A131" s="5" t="s">
        <v>26</v>
      </c>
      <c r="B131" t="str">
        <f>'Final list of total hauls pros'!M128</f>
        <v>DEN (SD 25-32)</v>
      </c>
      <c r="C131">
        <v>127</v>
      </c>
      <c r="D131">
        <f>'Final list of total hauls pros'!A128</f>
        <v>25286</v>
      </c>
      <c r="E131" t="str">
        <f t="shared" si="46"/>
        <v>25</v>
      </c>
      <c r="F131" t="str">
        <f>'Final list of total hauls pros'!B128</f>
        <v>40G6</v>
      </c>
      <c r="G131" t="str">
        <f>'Final list of total hauls pros'!I128</f>
        <v>SWE</v>
      </c>
      <c r="H131" t="str">
        <f>'Final list of total hauls pros'!L128</f>
        <v>25-32</v>
      </c>
      <c r="I131" t="str">
        <f t="shared" si="44"/>
        <v>SWE (SD 25-32)</v>
      </c>
      <c r="K131" s="20" t="str">
        <f t="shared" si="47"/>
        <v/>
      </c>
      <c r="L131" s="23"/>
      <c r="M131" s="21" t="str">
        <f t="shared" si="48"/>
        <v/>
      </c>
      <c r="N131" s="23" t="s">
        <v>132</v>
      </c>
      <c r="O131" s="21">
        <f t="shared" si="49"/>
        <v>1</v>
      </c>
      <c r="P131" s="23" t="s">
        <v>138</v>
      </c>
      <c r="Q131" s="21" t="str">
        <f t="shared" si="50"/>
        <v/>
      </c>
      <c r="R131" s="23"/>
      <c r="S131" s="21" t="str">
        <f t="shared" si="51"/>
        <v/>
      </c>
      <c r="T131" s="23"/>
      <c r="U131" s="21" t="str">
        <f t="shared" si="52"/>
        <v/>
      </c>
      <c r="V131" s="23"/>
      <c r="W131" s="21" t="str">
        <f t="shared" si="53"/>
        <v/>
      </c>
      <c r="X131" s="23"/>
      <c r="Y131" s="21" t="str">
        <f t="shared" si="54"/>
        <v/>
      </c>
      <c r="Z131" s="23"/>
      <c r="AA131" s="21" t="str">
        <f t="shared" si="55"/>
        <v/>
      </c>
      <c r="AB131" s="23"/>
      <c r="AC131" s="21" t="str">
        <f t="shared" si="56"/>
        <v/>
      </c>
      <c r="AD131" s="23"/>
      <c r="AG131" s="25" t="str">
        <f t="shared" si="45"/>
        <v/>
      </c>
      <c r="AK131" s="10" t="str">
        <f t="shared" si="34"/>
        <v/>
      </c>
      <c r="AL131" s="11">
        <f t="shared" si="35"/>
        <v>1</v>
      </c>
      <c r="AM131" s="11" t="str">
        <f t="shared" si="36"/>
        <v/>
      </c>
      <c r="AN131" s="11" t="str">
        <f t="shared" si="37"/>
        <v/>
      </c>
      <c r="AO131" s="11" t="str">
        <f t="shared" si="38"/>
        <v/>
      </c>
      <c r="AP131" s="11" t="str">
        <f t="shared" si="39"/>
        <v/>
      </c>
      <c r="AQ131" s="11" t="str">
        <f t="shared" si="40"/>
        <v/>
      </c>
      <c r="AR131" s="11" t="str">
        <f t="shared" si="41"/>
        <v/>
      </c>
      <c r="AS131" s="11" t="str">
        <f t="shared" si="42"/>
        <v/>
      </c>
      <c r="AT131" s="12" t="str">
        <f t="shared" si="43"/>
        <v/>
      </c>
    </row>
    <row r="132" spans="1:46" ht="18.75" x14ac:dyDescent="0.25">
      <c r="A132" s="5" t="s">
        <v>26</v>
      </c>
      <c r="B132" t="str">
        <f>'Final list of total hauls pros'!M129</f>
        <v>DEN (SD 25-32)</v>
      </c>
      <c r="C132">
        <v>128</v>
      </c>
      <c r="D132">
        <f>'Final list of total hauls pros'!A129</f>
        <v>25290</v>
      </c>
      <c r="E132" t="str">
        <f t="shared" si="46"/>
        <v>25</v>
      </c>
      <c r="F132" t="str">
        <f>'Final list of total hauls pros'!B129</f>
        <v>40G7</v>
      </c>
      <c r="G132" t="str">
        <f>'Final list of total hauls pros'!I129</f>
        <v>POL</v>
      </c>
      <c r="H132" t="str">
        <f>'Final list of total hauls pros'!L129</f>
        <v>25-32</v>
      </c>
      <c r="I132" t="str">
        <f t="shared" si="44"/>
        <v>DEN (SD 25-32)</v>
      </c>
      <c r="K132" s="20" t="str">
        <f t="shared" si="47"/>
        <v/>
      </c>
      <c r="L132" s="23"/>
      <c r="M132" s="21">
        <f t="shared" si="48"/>
        <v>1</v>
      </c>
      <c r="N132" s="23"/>
      <c r="O132" s="21" t="str">
        <f t="shared" si="49"/>
        <v/>
      </c>
      <c r="P132" s="23"/>
      <c r="Q132" s="21" t="str">
        <f t="shared" si="50"/>
        <v/>
      </c>
      <c r="R132" s="23"/>
      <c r="S132" s="21" t="str">
        <f t="shared" si="51"/>
        <v/>
      </c>
      <c r="T132" s="23"/>
      <c r="U132" s="21" t="str">
        <f t="shared" si="52"/>
        <v/>
      </c>
      <c r="V132" s="23"/>
      <c r="W132" s="21" t="str">
        <f t="shared" si="53"/>
        <v/>
      </c>
      <c r="X132" s="23"/>
      <c r="Y132" s="21" t="str">
        <f t="shared" si="54"/>
        <v/>
      </c>
      <c r="Z132" s="23"/>
      <c r="AA132" s="21" t="str">
        <f t="shared" si="55"/>
        <v/>
      </c>
      <c r="AB132" s="23"/>
      <c r="AC132" s="21" t="str">
        <f t="shared" si="56"/>
        <v/>
      </c>
      <c r="AD132" s="23"/>
      <c r="AG132" s="25" t="str">
        <f t="shared" si="45"/>
        <v/>
      </c>
      <c r="AK132" s="10" t="str">
        <f t="shared" si="34"/>
        <v/>
      </c>
      <c r="AL132" s="11">
        <f t="shared" si="35"/>
        <v>1</v>
      </c>
      <c r="AM132" s="11" t="str">
        <f t="shared" si="36"/>
        <v/>
      </c>
      <c r="AN132" s="11" t="str">
        <f t="shared" si="37"/>
        <v/>
      </c>
      <c r="AO132" s="11" t="str">
        <f t="shared" si="38"/>
        <v/>
      </c>
      <c r="AP132" s="11" t="str">
        <f t="shared" si="39"/>
        <v/>
      </c>
      <c r="AQ132" s="11" t="str">
        <f t="shared" si="40"/>
        <v/>
      </c>
      <c r="AR132" s="11" t="str">
        <f t="shared" si="41"/>
        <v/>
      </c>
      <c r="AS132" s="11" t="str">
        <f t="shared" si="42"/>
        <v/>
      </c>
      <c r="AT132" s="12" t="str">
        <f t="shared" si="43"/>
        <v/>
      </c>
    </row>
    <row r="133" spans="1:46" ht="18.75" x14ac:dyDescent="0.25">
      <c r="A133" s="5" t="s">
        <v>26</v>
      </c>
      <c r="B133" t="str">
        <f>'Final list of total hauls pros'!M130</f>
        <v>DEN (SD 25-32)</v>
      </c>
      <c r="C133">
        <v>129</v>
      </c>
      <c r="D133">
        <f>'Final list of total hauls pros'!A130</f>
        <v>25300</v>
      </c>
      <c r="E133" t="str">
        <f t="shared" si="46"/>
        <v>25</v>
      </c>
      <c r="F133" t="str">
        <f>'Final list of total hauls pros'!B130</f>
        <v>40G6</v>
      </c>
      <c r="G133" t="str">
        <f>'Final list of total hauls pros'!I130</f>
        <v>SWE</v>
      </c>
      <c r="H133" t="str">
        <f>'Final list of total hauls pros'!L130</f>
        <v>25-32</v>
      </c>
      <c r="I133" t="str">
        <f t="shared" si="44"/>
        <v>SWE (SD 25-32)</v>
      </c>
      <c r="K133" s="20" t="str">
        <f t="shared" si="47"/>
        <v/>
      </c>
      <c r="L133" s="23"/>
      <c r="M133" s="21" t="str">
        <f t="shared" si="48"/>
        <v/>
      </c>
      <c r="N133" s="23" t="s">
        <v>132</v>
      </c>
      <c r="O133" s="21">
        <f t="shared" si="49"/>
        <v>1</v>
      </c>
      <c r="P133" s="23" t="s">
        <v>138</v>
      </c>
      <c r="Q133" s="21" t="str">
        <f t="shared" si="50"/>
        <v/>
      </c>
      <c r="R133" s="23"/>
      <c r="S133" s="21" t="str">
        <f t="shared" si="51"/>
        <v/>
      </c>
      <c r="T133" s="23"/>
      <c r="U133" s="21" t="str">
        <f t="shared" si="52"/>
        <v/>
      </c>
      <c r="V133" s="23"/>
      <c r="W133" s="21" t="str">
        <f t="shared" si="53"/>
        <v/>
      </c>
      <c r="X133" s="23"/>
      <c r="Y133" s="21" t="str">
        <f t="shared" si="54"/>
        <v/>
      </c>
      <c r="Z133" s="23"/>
      <c r="AA133" s="21" t="str">
        <f t="shared" si="55"/>
        <v/>
      </c>
      <c r="AB133" s="23"/>
      <c r="AC133" s="21" t="str">
        <f t="shared" si="56"/>
        <v/>
      </c>
      <c r="AD133" s="23"/>
      <c r="AG133" s="25" t="str">
        <f t="shared" si="45"/>
        <v/>
      </c>
      <c r="AK133" s="10" t="str">
        <f t="shared" ref="AK133:AK196" si="57">IF(B133="DEN (SD 21-24)",1,"")</f>
        <v/>
      </c>
      <c r="AL133" s="11">
        <f t="shared" ref="AL133:AL196" si="58">IF(B133="DEN (SD 25-32)",1,"")</f>
        <v>1</v>
      </c>
      <c r="AM133" s="11" t="str">
        <f t="shared" ref="AM133:AM196" si="59">IF(B133="SWE (SD 25-32)",1,"")</f>
        <v/>
      </c>
      <c r="AN133" s="11" t="str">
        <f t="shared" ref="AN133:AN196" si="60">IF(B133="POL (SD 21-24)",1,"")</f>
        <v/>
      </c>
      <c r="AO133" s="11" t="str">
        <f t="shared" ref="AO133:AO196" si="61">IF(B133="POL (SD 25-32)",1,"")</f>
        <v/>
      </c>
      <c r="AP133" s="11" t="str">
        <f t="shared" ref="AP133:AP196" si="62">IF(B133="LAT (SD 25-32)",1,"")</f>
        <v/>
      </c>
      <c r="AQ133" s="11" t="str">
        <f t="shared" ref="AQ133:AQ196" si="63">IF(B133="EST (SD 25-32)",1,"")</f>
        <v/>
      </c>
      <c r="AR133" s="11" t="str">
        <f t="shared" ref="AR133:AR196" si="64">IF(B133="GFR (SD 21-24)",1,"")</f>
        <v/>
      </c>
      <c r="AS133" s="11" t="str">
        <f t="shared" ref="AS133:AS196" si="65">IF(B133="LTU (SD 25-32)",1,"")</f>
        <v/>
      </c>
      <c r="AT133" s="12" t="str">
        <f t="shared" ref="AT133:AT196" si="66">IF(B133="RUS (SD 25-32)",1,"")</f>
        <v/>
      </c>
    </row>
    <row r="134" spans="1:46" ht="18.75" x14ac:dyDescent="0.25">
      <c r="A134" s="5" t="s">
        <v>26</v>
      </c>
      <c r="B134" t="str">
        <f>'Final list of total hauls pros'!M131</f>
        <v>DEN (SD 25-32)</v>
      </c>
      <c r="C134">
        <v>130</v>
      </c>
      <c r="D134">
        <f>'Final list of total hauls pros'!A131</f>
        <v>25313</v>
      </c>
      <c r="E134" t="str">
        <f t="shared" si="46"/>
        <v>25</v>
      </c>
      <c r="F134" t="str">
        <f>'Final list of total hauls pros'!B131</f>
        <v>41G7</v>
      </c>
      <c r="G134" t="str">
        <f>'Final list of total hauls pros'!I131</f>
        <v>SWE</v>
      </c>
      <c r="H134" t="str">
        <f>'Final list of total hauls pros'!L131</f>
        <v>25-32</v>
      </c>
      <c r="I134" t="str">
        <f t="shared" ref="I134:I197" si="67">IF(L134="+",$K$2,IF(N134="+",$M$2,IF(P134="+",$O$2,IF(R134="+",$Q$2,IF(T134="+",$S$2,IF(V134="+",$U$2,IF(X134="+",$W$2,IF(Z134="+",$Y$2,IF(AB134="+",$AA$2,IF(AD134="+",$AC$2,B134))))))))))</f>
        <v>SWE (SD 25-32)</v>
      </c>
      <c r="K134" s="20" t="str">
        <f t="shared" si="47"/>
        <v/>
      </c>
      <c r="L134" s="23"/>
      <c r="M134" s="21" t="str">
        <f t="shared" si="48"/>
        <v/>
      </c>
      <c r="N134" s="23" t="s">
        <v>132</v>
      </c>
      <c r="O134" s="21">
        <f t="shared" si="49"/>
        <v>1</v>
      </c>
      <c r="P134" s="23" t="s">
        <v>138</v>
      </c>
      <c r="Q134" s="21" t="str">
        <f t="shared" si="50"/>
        <v/>
      </c>
      <c r="R134" s="23"/>
      <c r="S134" s="21" t="str">
        <f t="shared" si="51"/>
        <v/>
      </c>
      <c r="T134" s="23"/>
      <c r="U134" s="21" t="str">
        <f t="shared" si="52"/>
        <v/>
      </c>
      <c r="V134" s="23"/>
      <c r="W134" s="21" t="str">
        <f t="shared" si="53"/>
        <v/>
      </c>
      <c r="X134" s="23"/>
      <c r="Y134" s="21" t="str">
        <f t="shared" si="54"/>
        <v/>
      </c>
      <c r="Z134" s="23"/>
      <c r="AA134" s="21" t="str">
        <f t="shared" si="55"/>
        <v/>
      </c>
      <c r="AB134" s="23"/>
      <c r="AC134" s="21" t="str">
        <f t="shared" si="56"/>
        <v/>
      </c>
      <c r="AD134" s="23"/>
      <c r="AG134" s="25" t="str">
        <f t="shared" ref="AG134:AG197" si="68">IF(SUM(K134:AC134)&lt;&gt;1,"FEJL","")</f>
        <v/>
      </c>
      <c r="AK134" s="10" t="str">
        <f t="shared" si="57"/>
        <v/>
      </c>
      <c r="AL134" s="11">
        <f t="shared" si="58"/>
        <v>1</v>
      </c>
      <c r="AM134" s="11" t="str">
        <f t="shared" si="59"/>
        <v/>
      </c>
      <c r="AN134" s="11" t="str">
        <f t="shared" si="60"/>
        <v/>
      </c>
      <c r="AO134" s="11" t="str">
        <f t="shared" si="61"/>
        <v/>
      </c>
      <c r="AP134" s="11" t="str">
        <f t="shared" si="62"/>
        <v/>
      </c>
      <c r="AQ134" s="11" t="str">
        <f t="shared" si="63"/>
        <v/>
      </c>
      <c r="AR134" s="11" t="str">
        <f t="shared" si="64"/>
        <v/>
      </c>
      <c r="AS134" s="11" t="str">
        <f t="shared" si="65"/>
        <v/>
      </c>
      <c r="AT134" s="12" t="str">
        <f t="shared" si="66"/>
        <v/>
      </c>
    </row>
    <row r="135" spans="1:46" ht="18.75" x14ac:dyDescent="0.25">
      <c r="A135" s="5" t="s">
        <v>26</v>
      </c>
      <c r="B135" t="str">
        <f>'Final list of total hauls pros'!M132</f>
        <v>SWE (SD 25-32)</v>
      </c>
      <c r="C135">
        <v>131</v>
      </c>
      <c r="D135">
        <f>'Final list of total hauls pros'!A132</f>
        <v>25315</v>
      </c>
      <c r="E135" t="str">
        <f t="shared" si="46"/>
        <v>25</v>
      </c>
      <c r="F135" t="str">
        <f>'Final list of total hauls pros'!B132</f>
        <v>41G6</v>
      </c>
      <c r="G135" t="str">
        <f>'Final list of total hauls pros'!I132</f>
        <v>SWE</v>
      </c>
      <c r="H135" t="str">
        <f>'Final list of total hauls pros'!L132</f>
        <v>25-32</v>
      </c>
      <c r="I135" t="str">
        <f t="shared" si="67"/>
        <v>SWE (SD 25-32)</v>
      </c>
      <c r="K135" s="20" t="str">
        <f t="shared" si="47"/>
        <v/>
      </c>
      <c r="L135" s="23"/>
      <c r="M135" s="21" t="str">
        <f t="shared" si="48"/>
        <v/>
      </c>
      <c r="N135" s="23"/>
      <c r="O135" s="21">
        <f t="shared" si="49"/>
        <v>1</v>
      </c>
      <c r="P135" s="23"/>
      <c r="Q135" s="21" t="str">
        <f t="shared" si="50"/>
        <v/>
      </c>
      <c r="R135" s="23"/>
      <c r="S135" s="21" t="str">
        <f t="shared" si="51"/>
        <v/>
      </c>
      <c r="T135" s="23"/>
      <c r="U135" s="21" t="str">
        <f t="shared" si="52"/>
        <v/>
      </c>
      <c r="V135" s="23"/>
      <c r="W135" s="21" t="str">
        <f t="shared" si="53"/>
        <v/>
      </c>
      <c r="X135" s="23"/>
      <c r="Y135" s="21" t="str">
        <f t="shared" si="54"/>
        <v/>
      </c>
      <c r="Z135" s="23"/>
      <c r="AA135" s="21" t="str">
        <f t="shared" si="55"/>
        <v/>
      </c>
      <c r="AB135" s="23"/>
      <c r="AC135" s="21" t="str">
        <f t="shared" si="56"/>
        <v/>
      </c>
      <c r="AD135" s="23"/>
      <c r="AG135" s="25" t="str">
        <f t="shared" si="68"/>
        <v/>
      </c>
      <c r="AK135" s="10" t="str">
        <f t="shared" si="57"/>
        <v/>
      </c>
      <c r="AL135" s="11" t="str">
        <f t="shared" si="58"/>
        <v/>
      </c>
      <c r="AM135" s="11">
        <f t="shared" si="59"/>
        <v>1</v>
      </c>
      <c r="AN135" s="11" t="str">
        <f t="shared" si="60"/>
        <v/>
      </c>
      <c r="AO135" s="11" t="str">
        <f t="shared" si="61"/>
        <v/>
      </c>
      <c r="AP135" s="11" t="str">
        <f t="shared" si="62"/>
        <v/>
      </c>
      <c r="AQ135" s="11" t="str">
        <f t="shared" si="63"/>
        <v/>
      </c>
      <c r="AR135" s="11" t="str">
        <f t="shared" si="64"/>
        <v/>
      </c>
      <c r="AS135" s="11" t="str">
        <f t="shared" si="65"/>
        <v/>
      </c>
      <c r="AT135" s="12" t="str">
        <f t="shared" si="66"/>
        <v/>
      </c>
    </row>
    <row r="136" spans="1:46" ht="18.75" x14ac:dyDescent="0.25">
      <c r="A136" s="5" t="s">
        <v>26</v>
      </c>
      <c r="B136" t="str">
        <f>'Final list of total hauls pros'!M133</f>
        <v>DEN (SD 25-32)</v>
      </c>
      <c r="C136">
        <v>132</v>
      </c>
      <c r="D136">
        <f>'Final list of total hauls pros'!A133</f>
        <v>25322</v>
      </c>
      <c r="E136" t="str">
        <f t="shared" si="46"/>
        <v>25</v>
      </c>
      <c r="F136" t="str">
        <f>'Final list of total hauls pros'!B133</f>
        <v>39G5</v>
      </c>
      <c r="G136" t="str">
        <f>'Final list of total hauls pros'!I133</f>
        <v>DEN</v>
      </c>
      <c r="H136" t="str">
        <f>'Final list of total hauls pros'!L133</f>
        <v>25-32</v>
      </c>
      <c r="I136" t="str">
        <f t="shared" si="67"/>
        <v>DEN (SD 25-32)</v>
      </c>
      <c r="K136" s="20" t="str">
        <f t="shared" si="47"/>
        <v/>
      </c>
      <c r="L136" s="23"/>
      <c r="M136" s="21">
        <f t="shared" si="48"/>
        <v>1</v>
      </c>
      <c r="N136" s="23"/>
      <c r="O136" s="21" t="str">
        <f t="shared" si="49"/>
        <v/>
      </c>
      <c r="P136" s="23"/>
      <c r="Q136" s="21" t="str">
        <f t="shared" si="50"/>
        <v/>
      </c>
      <c r="R136" s="23"/>
      <c r="S136" s="21" t="str">
        <f t="shared" si="51"/>
        <v/>
      </c>
      <c r="T136" s="23"/>
      <c r="U136" s="21" t="str">
        <f t="shared" si="52"/>
        <v/>
      </c>
      <c r="V136" s="23"/>
      <c r="W136" s="21" t="str">
        <f t="shared" si="53"/>
        <v/>
      </c>
      <c r="X136" s="23"/>
      <c r="Y136" s="21" t="str">
        <f t="shared" si="54"/>
        <v/>
      </c>
      <c r="Z136" s="23"/>
      <c r="AA136" s="21" t="str">
        <f t="shared" si="55"/>
        <v/>
      </c>
      <c r="AB136" s="23"/>
      <c r="AC136" s="21" t="str">
        <f t="shared" si="56"/>
        <v/>
      </c>
      <c r="AD136" s="23"/>
      <c r="AG136" s="25" t="str">
        <f t="shared" si="68"/>
        <v/>
      </c>
      <c r="AK136" s="10" t="str">
        <f t="shared" si="57"/>
        <v/>
      </c>
      <c r="AL136" s="11">
        <f t="shared" si="58"/>
        <v>1</v>
      </c>
      <c r="AM136" s="11" t="str">
        <f t="shared" si="59"/>
        <v/>
      </c>
      <c r="AN136" s="11" t="str">
        <f t="shared" si="60"/>
        <v/>
      </c>
      <c r="AO136" s="11" t="str">
        <f t="shared" si="61"/>
        <v/>
      </c>
      <c r="AP136" s="11" t="str">
        <f t="shared" si="62"/>
        <v/>
      </c>
      <c r="AQ136" s="11" t="str">
        <f t="shared" si="63"/>
        <v/>
      </c>
      <c r="AR136" s="11" t="str">
        <f t="shared" si="64"/>
        <v/>
      </c>
      <c r="AS136" s="11" t="str">
        <f t="shared" si="65"/>
        <v/>
      </c>
      <c r="AT136" s="12" t="str">
        <f t="shared" si="66"/>
        <v/>
      </c>
    </row>
    <row r="137" spans="1:46" ht="18.75" x14ac:dyDescent="0.25">
      <c r="A137" s="5" t="s">
        <v>26</v>
      </c>
      <c r="B137" t="str">
        <f>'Final list of total hauls pros'!M134</f>
        <v>POL (SD 25-32)</v>
      </c>
      <c r="C137">
        <v>133</v>
      </c>
      <c r="D137">
        <f>'Final list of total hauls pros'!A134</f>
        <v>25326</v>
      </c>
      <c r="E137" t="str">
        <f t="shared" si="46"/>
        <v>25</v>
      </c>
      <c r="F137" t="str">
        <f>'Final list of total hauls pros'!B134</f>
        <v>39G6</v>
      </c>
      <c r="G137" t="str">
        <f>'Final list of total hauls pros'!I134</f>
        <v>POL</v>
      </c>
      <c r="H137" t="str">
        <f>'Final list of total hauls pros'!L134</f>
        <v>25-32</v>
      </c>
      <c r="I137" t="str">
        <f t="shared" si="67"/>
        <v>DEN (SD 25-32)</v>
      </c>
      <c r="K137" s="20" t="str">
        <f t="shared" si="47"/>
        <v/>
      </c>
      <c r="L137" s="23"/>
      <c r="M137" s="21">
        <f t="shared" si="48"/>
        <v>1</v>
      </c>
      <c r="N137" s="23" t="s">
        <v>138</v>
      </c>
      <c r="O137" s="21" t="str">
        <f t="shared" si="49"/>
        <v/>
      </c>
      <c r="P137" s="23"/>
      <c r="Q137" s="21" t="str">
        <f t="shared" si="50"/>
        <v/>
      </c>
      <c r="R137" s="23"/>
      <c r="S137" s="21" t="str">
        <f t="shared" si="51"/>
        <v/>
      </c>
      <c r="T137" s="23" t="s">
        <v>132</v>
      </c>
      <c r="U137" s="21" t="str">
        <f t="shared" si="52"/>
        <v/>
      </c>
      <c r="V137" s="23"/>
      <c r="W137" s="21" t="str">
        <f t="shared" si="53"/>
        <v/>
      </c>
      <c r="X137" s="23"/>
      <c r="Y137" s="21" t="str">
        <f t="shared" si="54"/>
        <v/>
      </c>
      <c r="Z137" s="23"/>
      <c r="AA137" s="21" t="str">
        <f t="shared" si="55"/>
        <v/>
      </c>
      <c r="AB137" s="23"/>
      <c r="AC137" s="21" t="str">
        <f t="shared" si="56"/>
        <v/>
      </c>
      <c r="AD137" s="23"/>
      <c r="AG137" s="25" t="str">
        <f t="shared" si="68"/>
        <v/>
      </c>
      <c r="AK137" s="10" t="str">
        <f t="shared" si="57"/>
        <v/>
      </c>
      <c r="AL137" s="11" t="str">
        <f t="shared" si="58"/>
        <v/>
      </c>
      <c r="AM137" s="11" t="str">
        <f t="shared" si="59"/>
        <v/>
      </c>
      <c r="AN137" s="11" t="str">
        <f t="shared" si="60"/>
        <v/>
      </c>
      <c r="AO137" s="11">
        <f t="shared" si="61"/>
        <v>1</v>
      </c>
      <c r="AP137" s="11" t="str">
        <f t="shared" si="62"/>
        <v/>
      </c>
      <c r="AQ137" s="11" t="str">
        <f t="shared" si="63"/>
        <v/>
      </c>
      <c r="AR137" s="11" t="str">
        <f t="shared" si="64"/>
        <v/>
      </c>
      <c r="AS137" s="11" t="str">
        <f t="shared" si="65"/>
        <v/>
      </c>
      <c r="AT137" s="12" t="str">
        <f t="shared" si="66"/>
        <v/>
      </c>
    </row>
    <row r="138" spans="1:46" ht="18.75" x14ac:dyDescent="0.25">
      <c r="A138" s="5" t="s">
        <v>26</v>
      </c>
      <c r="B138" t="str">
        <f>'Final list of total hauls pros'!M135</f>
        <v>DEN (SD 25-32)</v>
      </c>
      <c r="C138">
        <v>134</v>
      </c>
      <c r="D138">
        <f>'Final list of total hauls pros'!A135</f>
        <v>25330</v>
      </c>
      <c r="E138" t="str">
        <f t="shared" si="46"/>
        <v>25</v>
      </c>
      <c r="F138" t="str">
        <f>'Final list of total hauls pros'!B135</f>
        <v>39G5</v>
      </c>
      <c r="G138" t="str">
        <f>'Final list of total hauls pros'!I135</f>
        <v>DEN</v>
      </c>
      <c r="H138" t="str">
        <f>'Final list of total hauls pros'!L135</f>
        <v>25-32</v>
      </c>
      <c r="I138" t="str">
        <f t="shared" si="67"/>
        <v>DEN (SD 25-32)</v>
      </c>
      <c r="K138" s="20" t="str">
        <f t="shared" si="47"/>
        <v/>
      </c>
      <c r="L138" s="23"/>
      <c r="M138" s="21">
        <f t="shared" si="48"/>
        <v>1</v>
      </c>
      <c r="N138" s="23"/>
      <c r="O138" s="21" t="str">
        <f t="shared" si="49"/>
        <v/>
      </c>
      <c r="P138" s="23"/>
      <c r="Q138" s="21" t="str">
        <f t="shared" si="50"/>
        <v/>
      </c>
      <c r="R138" s="23"/>
      <c r="S138" s="21" t="str">
        <f t="shared" si="51"/>
        <v/>
      </c>
      <c r="T138" s="23"/>
      <c r="U138" s="21" t="str">
        <f t="shared" si="52"/>
        <v/>
      </c>
      <c r="V138" s="23"/>
      <c r="W138" s="21" t="str">
        <f t="shared" si="53"/>
        <v/>
      </c>
      <c r="X138" s="23"/>
      <c r="Y138" s="21" t="str">
        <f t="shared" si="54"/>
        <v/>
      </c>
      <c r="Z138" s="23"/>
      <c r="AA138" s="21" t="str">
        <f t="shared" si="55"/>
        <v/>
      </c>
      <c r="AB138" s="23"/>
      <c r="AC138" s="21" t="str">
        <f t="shared" si="56"/>
        <v/>
      </c>
      <c r="AD138" s="23"/>
      <c r="AG138" s="25" t="str">
        <f t="shared" si="68"/>
        <v/>
      </c>
      <c r="AK138" s="10" t="str">
        <f t="shared" si="57"/>
        <v/>
      </c>
      <c r="AL138" s="11">
        <f t="shared" si="58"/>
        <v>1</v>
      </c>
      <c r="AM138" s="11" t="str">
        <f t="shared" si="59"/>
        <v/>
      </c>
      <c r="AN138" s="11" t="str">
        <f t="shared" si="60"/>
        <v/>
      </c>
      <c r="AO138" s="11" t="str">
        <f t="shared" si="61"/>
        <v/>
      </c>
      <c r="AP138" s="11" t="str">
        <f t="shared" si="62"/>
        <v/>
      </c>
      <c r="AQ138" s="11" t="str">
        <f t="shared" si="63"/>
        <v/>
      </c>
      <c r="AR138" s="11" t="str">
        <f t="shared" si="64"/>
        <v/>
      </c>
      <c r="AS138" s="11" t="str">
        <f t="shared" si="65"/>
        <v/>
      </c>
      <c r="AT138" s="12" t="str">
        <f t="shared" si="66"/>
        <v/>
      </c>
    </row>
    <row r="139" spans="1:46" ht="18.75" x14ac:dyDescent="0.25">
      <c r="A139" s="5" t="s">
        <v>26</v>
      </c>
      <c r="B139" t="str">
        <f>'Final list of total hauls pros'!M136</f>
        <v>DEN (SD 25-32)</v>
      </c>
      <c r="C139">
        <v>135</v>
      </c>
      <c r="D139">
        <f>'Final list of total hauls pros'!A136</f>
        <v>25331</v>
      </c>
      <c r="E139" t="str">
        <f t="shared" si="46"/>
        <v>25</v>
      </c>
      <c r="F139" t="str">
        <f>'Final list of total hauls pros'!B136</f>
        <v>39G6</v>
      </c>
      <c r="G139" t="str">
        <f>'Final list of total hauls pros'!I136</f>
        <v>DEN</v>
      </c>
      <c r="H139" t="str">
        <f>'Final list of total hauls pros'!L136</f>
        <v>25-32</v>
      </c>
      <c r="I139" t="str">
        <f t="shared" si="67"/>
        <v>DEN (SD 25-32)</v>
      </c>
      <c r="K139" s="20" t="str">
        <f t="shared" si="47"/>
        <v/>
      </c>
      <c r="L139" s="23"/>
      <c r="M139" s="21">
        <f t="shared" si="48"/>
        <v>1</v>
      </c>
      <c r="N139" s="23"/>
      <c r="O139" s="21" t="str">
        <f t="shared" si="49"/>
        <v/>
      </c>
      <c r="P139" s="23"/>
      <c r="Q139" s="21" t="str">
        <f t="shared" si="50"/>
        <v/>
      </c>
      <c r="R139" s="23"/>
      <c r="S139" s="21" t="str">
        <f t="shared" si="51"/>
        <v/>
      </c>
      <c r="T139" s="23"/>
      <c r="U139" s="21" t="str">
        <f t="shared" si="52"/>
        <v/>
      </c>
      <c r="V139" s="23"/>
      <c r="W139" s="21" t="str">
        <f t="shared" si="53"/>
        <v/>
      </c>
      <c r="X139" s="23"/>
      <c r="Y139" s="21" t="str">
        <f t="shared" si="54"/>
        <v/>
      </c>
      <c r="Z139" s="23"/>
      <c r="AA139" s="21" t="str">
        <f t="shared" si="55"/>
        <v/>
      </c>
      <c r="AB139" s="23"/>
      <c r="AC139" s="21" t="str">
        <f t="shared" si="56"/>
        <v/>
      </c>
      <c r="AD139" s="23"/>
      <c r="AG139" s="25" t="str">
        <f t="shared" si="68"/>
        <v/>
      </c>
      <c r="AK139" s="10" t="str">
        <f t="shared" si="57"/>
        <v/>
      </c>
      <c r="AL139" s="11">
        <f t="shared" si="58"/>
        <v>1</v>
      </c>
      <c r="AM139" s="11" t="str">
        <f t="shared" si="59"/>
        <v/>
      </c>
      <c r="AN139" s="11" t="str">
        <f t="shared" si="60"/>
        <v/>
      </c>
      <c r="AO139" s="11" t="str">
        <f t="shared" si="61"/>
        <v/>
      </c>
      <c r="AP139" s="11" t="str">
        <f t="shared" si="62"/>
        <v/>
      </c>
      <c r="AQ139" s="11" t="str">
        <f t="shared" si="63"/>
        <v/>
      </c>
      <c r="AR139" s="11" t="str">
        <f t="shared" si="64"/>
        <v/>
      </c>
      <c r="AS139" s="11" t="str">
        <f t="shared" si="65"/>
        <v/>
      </c>
      <c r="AT139" s="12" t="str">
        <f t="shared" si="66"/>
        <v/>
      </c>
    </row>
    <row r="140" spans="1:46" ht="18.75" x14ac:dyDescent="0.25">
      <c r="A140" s="5" t="s">
        <v>26</v>
      </c>
      <c r="B140" t="str">
        <f>'Final list of total hauls pros'!M137</f>
        <v>POL (SD 25-32)</v>
      </c>
      <c r="C140">
        <v>136</v>
      </c>
      <c r="D140">
        <f>'Final list of total hauls pros'!A137</f>
        <v>25339</v>
      </c>
      <c r="E140" t="str">
        <f t="shared" si="46"/>
        <v>25</v>
      </c>
      <c r="F140" t="str">
        <f>'Final list of total hauls pros'!B137</f>
        <v>39G7</v>
      </c>
      <c r="G140" t="str">
        <f>'Final list of total hauls pros'!I137</f>
        <v>POL</v>
      </c>
      <c r="H140" t="str">
        <f>'Final list of total hauls pros'!L137</f>
        <v>25-32</v>
      </c>
      <c r="I140" t="str">
        <f t="shared" si="67"/>
        <v>DEN (SD 25-32)</v>
      </c>
      <c r="K140" s="20" t="str">
        <f t="shared" si="47"/>
        <v/>
      </c>
      <c r="L140" s="23"/>
      <c r="M140" s="21">
        <f t="shared" si="48"/>
        <v>1</v>
      </c>
      <c r="N140" s="23" t="s">
        <v>138</v>
      </c>
      <c r="O140" s="21" t="str">
        <f t="shared" si="49"/>
        <v/>
      </c>
      <c r="P140" s="23"/>
      <c r="Q140" s="21" t="str">
        <f t="shared" si="50"/>
        <v/>
      </c>
      <c r="R140" s="23"/>
      <c r="S140" s="21" t="str">
        <f t="shared" si="51"/>
        <v/>
      </c>
      <c r="T140" s="23" t="s">
        <v>132</v>
      </c>
      <c r="U140" s="21" t="str">
        <f t="shared" si="52"/>
        <v/>
      </c>
      <c r="V140" s="23"/>
      <c r="W140" s="21" t="str">
        <f t="shared" si="53"/>
        <v/>
      </c>
      <c r="X140" s="23"/>
      <c r="Y140" s="21" t="str">
        <f t="shared" si="54"/>
        <v/>
      </c>
      <c r="Z140" s="23"/>
      <c r="AA140" s="21" t="str">
        <f t="shared" si="55"/>
        <v/>
      </c>
      <c r="AB140" s="23"/>
      <c r="AC140" s="21" t="str">
        <f t="shared" si="56"/>
        <v/>
      </c>
      <c r="AD140" s="23"/>
      <c r="AG140" s="25" t="str">
        <f t="shared" si="68"/>
        <v/>
      </c>
      <c r="AK140" s="10" t="str">
        <f t="shared" si="57"/>
        <v/>
      </c>
      <c r="AL140" s="11" t="str">
        <f t="shared" si="58"/>
        <v/>
      </c>
      <c r="AM140" s="11" t="str">
        <f t="shared" si="59"/>
        <v/>
      </c>
      <c r="AN140" s="11" t="str">
        <f t="shared" si="60"/>
        <v/>
      </c>
      <c r="AO140" s="11">
        <f t="shared" si="61"/>
        <v>1</v>
      </c>
      <c r="AP140" s="11" t="str">
        <f t="shared" si="62"/>
        <v/>
      </c>
      <c r="AQ140" s="11" t="str">
        <f t="shared" si="63"/>
        <v/>
      </c>
      <c r="AR140" s="11" t="str">
        <f t="shared" si="64"/>
        <v/>
      </c>
      <c r="AS140" s="11" t="str">
        <f t="shared" si="65"/>
        <v/>
      </c>
      <c r="AT140" s="12" t="str">
        <f t="shared" si="66"/>
        <v/>
      </c>
    </row>
    <row r="141" spans="1:46" ht="18.75" x14ac:dyDescent="0.25">
      <c r="A141" s="5" t="s">
        <v>26</v>
      </c>
      <c r="B141" t="str">
        <f>'Final list of total hauls pros'!M138</f>
        <v>DEN (SD 25-32)</v>
      </c>
      <c r="C141">
        <v>137</v>
      </c>
      <c r="D141">
        <f>'Final list of total hauls pros'!A138</f>
        <v>25342</v>
      </c>
      <c r="E141" t="str">
        <f t="shared" si="46"/>
        <v>25</v>
      </c>
      <c r="F141" t="str">
        <f>'Final list of total hauls pros'!B138</f>
        <v>39G5</v>
      </c>
      <c r="G141" t="str">
        <f>'Final list of total hauls pros'!I138</f>
        <v>DEN</v>
      </c>
      <c r="H141" t="str">
        <f>'Final list of total hauls pros'!L138</f>
        <v>25-32</v>
      </c>
      <c r="I141" t="str">
        <f t="shared" si="67"/>
        <v>DEN (SD 25-32)</v>
      </c>
      <c r="K141" s="20" t="str">
        <f t="shared" si="47"/>
        <v/>
      </c>
      <c r="L141" s="23"/>
      <c r="M141" s="21">
        <f t="shared" si="48"/>
        <v>1</v>
      </c>
      <c r="N141" s="23"/>
      <c r="O141" s="21" t="str">
        <f t="shared" si="49"/>
        <v/>
      </c>
      <c r="P141" s="23"/>
      <c r="Q141" s="21" t="str">
        <f t="shared" si="50"/>
        <v/>
      </c>
      <c r="R141" s="23"/>
      <c r="S141" s="21" t="str">
        <f t="shared" si="51"/>
        <v/>
      </c>
      <c r="T141" s="23"/>
      <c r="U141" s="21" t="str">
        <f t="shared" si="52"/>
        <v/>
      </c>
      <c r="V141" s="23"/>
      <c r="W141" s="21" t="str">
        <f t="shared" si="53"/>
        <v/>
      </c>
      <c r="X141" s="23"/>
      <c r="Y141" s="21" t="str">
        <f t="shared" si="54"/>
        <v/>
      </c>
      <c r="Z141" s="23"/>
      <c r="AA141" s="21" t="str">
        <f t="shared" si="55"/>
        <v/>
      </c>
      <c r="AB141" s="23"/>
      <c r="AC141" s="21" t="str">
        <f t="shared" si="56"/>
        <v/>
      </c>
      <c r="AD141" s="23"/>
      <c r="AG141" s="25" t="str">
        <f t="shared" si="68"/>
        <v/>
      </c>
      <c r="AK141" s="10" t="str">
        <f t="shared" si="57"/>
        <v/>
      </c>
      <c r="AL141" s="11">
        <f t="shared" si="58"/>
        <v>1</v>
      </c>
      <c r="AM141" s="11" t="str">
        <f t="shared" si="59"/>
        <v/>
      </c>
      <c r="AN141" s="11" t="str">
        <f t="shared" si="60"/>
        <v/>
      </c>
      <c r="AO141" s="11" t="str">
        <f t="shared" si="61"/>
        <v/>
      </c>
      <c r="AP141" s="11" t="str">
        <f t="shared" si="62"/>
        <v/>
      </c>
      <c r="AQ141" s="11" t="str">
        <f t="shared" si="63"/>
        <v/>
      </c>
      <c r="AR141" s="11" t="str">
        <f t="shared" si="64"/>
        <v/>
      </c>
      <c r="AS141" s="11" t="str">
        <f t="shared" si="65"/>
        <v/>
      </c>
      <c r="AT141" s="12" t="str">
        <f t="shared" si="66"/>
        <v/>
      </c>
    </row>
    <row r="142" spans="1:46" ht="18.75" x14ac:dyDescent="0.25">
      <c r="A142" s="5" t="s">
        <v>26</v>
      </c>
      <c r="B142" t="str">
        <f>'Final list of total hauls pros'!M139</f>
        <v>DEN (SD 25-32)</v>
      </c>
      <c r="C142">
        <v>138</v>
      </c>
      <c r="D142">
        <f>'Final list of total hauls pros'!A139</f>
        <v>25344</v>
      </c>
      <c r="E142" t="str">
        <f t="shared" si="46"/>
        <v>25</v>
      </c>
      <c r="F142" t="str">
        <f>'Final list of total hauls pros'!B139</f>
        <v>39G5</v>
      </c>
      <c r="G142" t="str">
        <f>'Final list of total hauls pros'!I139</f>
        <v>DEN</v>
      </c>
      <c r="H142" t="str">
        <f>'Final list of total hauls pros'!L139</f>
        <v>25-32</v>
      </c>
      <c r="I142" t="str">
        <f t="shared" si="67"/>
        <v>DEN (SD 25-32)</v>
      </c>
      <c r="K142" s="20" t="str">
        <f t="shared" si="47"/>
        <v/>
      </c>
      <c r="L142" s="23"/>
      <c r="M142" s="21">
        <f t="shared" si="48"/>
        <v>1</v>
      </c>
      <c r="N142" s="23"/>
      <c r="O142" s="21" t="str">
        <f t="shared" si="49"/>
        <v/>
      </c>
      <c r="P142" s="23"/>
      <c r="Q142" s="21" t="str">
        <f t="shared" si="50"/>
        <v/>
      </c>
      <c r="R142" s="23"/>
      <c r="S142" s="21" t="str">
        <f t="shared" si="51"/>
        <v/>
      </c>
      <c r="T142" s="23"/>
      <c r="U142" s="21" t="str">
        <f t="shared" si="52"/>
        <v/>
      </c>
      <c r="V142" s="23"/>
      <c r="W142" s="21" t="str">
        <f t="shared" si="53"/>
        <v/>
      </c>
      <c r="X142" s="23"/>
      <c r="Y142" s="21" t="str">
        <f t="shared" si="54"/>
        <v/>
      </c>
      <c r="Z142" s="23"/>
      <c r="AA142" s="21" t="str">
        <f t="shared" si="55"/>
        <v/>
      </c>
      <c r="AB142" s="23"/>
      <c r="AC142" s="21" t="str">
        <f t="shared" si="56"/>
        <v/>
      </c>
      <c r="AD142" s="23"/>
      <c r="AG142" s="25" t="str">
        <f t="shared" si="68"/>
        <v/>
      </c>
      <c r="AK142" s="10" t="str">
        <f t="shared" si="57"/>
        <v/>
      </c>
      <c r="AL142" s="11">
        <f t="shared" si="58"/>
        <v>1</v>
      </c>
      <c r="AM142" s="11" t="str">
        <f t="shared" si="59"/>
        <v/>
      </c>
      <c r="AN142" s="11" t="str">
        <f t="shared" si="60"/>
        <v/>
      </c>
      <c r="AO142" s="11" t="str">
        <f t="shared" si="61"/>
        <v/>
      </c>
      <c r="AP142" s="11" t="str">
        <f t="shared" si="62"/>
        <v/>
      </c>
      <c r="AQ142" s="11" t="str">
        <f t="shared" si="63"/>
        <v/>
      </c>
      <c r="AR142" s="11" t="str">
        <f t="shared" si="64"/>
        <v/>
      </c>
      <c r="AS142" s="11" t="str">
        <f t="shared" si="65"/>
        <v/>
      </c>
      <c r="AT142" s="12" t="str">
        <f t="shared" si="66"/>
        <v/>
      </c>
    </row>
    <row r="143" spans="1:46" ht="18.75" x14ac:dyDescent="0.25">
      <c r="A143" s="5" t="s">
        <v>26</v>
      </c>
      <c r="B143" t="str">
        <f>'Final list of total hauls pros'!M140</f>
        <v>DEN (SD 25-32)</v>
      </c>
      <c r="C143">
        <v>139</v>
      </c>
      <c r="D143">
        <f>'Final list of total hauls pros'!A140</f>
        <v>25359</v>
      </c>
      <c r="E143" t="str">
        <f t="shared" si="46"/>
        <v>25</v>
      </c>
      <c r="F143" t="str">
        <f>'Final list of total hauls pros'!B140</f>
        <v>40G6</v>
      </c>
      <c r="G143" t="str">
        <f>'Final list of total hauls pros'!I140</f>
        <v>SWE</v>
      </c>
      <c r="H143" t="str">
        <f>'Final list of total hauls pros'!L140</f>
        <v>25-32</v>
      </c>
      <c r="I143" t="str">
        <f t="shared" si="67"/>
        <v>SWE (SD 25-32)</v>
      </c>
      <c r="K143" s="20" t="str">
        <f t="shared" si="47"/>
        <v/>
      </c>
      <c r="L143" s="23"/>
      <c r="M143" s="21" t="str">
        <f t="shared" si="48"/>
        <v/>
      </c>
      <c r="N143" s="23" t="s">
        <v>132</v>
      </c>
      <c r="O143" s="21">
        <f t="shared" si="49"/>
        <v>1</v>
      </c>
      <c r="P143" s="23" t="s">
        <v>138</v>
      </c>
      <c r="Q143" s="21" t="str">
        <f t="shared" si="50"/>
        <v/>
      </c>
      <c r="R143" s="23"/>
      <c r="S143" s="21" t="str">
        <f t="shared" si="51"/>
        <v/>
      </c>
      <c r="T143" s="23"/>
      <c r="U143" s="21" t="str">
        <f t="shared" si="52"/>
        <v/>
      </c>
      <c r="V143" s="23"/>
      <c r="W143" s="21" t="str">
        <f t="shared" si="53"/>
        <v/>
      </c>
      <c r="X143" s="23"/>
      <c r="Y143" s="21" t="str">
        <f t="shared" si="54"/>
        <v/>
      </c>
      <c r="Z143" s="23"/>
      <c r="AA143" s="21" t="str">
        <f t="shared" si="55"/>
        <v/>
      </c>
      <c r="AB143" s="23"/>
      <c r="AC143" s="21" t="str">
        <f t="shared" si="56"/>
        <v/>
      </c>
      <c r="AD143" s="23"/>
      <c r="AG143" s="25" t="str">
        <f t="shared" si="68"/>
        <v/>
      </c>
      <c r="AK143" s="10" t="str">
        <f t="shared" si="57"/>
        <v/>
      </c>
      <c r="AL143" s="11">
        <f t="shared" si="58"/>
        <v>1</v>
      </c>
      <c r="AM143" s="11" t="str">
        <f t="shared" si="59"/>
        <v/>
      </c>
      <c r="AN143" s="11" t="str">
        <f t="shared" si="60"/>
        <v/>
      </c>
      <c r="AO143" s="11" t="str">
        <f t="shared" si="61"/>
        <v/>
      </c>
      <c r="AP143" s="11" t="str">
        <f t="shared" si="62"/>
        <v/>
      </c>
      <c r="AQ143" s="11" t="str">
        <f t="shared" si="63"/>
        <v/>
      </c>
      <c r="AR143" s="11" t="str">
        <f t="shared" si="64"/>
        <v/>
      </c>
      <c r="AS143" s="11" t="str">
        <f t="shared" si="65"/>
        <v/>
      </c>
      <c r="AT143" s="12" t="str">
        <f t="shared" si="66"/>
        <v/>
      </c>
    </row>
    <row r="144" spans="1:46" ht="18.75" x14ac:dyDescent="0.25">
      <c r="A144" s="5" t="s">
        <v>26</v>
      </c>
      <c r="B144" t="str">
        <f>'Final list of total hauls pros'!M141</f>
        <v>POL (SD 25-32)</v>
      </c>
      <c r="C144">
        <v>140</v>
      </c>
      <c r="D144">
        <f>'Final list of total hauls pros'!A141</f>
        <v>25364</v>
      </c>
      <c r="E144" t="str">
        <f t="shared" si="46"/>
        <v>25</v>
      </c>
      <c r="F144" t="str">
        <f>'Final list of total hauls pros'!B141</f>
        <v>38G7</v>
      </c>
      <c r="G144" t="str">
        <f>'Final list of total hauls pros'!I141</f>
        <v>POL</v>
      </c>
      <c r="H144" t="str">
        <f>'Final list of total hauls pros'!L141</f>
        <v>25-32</v>
      </c>
      <c r="I144" t="str">
        <f t="shared" si="67"/>
        <v>DEN (SD 25-32)</v>
      </c>
      <c r="K144" s="20" t="str">
        <f t="shared" si="47"/>
        <v/>
      </c>
      <c r="L144" s="23"/>
      <c r="M144" s="21">
        <f t="shared" si="48"/>
        <v>1</v>
      </c>
      <c r="N144" s="23" t="s">
        <v>138</v>
      </c>
      <c r="O144" s="21" t="str">
        <f t="shared" si="49"/>
        <v/>
      </c>
      <c r="P144" s="23"/>
      <c r="Q144" s="21" t="str">
        <f t="shared" si="50"/>
        <v/>
      </c>
      <c r="R144" s="23"/>
      <c r="S144" s="21" t="str">
        <f t="shared" si="51"/>
        <v/>
      </c>
      <c r="T144" s="23" t="s">
        <v>132</v>
      </c>
      <c r="U144" s="21" t="str">
        <f t="shared" si="52"/>
        <v/>
      </c>
      <c r="V144" s="23"/>
      <c r="W144" s="21" t="str">
        <f t="shared" si="53"/>
        <v/>
      </c>
      <c r="X144" s="23"/>
      <c r="Y144" s="21" t="str">
        <f t="shared" si="54"/>
        <v/>
      </c>
      <c r="Z144" s="23"/>
      <c r="AA144" s="21" t="str">
        <f t="shared" si="55"/>
        <v/>
      </c>
      <c r="AB144" s="23"/>
      <c r="AC144" s="21" t="str">
        <f t="shared" si="56"/>
        <v/>
      </c>
      <c r="AD144" s="23"/>
      <c r="AG144" s="25" t="str">
        <f t="shared" si="68"/>
        <v/>
      </c>
      <c r="AK144" s="10" t="str">
        <f t="shared" si="57"/>
        <v/>
      </c>
      <c r="AL144" s="11" t="str">
        <f t="shared" si="58"/>
        <v/>
      </c>
      <c r="AM144" s="11" t="str">
        <f t="shared" si="59"/>
        <v/>
      </c>
      <c r="AN144" s="11" t="str">
        <f t="shared" si="60"/>
        <v/>
      </c>
      <c r="AO144" s="11">
        <f t="shared" si="61"/>
        <v>1</v>
      </c>
      <c r="AP144" s="11" t="str">
        <f t="shared" si="62"/>
        <v/>
      </c>
      <c r="AQ144" s="11" t="str">
        <f t="shared" si="63"/>
        <v/>
      </c>
      <c r="AR144" s="11" t="str">
        <f t="shared" si="64"/>
        <v/>
      </c>
      <c r="AS144" s="11" t="str">
        <f t="shared" si="65"/>
        <v/>
      </c>
      <c r="AT144" s="12" t="str">
        <f t="shared" si="66"/>
        <v/>
      </c>
    </row>
    <row r="145" spans="1:46" ht="18.75" x14ac:dyDescent="0.25">
      <c r="A145" s="5" t="s">
        <v>26</v>
      </c>
      <c r="B145" t="str">
        <f>'Final list of total hauls pros'!M142</f>
        <v>DEN (SD 25-32)</v>
      </c>
      <c r="C145">
        <v>141</v>
      </c>
      <c r="D145">
        <f>'Final list of total hauls pros'!A142</f>
        <v>25389</v>
      </c>
      <c r="E145" t="str">
        <f t="shared" si="46"/>
        <v>25</v>
      </c>
      <c r="F145" t="str">
        <f>'Final list of total hauls pros'!B142</f>
        <v>40G6</v>
      </c>
      <c r="G145" t="str">
        <f>'Final list of total hauls pros'!I142</f>
        <v>SWE</v>
      </c>
      <c r="H145" t="str">
        <f>'Final list of total hauls pros'!L142</f>
        <v>25-32</v>
      </c>
      <c r="I145" t="str">
        <f t="shared" si="67"/>
        <v>SWE (SD 25-32)</v>
      </c>
      <c r="K145" s="20" t="str">
        <f t="shared" si="47"/>
        <v/>
      </c>
      <c r="L145" s="23"/>
      <c r="M145" s="21" t="str">
        <f t="shared" si="48"/>
        <v/>
      </c>
      <c r="N145" s="23" t="s">
        <v>132</v>
      </c>
      <c r="O145" s="21">
        <f t="shared" si="49"/>
        <v>1</v>
      </c>
      <c r="P145" s="23" t="s">
        <v>138</v>
      </c>
      <c r="Q145" s="21" t="str">
        <f t="shared" si="50"/>
        <v/>
      </c>
      <c r="R145" s="23"/>
      <c r="S145" s="21" t="str">
        <f t="shared" si="51"/>
        <v/>
      </c>
      <c r="T145" s="23"/>
      <c r="U145" s="21" t="str">
        <f t="shared" si="52"/>
        <v/>
      </c>
      <c r="V145" s="23"/>
      <c r="W145" s="21" t="str">
        <f t="shared" si="53"/>
        <v/>
      </c>
      <c r="X145" s="23"/>
      <c r="Y145" s="21" t="str">
        <f t="shared" si="54"/>
        <v/>
      </c>
      <c r="Z145" s="23"/>
      <c r="AA145" s="21" t="str">
        <f t="shared" si="55"/>
        <v/>
      </c>
      <c r="AB145" s="23"/>
      <c r="AC145" s="21" t="str">
        <f t="shared" si="56"/>
        <v/>
      </c>
      <c r="AD145" s="23"/>
      <c r="AG145" s="25" t="str">
        <f t="shared" si="68"/>
        <v/>
      </c>
      <c r="AK145" s="10" t="str">
        <f t="shared" si="57"/>
        <v/>
      </c>
      <c r="AL145" s="11">
        <f t="shared" si="58"/>
        <v>1</v>
      </c>
      <c r="AM145" s="11" t="str">
        <f t="shared" si="59"/>
        <v/>
      </c>
      <c r="AN145" s="11" t="str">
        <f t="shared" si="60"/>
        <v/>
      </c>
      <c r="AO145" s="11" t="str">
        <f t="shared" si="61"/>
        <v/>
      </c>
      <c r="AP145" s="11" t="str">
        <f t="shared" si="62"/>
        <v/>
      </c>
      <c r="AQ145" s="11" t="str">
        <f t="shared" si="63"/>
        <v/>
      </c>
      <c r="AR145" s="11" t="str">
        <f t="shared" si="64"/>
        <v/>
      </c>
      <c r="AS145" s="11" t="str">
        <f t="shared" si="65"/>
        <v/>
      </c>
      <c r="AT145" s="12" t="str">
        <f t="shared" si="66"/>
        <v/>
      </c>
    </row>
    <row r="146" spans="1:46" ht="18.75" x14ac:dyDescent="0.25">
      <c r="A146" s="5" t="s">
        <v>26</v>
      </c>
      <c r="B146" t="str">
        <f>'Final list of total hauls pros'!M143</f>
        <v>SWE (SD 25-32)</v>
      </c>
      <c r="C146">
        <v>142</v>
      </c>
      <c r="D146">
        <f>'Final list of total hauls pros'!A143</f>
        <v>25391</v>
      </c>
      <c r="E146" t="str">
        <f t="shared" ref="E146:E209" si="69">IF(D146&lt;&gt;"",LEFT(D146,2),"")</f>
        <v>25</v>
      </c>
      <c r="F146" t="str">
        <f>'Final list of total hauls pros'!B143</f>
        <v>40G4</v>
      </c>
      <c r="G146" t="str">
        <f>'Final list of total hauls pros'!I143</f>
        <v>SWE</v>
      </c>
      <c r="H146" t="str">
        <f>'Final list of total hauls pros'!L143</f>
        <v>25-32</v>
      </c>
      <c r="I146" t="str">
        <f t="shared" si="67"/>
        <v>SWE (SD 25-32)</v>
      </c>
      <c r="K146" s="20" t="str">
        <f t="shared" si="47"/>
        <v/>
      </c>
      <c r="L146" s="23"/>
      <c r="M146" s="21" t="str">
        <f t="shared" si="48"/>
        <v/>
      </c>
      <c r="N146" s="23"/>
      <c r="O146" s="21">
        <f t="shared" si="49"/>
        <v>1</v>
      </c>
      <c r="P146" s="23"/>
      <c r="Q146" s="21" t="str">
        <f t="shared" si="50"/>
        <v/>
      </c>
      <c r="R146" s="23"/>
      <c r="S146" s="21" t="str">
        <f t="shared" si="51"/>
        <v/>
      </c>
      <c r="T146" s="23"/>
      <c r="U146" s="21" t="str">
        <f t="shared" si="52"/>
        <v/>
      </c>
      <c r="V146" s="23"/>
      <c r="W146" s="21" t="str">
        <f t="shared" si="53"/>
        <v/>
      </c>
      <c r="X146" s="23"/>
      <c r="Y146" s="21" t="str">
        <f t="shared" si="54"/>
        <v/>
      </c>
      <c r="Z146" s="23"/>
      <c r="AA146" s="21" t="str">
        <f t="shared" si="55"/>
        <v/>
      </c>
      <c r="AB146" s="23"/>
      <c r="AC146" s="21" t="str">
        <f t="shared" si="56"/>
        <v/>
      </c>
      <c r="AD146" s="23"/>
      <c r="AG146" s="25" t="str">
        <f t="shared" si="68"/>
        <v/>
      </c>
      <c r="AK146" s="10" t="str">
        <f t="shared" si="57"/>
        <v/>
      </c>
      <c r="AL146" s="11" t="str">
        <f t="shared" si="58"/>
        <v/>
      </c>
      <c r="AM146" s="11">
        <f t="shared" si="59"/>
        <v>1</v>
      </c>
      <c r="AN146" s="11" t="str">
        <f t="shared" si="60"/>
        <v/>
      </c>
      <c r="AO146" s="11" t="str">
        <f t="shared" si="61"/>
        <v/>
      </c>
      <c r="AP146" s="11" t="str">
        <f t="shared" si="62"/>
        <v/>
      </c>
      <c r="AQ146" s="11" t="str">
        <f t="shared" si="63"/>
        <v/>
      </c>
      <c r="AR146" s="11" t="str">
        <f t="shared" si="64"/>
        <v/>
      </c>
      <c r="AS146" s="11" t="str">
        <f t="shared" si="65"/>
        <v/>
      </c>
      <c r="AT146" s="12" t="str">
        <f t="shared" si="66"/>
        <v/>
      </c>
    </row>
    <row r="147" spans="1:46" ht="18.75" x14ac:dyDescent="0.25">
      <c r="A147" s="5" t="s">
        <v>26</v>
      </c>
      <c r="B147" t="str">
        <f>'Final list of total hauls pros'!M144</f>
        <v>SWE (SD 25-32)</v>
      </c>
      <c r="C147">
        <v>143</v>
      </c>
      <c r="D147">
        <f>'Final list of total hauls pros'!A144</f>
        <v>25401</v>
      </c>
      <c r="E147" t="str">
        <f t="shared" si="69"/>
        <v>25</v>
      </c>
      <c r="F147" t="str">
        <f>'Final list of total hauls pros'!B144</f>
        <v>40G4</v>
      </c>
      <c r="G147" t="str">
        <f>'Final list of total hauls pros'!I144</f>
        <v>SWE</v>
      </c>
      <c r="H147" t="str">
        <f>'Final list of total hauls pros'!L144</f>
        <v>25-32</v>
      </c>
      <c r="I147" t="str">
        <f t="shared" si="67"/>
        <v>SWE (SD 25-32)</v>
      </c>
      <c r="K147" s="20" t="str">
        <f t="shared" si="47"/>
        <v/>
      </c>
      <c r="L147" s="23"/>
      <c r="M147" s="21" t="str">
        <f t="shared" si="48"/>
        <v/>
      </c>
      <c r="N147" s="23"/>
      <c r="O147" s="21">
        <f t="shared" si="49"/>
        <v>1</v>
      </c>
      <c r="P147" s="23"/>
      <c r="Q147" s="21" t="str">
        <f t="shared" si="50"/>
        <v/>
      </c>
      <c r="R147" s="23"/>
      <c r="S147" s="21" t="str">
        <f t="shared" si="51"/>
        <v/>
      </c>
      <c r="T147" s="23"/>
      <c r="U147" s="21" t="str">
        <f t="shared" si="52"/>
        <v/>
      </c>
      <c r="V147" s="23"/>
      <c r="W147" s="21" t="str">
        <f t="shared" si="53"/>
        <v/>
      </c>
      <c r="X147" s="23"/>
      <c r="Y147" s="21" t="str">
        <f t="shared" si="54"/>
        <v/>
      </c>
      <c r="Z147" s="23"/>
      <c r="AA147" s="21" t="str">
        <f t="shared" si="55"/>
        <v/>
      </c>
      <c r="AB147" s="23"/>
      <c r="AC147" s="21" t="str">
        <f t="shared" si="56"/>
        <v/>
      </c>
      <c r="AD147" s="23"/>
      <c r="AG147" s="25" t="str">
        <f t="shared" si="68"/>
        <v/>
      </c>
      <c r="AK147" s="10" t="str">
        <f t="shared" si="57"/>
        <v/>
      </c>
      <c r="AL147" s="11" t="str">
        <f t="shared" si="58"/>
        <v/>
      </c>
      <c r="AM147" s="11">
        <f t="shared" si="59"/>
        <v>1</v>
      </c>
      <c r="AN147" s="11" t="str">
        <f t="shared" si="60"/>
        <v/>
      </c>
      <c r="AO147" s="11" t="str">
        <f t="shared" si="61"/>
        <v/>
      </c>
      <c r="AP147" s="11" t="str">
        <f t="shared" si="62"/>
        <v/>
      </c>
      <c r="AQ147" s="11" t="str">
        <f t="shared" si="63"/>
        <v/>
      </c>
      <c r="AR147" s="11" t="str">
        <f t="shared" si="64"/>
        <v/>
      </c>
      <c r="AS147" s="11" t="str">
        <f t="shared" si="65"/>
        <v/>
      </c>
      <c r="AT147" s="12" t="str">
        <f t="shared" si="66"/>
        <v/>
      </c>
    </row>
    <row r="148" spans="1:46" ht="18.75" x14ac:dyDescent="0.25">
      <c r="A148" s="5" t="s">
        <v>26</v>
      </c>
      <c r="B148" t="str">
        <f>'Final list of total hauls pros'!M145</f>
        <v>SWE (SD 25-32)</v>
      </c>
      <c r="C148">
        <v>144</v>
      </c>
      <c r="D148">
        <f>'Final list of total hauls pros'!A145</f>
        <v>25404</v>
      </c>
      <c r="E148" t="str">
        <f t="shared" si="69"/>
        <v>25</v>
      </c>
      <c r="F148" t="str">
        <f>'Final list of total hauls pros'!B145</f>
        <v>40G5</v>
      </c>
      <c r="G148" t="str">
        <f>'Final list of total hauls pros'!I145</f>
        <v>SWE</v>
      </c>
      <c r="H148" t="str">
        <f>'Final list of total hauls pros'!L145</f>
        <v>25-32</v>
      </c>
      <c r="I148" t="str">
        <f t="shared" si="67"/>
        <v>SWE (SD 25-32)</v>
      </c>
      <c r="K148" s="20" t="str">
        <f t="shared" si="47"/>
        <v/>
      </c>
      <c r="L148" s="23"/>
      <c r="M148" s="21" t="str">
        <f t="shared" si="48"/>
        <v/>
      </c>
      <c r="N148" s="23"/>
      <c r="O148" s="21">
        <f t="shared" si="49"/>
        <v>1</v>
      </c>
      <c r="P148" s="23"/>
      <c r="Q148" s="21" t="str">
        <f t="shared" si="50"/>
        <v/>
      </c>
      <c r="R148" s="23"/>
      <c r="S148" s="21" t="str">
        <f t="shared" si="51"/>
        <v/>
      </c>
      <c r="T148" s="23"/>
      <c r="U148" s="21" t="str">
        <f t="shared" si="52"/>
        <v/>
      </c>
      <c r="V148" s="23"/>
      <c r="W148" s="21" t="str">
        <f t="shared" si="53"/>
        <v/>
      </c>
      <c r="X148" s="23"/>
      <c r="Y148" s="21" t="str">
        <f t="shared" si="54"/>
        <v/>
      </c>
      <c r="Z148" s="23"/>
      <c r="AA148" s="21" t="str">
        <f t="shared" si="55"/>
        <v/>
      </c>
      <c r="AB148" s="23"/>
      <c r="AC148" s="21" t="str">
        <f t="shared" si="56"/>
        <v/>
      </c>
      <c r="AD148" s="23"/>
      <c r="AG148" s="25" t="str">
        <f t="shared" si="68"/>
        <v/>
      </c>
      <c r="AK148" s="10" t="str">
        <f t="shared" si="57"/>
        <v/>
      </c>
      <c r="AL148" s="11" t="str">
        <f t="shared" si="58"/>
        <v/>
      </c>
      <c r="AM148" s="11">
        <f t="shared" si="59"/>
        <v>1</v>
      </c>
      <c r="AN148" s="11" t="str">
        <f t="shared" si="60"/>
        <v/>
      </c>
      <c r="AO148" s="11" t="str">
        <f t="shared" si="61"/>
        <v/>
      </c>
      <c r="AP148" s="11" t="str">
        <f t="shared" si="62"/>
        <v/>
      </c>
      <c r="AQ148" s="11" t="str">
        <f t="shared" si="63"/>
        <v/>
      </c>
      <c r="AR148" s="11" t="str">
        <f t="shared" si="64"/>
        <v/>
      </c>
      <c r="AS148" s="11" t="str">
        <f t="shared" si="65"/>
        <v/>
      </c>
      <c r="AT148" s="12" t="str">
        <f t="shared" si="66"/>
        <v/>
      </c>
    </row>
    <row r="149" spans="1:46" ht="18.75" x14ac:dyDescent="0.25">
      <c r="A149" s="5" t="s">
        <v>26</v>
      </c>
      <c r="B149" t="str">
        <f>'Final list of total hauls pros'!M146</f>
        <v>SWE (SD 25-32)</v>
      </c>
      <c r="C149">
        <v>145</v>
      </c>
      <c r="D149">
        <f>'Final list of total hauls pros'!A146</f>
        <v>25409</v>
      </c>
      <c r="E149" t="str">
        <f t="shared" si="69"/>
        <v>25</v>
      </c>
      <c r="F149" t="str">
        <f>'Final list of total hauls pros'!B146</f>
        <v>40G5</v>
      </c>
      <c r="G149" t="str">
        <f>'Final list of total hauls pros'!I146</f>
        <v>SWE</v>
      </c>
      <c r="H149" t="str">
        <f>'Final list of total hauls pros'!L146</f>
        <v>25-32</v>
      </c>
      <c r="I149" t="str">
        <f t="shared" si="67"/>
        <v>SWE (SD 25-32)</v>
      </c>
      <c r="K149" s="20" t="str">
        <f t="shared" si="47"/>
        <v/>
      </c>
      <c r="L149" s="23"/>
      <c r="M149" s="21" t="str">
        <f t="shared" si="48"/>
        <v/>
      </c>
      <c r="N149" s="23"/>
      <c r="O149" s="21">
        <f t="shared" si="49"/>
        <v>1</v>
      </c>
      <c r="P149" s="23"/>
      <c r="Q149" s="21" t="str">
        <f t="shared" si="50"/>
        <v/>
      </c>
      <c r="R149" s="23"/>
      <c r="S149" s="21" t="str">
        <f t="shared" si="51"/>
        <v/>
      </c>
      <c r="T149" s="23"/>
      <c r="U149" s="21" t="str">
        <f t="shared" si="52"/>
        <v/>
      </c>
      <c r="V149" s="23"/>
      <c r="W149" s="21" t="str">
        <f t="shared" si="53"/>
        <v/>
      </c>
      <c r="X149" s="23"/>
      <c r="Y149" s="21" t="str">
        <f t="shared" si="54"/>
        <v/>
      </c>
      <c r="Z149" s="23"/>
      <c r="AA149" s="21" t="str">
        <f t="shared" si="55"/>
        <v/>
      </c>
      <c r="AB149" s="23"/>
      <c r="AC149" s="21" t="str">
        <f t="shared" si="56"/>
        <v/>
      </c>
      <c r="AD149" s="23"/>
      <c r="AG149" s="25" t="str">
        <f t="shared" si="68"/>
        <v/>
      </c>
      <c r="AK149" s="10" t="str">
        <f t="shared" si="57"/>
        <v/>
      </c>
      <c r="AL149" s="11" t="str">
        <f t="shared" si="58"/>
        <v/>
      </c>
      <c r="AM149" s="11">
        <f t="shared" si="59"/>
        <v>1</v>
      </c>
      <c r="AN149" s="11" t="str">
        <f t="shared" si="60"/>
        <v/>
      </c>
      <c r="AO149" s="11" t="str">
        <f t="shared" si="61"/>
        <v/>
      </c>
      <c r="AP149" s="11" t="str">
        <f t="shared" si="62"/>
        <v/>
      </c>
      <c r="AQ149" s="11" t="str">
        <f t="shared" si="63"/>
        <v/>
      </c>
      <c r="AR149" s="11" t="str">
        <f t="shared" si="64"/>
        <v/>
      </c>
      <c r="AS149" s="11" t="str">
        <f t="shared" si="65"/>
        <v/>
      </c>
      <c r="AT149" s="12" t="str">
        <f t="shared" si="66"/>
        <v/>
      </c>
    </row>
    <row r="150" spans="1:46" ht="18.75" x14ac:dyDescent="0.25">
      <c r="A150" s="5" t="s">
        <v>26</v>
      </c>
      <c r="B150" t="str">
        <f>'Final list of total hauls pros'!M147</f>
        <v>SWE (SD 25-32)</v>
      </c>
      <c r="C150">
        <v>146</v>
      </c>
      <c r="D150">
        <f>'Final list of total hauls pros'!A147</f>
        <v>25418</v>
      </c>
      <c r="E150" t="str">
        <f t="shared" si="69"/>
        <v>25</v>
      </c>
      <c r="F150" t="str">
        <f>'Final list of total hauls pros'!B147</f>
        <v>40G4</v>
      </c>
      <c r="G150" t="str">
        <f>'Final list of total hauls pros'!I147</f>
        <v>SWE</v>
      </c>
      <c r="H150" t="str">
        <f>'Final list of total hauls pros'!L147</f>
        <v>25-32</v>
      </c>
      <c r="I150" t="str">
        <f t="shared" si="67"/>
        <v>SWE (SD 25-32)</v>
      </c>
      <c r="K150" s="20" t="str">
        <f t="shared" si="47"/>
        <v/>
      </c>
      <c r="L150" s="23"/>
      <c r="M150" s="21" t="str">
        <f t="shared" si="48"/>
        <v/>
      </c>
      <c r="N150" s="23"/>
      <c r="O150" s="21">
        <f t="shared" si="49"/>
        <v>1</v>
      </c>
      <c r="P150" s="23"/>
      <c r="Q150" s="21" t="str">
        <f t="shared" si="50"/>
        <v/>
      </c>
      <c r="R150" s="23"/>
      <c r="S150" s="21" t="str">
        <f t="shared" si="51"/>
        <v/>
      </c>
      <c r="T150" s="23"/>
      <c r="U150" s="21" t="str">
        <f t="shared" si="52"/>
        <v/>
      </c>
      <c r="V150" s="23"/>
      <c r="W150" s="21" t="str">
        <f t="shared" si="53"/>
        <v/>
      </c>
      <c r="X150" s="23"/>
      <c r="Y150" s="21" t="str">
        <f t="shared" si="54"/>
        <v/>
      </c>
      <c r="Z150" s="23"/>
      <c r="AA150" s="21" t="str">
        <f t="shared" si="55"/>
        <v/>
      </c>
      <c r="AB150" s="23"/>
      <c r="AC150" s="21" t="str">
        <f t="shared" si="56"/>
        <v/>
      </c>
      <c r="AD150" s="23"/>
      <c r="AG150" s="25" t="str">
        <f t="shared" si="68"/>
        <v/>
      </c>
      <c r="AK150" s="10" t="str">
        <f t="shared" si="57"/>
        <v/>
      </c>
      <c r="AL150" s="11" t="str">
        <f t="shared" si="58"/>
        <v/>
      </c>
      <c r="AM150" s="11">
        <f t="shared" si="59"/>
        <v>1</v>
      </c>
      <c r="AN150" s="11" t="str">
        <f t="shared" si="60"/>
        <v/>
      </c>
      <c r="AO150" s="11" t="str">
        <f t="shared" si="61"/>
        <v/>
      </c>
      <c r="AP150" s="11" t="str">
        <f t="shared" si="62"/>
        <v/>
      </c>
      <c r="AQ150" s="11" t="str">
        <f t="shared" si="63"/>
        <v/>
      </c>
      <c r="AR150" s="11" t="str">
        <f t="shared" si="64"/>
        <v/>
      </c>
      <c r="AS150" s="11" t="str">
        <f t="shared" si="65"/>
        <v/>
      </c>
      <c r="AT150" s="12" t="str">
        <f t="shared" si="66"/>
        <v/>
      </c>
    </row>
    <row r="151" spans="1:46" ht="18.75" x14ac:dyDescent="0.25">
      <c r="A151" s="5" t="s">
        <v>26</v>
      </c>
      <c r="B151" t="str">
        <f>'Final list of total hauls pros'!M148</f>
        <v>SWE (SD 25-32)</v>
      </c>
      <c r="C151">
        <v>147</v>
      </c>
      <c r="D151">
        <f>'Final list of total hauls pros'!A148</f>
        <v>25419</v>
      </c>
      <c r="E151" t="str">
        <f t="shared" si="69"/>
        <v>25</v>
      </c>
      <c r="F151" t="str">
        <f>'Final list of total hauls pros'!B148</f>
        <v>40G4</v>
      </c>
      <c r="G151" t="str">
        <f>'Final list of total hauls pros'!I148</f>
        <v>SWE</v>
      </c>
      <c r="H151" t="str">
        <f>'Final list of total hauls pros'!L148</f>
        <v>25-32</v>
      </c>
      <c r="I151" t="str">
        <f t="shared" si="67"/>
        <v>SWE (SD 25-32)</v>
      </c>
      <c r="K151" s="20" t="str">
        <f t="shared" si="47"/>
        <v/>
      </c>
      <c r="L151" s="23"/>
      <c r="M151" s="21" t="str">
        <f t="shared" si="48"/>
        <v/>
      </c>
      <c r="N151" s="23"/>
      <c r="O151" s="21">
        <f t="shared" si="49"/>
        <v>1</v>
      </c>
      <c r="P151" s="23"/>
      <c r="Q151" s="21" t="str">
        <f t="shared" si="50"/>
        <v/>
      </c>
      <c r="R151" s="23"/>
      <c r="S151" s="21" t="str">
        <f t="shared" si="51"/>
        <v/>
      </c>
      <c r="T151" s="23"/>
      <c r="U151" s="21" t="str">
        <f t="shared" si="52"/>
        <v/>
      </c>
      <c r="V151" s="23"/>
      <c r="W151" s="21" t="str">
        <f t="shared" si="53"/>
        <v/>
      </c>
      <c r="X151" s="23"/>
      <c r="Y151" s="21" t="str">
        <f t="shared" si="54"/>
        <v/>
      </c>
      <c r="Z151" s="23"/>
      <c r="AA151" s="21" t="str">
        <f t="shared" si="55"/>
        <v/>
      </c>
      <c r="AB151" s="23"/>
      <c r="AC151" s="21" t="str">
        <f t="shared" si="56"/>
        <v/>
      </c>
      <c r="AD151" s="23"/>
      <c r="AG151" s="25" t="str">
        <f t="shared" si="68"/>
        <v/>
      </c>
      <c r="AK151" s="10" t="str">
        <f t="shared" si="57"/>
        <v/>
      </c>
      <c r="AL151" s="11" t="str">
        <f t="shared" si="58"/>
        <v/>
      </c>
      <c r="AM151" s="11">
        <f t="shared" si="59"/>
        <v>1</v>
      </c>
      <c r="AN151" s="11" t="str">
        <f t="shared" si="60"/>
        <v/>
      </c>
      <c r="AO151" s="11" t="str">
        <f t="shared" si="61"/>
        <v/>
      </c>
      <c r="AP151" s="11" t="str">
        <f t="shared" si="62"/>
        <v/>
      </c>
      <c r="AQ151" s="11" t="str">
        <f t="shared" si="63"/>
        <v/>
      </c>
      <c r="AR151" s="11" t="str">
        <f t="shared" si="64"/>
        <v/>
      </c>
      <c r="AS151" s="11" t="str">
        <f t="shared" si="65"/>
        <v/>
      </c>
      <c r="AT151" s="12" t="str">
        <f t="shared" si="66"/>
        <v/>
      </c>
    </row>
    <row r="152" spans="1:46" ht="18.75" x14ac:dyDescent="0.25">
      <c r="A152" s="5" t="s">
        <v>26</v>
      </c>
      <c r="B152" t="str">
        <f>'Final list of total hauls pros'!M149</f>
        <v>SWE (SD 25-32)</v>
      </c>
      <c r="C152">
        <v>148</v>
      </c>
      <c r="D152">
        <f>'Final list of total hauls pros'!A149</f>
        <v>25426</v>
      </c>
      <c r="E152" t="str">
        <f t="shared" si="69"/>
        <v>25</v>
      </c>
      <c r="F152" t="str">
        <f>'Final list of total hauls pros'!B149</f>
        <v>40G5</v>
      </c>
      <c r="G152" t="str">
        <f>'Final list of total hauls pros'!I149</f>
        <v>SWE</v>
      </c>
      <c r="H152" t="str">
        <f>'Final list of total hauls pros'!L149</f>
        <v>25-32</v>
      </c>
      <c r="I152" t="str">
        <f t="shared" si="67"/>
        <v>SWE (SD 25-32)</v>
      </c>
      <c r="K152" s="20" t="str">
        <f t="shared" si="47"/>
        <v/>
      </c>
      <c r="L152" s="23"/>
      <c r="M152" s="21" t="str">
        <f t="shared" si="48"/>
        <v/>
      </c>
      <c r="N152" s="23"/>
      <c r="O152" s="21">
        <f t="shared" si="49"/>
        <v>1</v>
      </c>
      <c r="P152" s="23"/>
      <c r="Q152" s="21" t="str">
        <f t="shared" si="50"/>
        <v/>
      </c>
      <c r="R152" s="23"/>
      <c r="S152" s="21" t="str">
        <f t="shared" si="51"/>
        <v/>
      </c>
      <c r="T152" s="23"/>
      <c r="U152" s="21" t="str">
        <f t="shared" si="52"/>
        <v/>
      </c>
      <c r="V152" s="23"/>
      <c r="W152" s="21" t="str">
        <f t="shared" si="53"/>
        <v/>
      </c>
      <c r="X152" s="23"/>
      <c r="Y152" s="21" t="str">
        <f t="shared" si="54"/>
        <v/>
      </c>
      <c r="Z152" s="23"/>
      <c r="AA152" s="21" t="str">
        <f t="shared" si="55"/>
        <v/>
      </c>
      <c r="AB152" s="23"/>
      <c r="AC152" s="21" t="str">
        <f t="shared" si="56"/>
        <v/>
      </c>
      <c r="AD152" s="23"/>
      <c r="AG152" s="25" t="str">
        <f t="shared" si="68"/>
        <v/>
      </c>
      <c r="AK152" s="10" t="str">
        <f t="shared" si="57"/>
        <v/>
      </c>
      <c r="AL152" s="11" t="str">
        <f t="shared" si="58"/>
        <v/>
      </c>
      <c r="AM152" s="11">
        <f t="shared" si="59"/>
        <v>1</v>
      </c>
      <c r="AN152" s="11" t="str">
        <f t="shared" si="60"/>
        <v/>
      </c>
      <c r="AO152" s="11" t="str">
        <f t="shared" si="61"/>
        <v/>
      </c>
      <c r="AP152" s="11" t="str">
        <f t="shared" si="62"/>
        <v/>
      </c>
      <c r="AQ152" s="11" t="str">
        <f t="shared" si="63"/>
        <v/>
      </c>
      <c r="AR152" s="11" t="str">
        <f t="shared" si="64"/>
        <v/>
      </c>
      <c r="AS152" s="11" t="str">
        <f t="shared" si="65"/>
        <v/>
      </c>
      <c r="AT152" s="12" t="str">
        <f t="shared" si="66"/>
        <v/>
      </c>
    </row>
    <row r="153" spans="1:46" ht="18.75" x14ac:dyDescent="0.25">
      <c r="A153" s="5" t="s">
        <v>26</v>
      </c>
      <c r="B153" t="str">
        <f>'Final list of total hauls pros'!M150</f>
        <v>DEN (SD 25-32)</v>
      </c>
      <c r="C153">
        <v>149</v>
      </c>
      <c r="D153">
        <f>'Final list of total hauls pros'!A150</f>
        <v>25431</v>
      </c>
      <c r="E153" t="str">
        <f t="shared" si="69"/>
        <v>25</v>
      </c>
      <c r="F153" t="str">
        <f>'Final list of total hauls pros'!B150</f>
        <v>40G6</v>
      </c>
      <c r="G153" t="str">
        <f>'Final list of total hauls pros'!I150</f>
        <v>SWE</v>
      </c>
      <c r="H153" t="str">
        <f>'Final list of total hauls pros'!L150</f>
        <v>25-32</v>
      </c>
      <c r="I153" t="str">
        <f t="shared" si="67"/>
        <v>SWE (SD 25-32)</v>
      </c>
      <c r="K153" s="20" t="str">
        <f t="shared" ref="K153:K216" si="70">IF(L153="+",1,IF(L153="-","",IF(L153="",AK153)))</f>
        <v/>
      </c>
      <c r="L153" s="23"/>
      <c r="M153" s="21" t="str">
        <f t="shared" ref="M153:M216" si="71">IF(N153="+",1,IF(N153="-","",IF(N153="",AL153)))</f>
        <v/>
      </c>
      <c r="N153" s="23" t="s">
        <v>132</v>
      </c>
      <c r="O153" s="21">
        <f t="shared" ref="O153:O216" si="72">IF(P153="+",1,IF(P153="-","",IF(P153="",AM153)))</f>
        <v>1</v>
      </c>
      <c r="P153" s="23" t="s">
        <v>138</v>
      </c>
      <c r="Q153" s="21" t="str">
        <f t="shared" ref="Q153:Q216" si="73">IF(R153="+",1,IF(R153="-","",IF(R153="",AN153)))</f>
        <v/>
      </c>
      <c r="R153" s="23"/>
      <c r="S153" s="21" t="str">
        <f t="shared" ref="S153:S216" si="74">IF(T153="+",1,IF(T153="-","",IF(T153="",AO153)))</f>
        <v/>
      </c>
      <c r="T153" s="23"/>
      <c r="U153" s="21" t="str">
        <f t="shared" ref="U153:U216" si="75">IF(V153="+",1,IF(V153="-","",IF(V153="",AP153)))</f>
        <v/>
      </c>
      <c r="V153" s="23"/>
      <c r="W153" s="21" t="str">
        <f t="shared" ref="W153:W216" si="76">IF(X153="+",1,IF(X153="-","",IF(X153="",AQ153)))</f>
        <v/>
      </c>
      <c r="X153" s="23"/>
      <c r="Y153" s="21" t="str">
        <f t="shared" ref="Y153:Y216" si="77">IF(Z153="+",1,IF(Z153="-","",IF(Z153="",AR153)))</f>
        <v/>
      </c>
      <c r="Z153" s="23"/>
      <c r="AA153" s="21" t="str">
        <f t="shared" ref="AA153:AA216" si="78">IF(AB153="+",1,IF(AB153="-","",IF(AB153="",AS153)))</f>
        <v/>
      </c>
      <c r="AB153" s="23"/>
      <c r="AC153" s="21" t="str">
        <f t="shared" ref="AC153:AC216" si="79">IF(AD153="+",1,IF(AD153="-","",IF(AD153="",AT153)))</f>
        <v/>
      </c>
      <c r="AD153" s="23"/>
      <c r="AG153" s="25" t="str">
        <f t="shared" si="68"/>
        <v/>
      </c>
      <c r="AK153" s="10" t="str">
        <f t="shared" si="57"/>
        <v/>
      </c>
      <c r="AL153" s="11">
        <f t="shared" si="58"/>
        <v>1</v>
      </c>
      <c r="AM153" s="11" t="str">
        <f t="shared" si="59"/>
        <v/>
      </c>
      <c r="AN153" s="11" t="str">
        <f t="shared" si="60"/>
        <v/>
      </c>
      <c r="AO153" s="11" t="str">
        <f t="shared" si="61"/>
        <v/>
      </c>
      <c r="AP153" s="11" t="str">
        <f t="shared" si="62"/>
        <v/>
      </c>
      <c r="AQ153" s="11" t="str">
        <f t="shared" si="63"/>
        <v/>
      </c>
      <c r="AR153" s="11" t="str">
        <f t="shared" si="64"/>
        <v/>
      </c>
      <c r="AS153" s="11" t="str">
        <f t="shared" si="65"/>
        <v/>
      </c>
      <c r="AT153" s="12" t="str">
        <f t="shared" si="66"/>
        <v/>
      </c>
    </row>
    <row r="154" spans="1:46" ht="18.75" x14ac:dyDescent="0.25">
      <c r="A154" s="5" t="s">
        <v>26</v>
      </c>
      <c r="B154" t="str">
        <f>'Final list of total hauls pros'!M151</f>
        <v>SWE (SD 25-32)</v>
      </c>
      <c r="C154">
        <v>150</v>
      </c>
      <c r="D154">
        <f>'Final list of total hauls pros'!A151</f>
        <v>25438</v>
      </c>
      <c r="E154" t="str">
        <f t="shared" si="69"/>
        <v>25</v>
      </c>
      <c r="F154" t="str">
        <f>'Final list of total hauls pros'!B151</f>
        <v>40G4</v>
      </c>
      <c r="G154" t="str">
        <f>'Final list of total hauls pros'!I151</f>
        <v>SWE</v>
      </c>
      <c r="H154" t="str">
        <f>'Final list of total hauls pros'!L151</f>
        <v>25-32</v>
      </c>
      <c r="I154" t="str">
        <f t="shared" si="67"/>
        <v>SWE (SD 25-32)</v>
      </c>
      <c r="K154" s="20" t="str">
        <f t="shared" si="70"/>
        <v/>
      </c>
      <c r="L154" s="23"/>
      <c r="M154" s="21" t="str">
        <f t="shared" si="71"/>
        <v/>
      </c>
      <c r="N154" s="23"/>
      <c r="O154" s="21">
        <f t="shared" si="72"/>
        <v>1</v>
      </c>
      <c r="P154" s="23"/>
      <c r="Q154" s="21" t="str">
        <f t="shared" si="73"/>
        <v/>
      </c>
      <c r="R154" s="23"/>
      <c r="S154" s="21" t="str">
        <f t="shared" si="74"/>
        <v/>
      </c>
      <c r="T154" s="23"/>
      <c r="U154" s="21" t="str">
        <f t="shared" si="75"/>
        <v/>
      </c>
      <c r="V154" s="23"/>
      <c r="W154" s="21" t="str">
        <f t="shared" si="76"/>
        <v/>
      </c>
      <c r="X154" s="23"/>
      <c r="Y154" s="21" t="str">
        <f t="shared" si="77"/>
        <v/>
      </c>
      <c r="Z154" s="23"/>
      <c r="AA154" s="21" t="str">
        <f t="shared" si="78"/>
        <v/>
      </c>
      <c r="AB154" s="23"/>
      <c r="AC154" s="21" t="str">
        <f t="shared" si="79"/>
        <v/>
      </c>
      <c r="AD154" s="23"/>
      <c r="AG154" s="25" t="str">
        <f t="shared" si="68"/>
        <v/>
      </c>
      <c r="AK154" s="10" t="str">
        <f t="shared" si="57"/>
        <v/>
      </c>
      <c r="AL154" s="11" t="str">
        <f t="shared" si="58"/>
        <v/>
      </c>
      <c r="AM154" s="11">
        <f t="shared" si="59"/>
        <v>1</v>
      </c>
      <c r="AN154" s="11" t="str">
        <f t="shared" si="60"/>
        <v/>
      </c>
      <c r="AO154" s="11" t="str">
        <f t="shared" si="61"/>
        <v/>
      </c>
      <c r="AP154" s="11" t="str">
        <f t="shared" si="62"/>
        <v/>
      </c>
      <c r="AQ154" s="11" t="str">
        <f t="shared" si="63"/>
        <v/>
      </c>
      <c r="AR154" s="11" t="str">
        <f t="shared" si="64"/>
        <v/>
      </c>
      <c r="AS154" s="11" t="str">
        <f t="shared" si="65"/>
        <v/>
      </c>
      <c r="AT154" s="12" t="str">
        <f t="shared" si="66"/>
        <v/>
      </c>
    </row>
    <row r="155" spans="1:46" ht="18.75" x14ac:dyDescent="0.25">
      <c r="A155" s="5" t="s">
        <v>26</v>
      </c>
      <c r="B155" t="str">
        <f>'Final list of total hauls pros'!M152</f>
        <v>DEN (SD 25-32)</v>
      </c>
      <c r="C155">
        <v>151</v>
      </c>
      <c r="D155">
        <f>'Final list of total hauls pros'!A152</f>
        <v>25446</v>
      </c>
      <c r="E155" t="str">
        <f t="shared" si="69"/>
        <v>25</v>
      </c>
      <c r="F155" t="str">
        <f>'Final list of total hauls pros'!B152</f>
        <v>40G5</v>
      </c>
      <c r="G155" t="str">
        <f>'Final list of total hauls pros'!I152</f>
        <v>DEN</v>
      </c>
      <c r="H155" t="str">
        <f>'Final list of total hauls pros'!L152</f>
        <v>25-32</v>
      </c>
      <c r="I155" t="str">
        <f t="shared" si="67"/>
        <v>DEN (SD 25-32)</v>
      </c>
      <c r="K155" s="20" t="str">
        <f t="shared" si="70"/>
        <v/>
      </c>
      <c r="L155" s="23"/>
      <c r="M155" s="21">
        <f t="shared" si="71"/>
        <v>1</v>
      </c>
      <c r="N155" s="23"/>
      <c r="O155" s="21" t="str">
        <f t="shared" si="72"/>
        <v/>
      </c>
      <c r="P155" s="23"/>
      <c r="Q155" s="21" t="str">
        <f t="shared" si="73"/>
        <v/>
      </c>
      <c r="R155" s="23"/>
      <c r="S155" s="21" t="str">
        <f t="shared" si="74"/>
        <v/>
      </c>
      <c r="T155" s="23"/>
      <c r="U155" s="21" t="str">
        <f t="shared" si="75"/>
        <v/>
      </c>
      <c r="V155" s="23"/>
      <c r="W155" s="21" t="str">
        <f t="shared" si="76"/>
        <v/>
      </c>
      <c r="X155" s="23"/>
      <c r="Y155" s="21" t="str">
        <f t="shared" si="77"/>
        <v/>
      </c>
      <c r="Z155" s="23"/>
      <c r="AA155" s="21" t="str">
        <f t="shared" si="78"/>
        <v/>
      </c>
      <c r="AB155" s="23"/>
      <c r="AC155" s="21" t="str">
        <f t="shared" si="79"/>
        <v/>
      </c>
      <c r="AD155" s="23"/>
      <c r="AG155" s="25" t="str">
        <f t="shared" si="68"/>
        <v/>
      </c>
      <c r="AK155" s="10" t="str">
        <f t="shared" si="57"/>
        <v/>
      </c>
      <c r="AL155" s="11">
        <f t="shared" si="58"/>
        <v>1</v>
      </c>
      <c r="AM155" s="11" t="str">
        <f t="shared" si="59"/>
        <v/>
      </c>
      <c r="AN155" s="11" t="str">
        <f t="shared" si="60"/>
        <v/>
      </c>
      <c r="AO155" s="11" t="str">
        <f t="shared" si="61"/>
        <v/>
      </c>
      <c r="AP155" s="11" t="str">
        <f t="shared" si="62"/>
        <v/>
      </c>
      <c r="AQ155" s="11" t="str">
        <f t="shared" si="63"/>
        <v/>
      </c>
      <c r="AR155" s="11" t="str">
        <f t="shared" si="64"/>
        <v/>
      </c>
      <c r="AS155" s="11" t="str">
        <f t="shared" si="65"/>
        <v/>
      </c>
      <c r="AT155" s="12" t="str">
        <f t="shared" si="66"/>
        <v/>
      </c>
    </row>
    <row r="156" spans="1:46" ht="18.75" x14ac:dyDescent="0.25">
      <c r="A156" s="5" t="s">
        <v>26</v>
      </c>
      <c r="B156" t="str">
        <f>'Final list of total hauls pros'!M153</f>
        <v>DEN (SD 25-32)</v>
      </c>
      <c r="C156">
        <v>152</v>
      </c>
      <c r="D156">
        <f>'Final list of total hauls pros'!A153</f>
        <v>25447</v>
      </c>
      <c r="E156" t="str">
        <f t="shared" si="69"/>
        <v>25</v>
      </c>
      <c r="F156" t="str">
        <f>'Final list of total hauls pros'!B153</f>
        <v>40G5</v>
      </c>
      <c r="G156" t="str">
        <f>'Final list of total hauls pros'!I153</f>
        <v>DEN</v>
      </c>
      <c r="H156" t="str">
        <f>'Final list of total hauls pros'!L153</f>
        <v>25-32</v>
      </c>
      <c r="I156" t="str">
        <f t="shared" si="67"/>
        <v>DEN (SD 25-32)</v>
      </c>
      <c r="K156" s="20" t="str">
        <f t="shared" si="70"/>
        <v/>
      </c>
      <c r="L156" s="23"/>
      <c r="M156" s="21">
        <f t="shared" si="71"/>
        <v>1</v>
      </c>
      <c r="N156" s="23"/>
      <c r="O156" s="21" t="str">
        <f t="shared" si="72"/>
        <v/>
      </c>
      <c r="P156" s="23"/>
      <c r="Q156" s="21" t="str">
        <f t="shared" si="73"/>
        <v/>
      </c>
      <c r="R156" s="23"/>
      <c r="S156" s="21" t="str">
        <f t="shared" si="74"/>
        <v/>
      </c>
      <c r="T156" s="23"/>
      <c r="U156" s="21" t="str">
        <f t="shared" si="75"/>
        <v/>
      </c>
      <c r="V156" s="23"/>
      <c r="W156" s="21" t="str">
        <f t="shared" si="76"/>
        <v/>
      </c>
      <c r="X156" s="23"/>
      <c r="Y156" s="21" t="str">
        <f t="shared" si="77"/>
        <v/>
      </c>
      <c r="Z156" s="23"/>
      <c r="AA156" s="21" t="str">
        <f t="shared" si="78"/>
        <v/>
      </c>
      <c r="AB156" s="23"/>
      <c r="AC156" s="21" t="str">
        <f t="shared" si="79"/>
        <v/>
      </c>
      <c r="AD156" s="23"/>
      <c r="AG156" s="25" t="str">
        <f t="shared" si="68"/>
        <v/>
      </c>
      <c r="AK156" s="10" t="str">
        <f t="shared" si="57"/>
        <v/>
      </c>
      <c r="AL156" s="11">
        <f t="shared" si="58"/>
        <v>1</v>
      </c>
      <c r="AM156" s="11" t="str">
        <f t="shared" si="59"/>
        <v/>
      </c>
      <c r="AN156" s="11" t="str">
        <f t="shared" si="60"/>
        <v/>
      </c>
      <c r="AO156" s="11" t="str">
        <f t="shared" si="61"/>
        <v/>
      </c>
      <c r="AP156" s="11" t="str">
        <f t="shared" si="62"/>
        <v/>
      </c>
      <c r="AQ156" s="11" t="str">
        <f t="shared" si="63"/>
        <v/>
      </c>
      <c r="AR156" s="11" t="str">
        <f t="shared" si="64"/>
        <v/>
      </c>
      <c r="AS156" s="11" t="str">
        <f t="shared" si="65"/>
        <v/>
      </c>
      <c r="AT156" s="12" t="str">
        <f t="shared" si="66"/>
        <v/>
      </c>
    </row>
    <row r="157" spans="1:46" ht="18.75" x14ac:dyDescent="0.25">
      <c r="A157" s="5" t="s">
        <v>26</v>
      </c>
      <c r="B157" t="str">
        <f>'Final list of total hauls pros'!M154</f>
        <v>DEN (SD 25-32)</v>
      </c>
      <c r="C157">
        <v>153</v>
      </c>
      <c r="D157">
        <f>'Final list of total hauls pros'!A154</f>
        <v>25449</v>
      </c>
      <c r="E157" t="str">
        <f t="shared" si="69"/>
        <v>25</v>
      </c>
      <c r="F157" t="str">
        <f>'Final list of total hauls pros'!B154</f>
        <v>40G4</v>
      </c>
      <c r="G157" t="str">
        <f>'Final list of total hauls pros'!I154</f>
        <v>DEN</v>
      </c>
      <c r="H157" t="str">
        <f>'Final list of total hauls pros'!L154</f>
        <v>25-32</v>
      </c>
      <c r="I157" t="str">
        <f t="shared" si="67"/>
        <v>DEN (SD 25-32)</v>
      </c>
      <c r="K157" s="20" t="str">
        <f t="shared" si="70"/>
        <v/>
      </c>
      <c r="L157" s="23"/>
      <c r="M157" s="21">
        <f t="shared" si="71"/>
        <v>1</v>
      </c>
      <c r="N157" s="23"/>
      <c r="O157" s="21" t="str">
        <f t="shared" si="72"/>
        <v/>
      </c>
      <c r="P157" s="23"/>
      <c r="Q157" s="21" t="str">
        <f t="shared" si="73"/>
        <v/>
      </c>
      <c r="R157" s="23"/>
      <c r="S157" s="21" t="str">
        <f t="shared" si="74"/>
        <v/>
      </c>
      <c r="T157" s="23"/>
      <c r="U157" s="21" t="str">
        <f t="shared" si="75"/>
        <v/>
      </c>
      <c r="V157" s="23"/>
      <c r="W157" s="21" t="str">
        <f t="shared" si="76"/>
        <v/>
      </c>
      <c r="X157" s="23"/>
      <c r="Y157" s="21" t="str">
        <f t="shared" si="77"/>
        <v/>
      </c>
      <c r="Z157" s="23"/>
      <c r="AA157" s="21" t="str">
        <f t="shared" si="78"/>
        <v/>
      </c>
      <c r="AB157" s="23"/>
      <c r="AC157" s="21" t="str">
        <f t="shared" si="79"/>
        <v/>
      </c>
      <c r="AD157" s="23"/>
      <c r="AG157" s="25" t="str">
        <f t="shared" si="68"/>
        <v/>
      </c>
      <c r="AK157" s="10" t="str">
        <f t="shared" si="57"/>
        <v/>
      </c>
      <c r="AL157" s="11">
        <f t="shared" si="58"/>
        <v>1</v>
      </c>
      <c r="AM157" s="11" t="str">
        <f t="shared" si="59"/>
        <v/>
      </c>
      <c r="AN157" s="11" t="str">
        <f t="shared" si="60"/>
        <v/>
      </c>
      <c r="AO157" s="11" t="str">
        <f t="shared" si="61"/>
        <v/>
      </c>
      <c r="AP157" s="11" t="str">
        <f t="shared" si="62"/>
        <v/>
      </c>
      <c r="AQ157" s="11" t="str">
        <f t="shared" si="63"/>
        <v/>
      </c>
      <c r="AR157" s="11" t="str">
        <f t="shared" si="64"/>
        <v/>
      </c>
      <c r="AS157" s="11" t="str">
        <f t="shared" si="65"/>
        <v/>
      </c>
      <c r="AT157" s="12" t="str">
        <f t="shared" si="66"/>
        <v/>
      </c>
    </row>
    <row r="158" spans="1:46" ht="18.75" x14ac:dyDescent="0.25">
      <c r="A158" s="5" t="s">
        <v>26</v>
      </c>
      <c r="B158" t="str">
        <f>'Final list of total hauls pros'!M155</f>
        <v>DEN (SD 25-32)</v>
      </c>
      <c r="C158">
        <v>154</v>
      </c>
      <c r="D158">
        <f>'Final list of total hauls pros'!A155</f>
        <v>25452</v>
      </c>
      <c r="E158" t="str">
        <f t="shared" si="69"/>
        <v>25</v>
      </c>
      <c r="F158" t="str">
        <f>'Final list of total hauls pros'!B155</f>
        <v>39G5</v>
      </c>
      <c r="G158" t="str">
        <f>'Final list of total hauls pros'!I155</f>
        <v>DEN</v>
      </c>
      <c r="H158" t="str">
        <f>'Final list of total hauls pros'!L155</f>
        <v>25-32</v>
      </c>
      <c r="I158" t="str">
        <f t="shared" si="67"/>
        <v>DEN (SD 25-32)</v>
      </c>
      <c r="K158" s="20" t="str">
        <f t="shared" si="70"/>
        <v/>
      </c>
      <c r="L158" s="23"/>
      <c r="M158" s="21">
        <f t="shared" si="71"/>
        <v>1</v>
      </c>
      <c r="N158" s="23"/>
      <c r="O158" s="21" t="str">
        <f t="shared" si="72"/>
        <v/>
      </c>
      <c r="P158" s="23"/>
      <c r="Q158" s="21" t="str">
        <f t="shared" si="73"/>
        <v/>
      </c>
      <c r="R158" s="23"/>
      <c r="S158" s="21" t="str">
        <f t="shared" si="74"/>
        <v/>
      </c>
      <c r="T158" s="23"/>
      <c r="U158" s="21" t="str">
        <f t="shared" si="75"/>
        <v/>
      </c>
      <c r="V158" s="23"/>
      <c r="W158" s="21" t="str">
        <f t="shared" si="76"/>
        <v/>
      </c>
      <c r="X158" s="23"/>
      <c r="Y158" s="21" t="str">
        <f t="shared" si="77"/>
        <v/>
      </c>
      <c r="Z158" s="23"/>
      <c r="AA158" s="21" t="str">
        <f t="shared" si="78"/>
        <v/>
      </c>
      <c r="AB158" s="23"/>
      <c r="AC158" s="21" t="str">
        <f t="shared" si="79"/>
        <v/>
      </c>
      <c r="AD158" s="23"/>
      <c r="AG158" s="25" t="str">
        <f t="shared" si="68"/>
        <v/>
      </c>
      <c r="AK158" s="10" t="str">
        <f t="shared" si="57"/>
        <v/>
      </c>
      <c r="AL158" s="11">
        <f t="shared" si="58"/>
        <v>1</v>
      </c>
      <c r="AM158" s="11" t="str">
        <f t="shared" si="59"/>
        <v/>
      </c>
      <c r="AN158" s="11" t="str">
        <f t="shared" si="60"/>
        <v/>
      </c>
      <c r="AO158" s="11" t="str">
        <f t="shared" si="61"/>
        <v/>
      </c>
      <c r="AP158" s="11" t="str">
        <f t="shared" si="62"/>
        <v/>
      </c>
      <c r="AQ158" s="11" t="str">
        <f t="shared" si="63"/>
        <v/>
      </c>
      <c r="AR158" s="11" t="str">
        <f t="shared" si="64"/>
        <v/>
      </c>
      <c r="AS158" s="11" t="str">
        <f t="shared" si="65"/>
        <v/>
      </c>
      <c r="AT158" s="12" t="str">
        <f t="shared" si="66"/>
        <v/>
      </c>
    </row>
    <row r="159" spans="1:46" ht="18.75" x14ac:dyDescent="0.25">
      <c r="A159" s="5" t="s">
        <v>26</v>
      </c>
      <c r="B159" t="str">
        <f>'Final list of total hauls pros'!M156</f>
        <v>POL (SD 25-32)</v>
      </c>
      <c r="C159">
        <v>155</v>
      </c>
      <c r="D159">
        <f>'Final list of total hauls pros'!A156</f>
        <v>25455</v>
      </c>
      <c r="E159" t="str">
        <f t="shared" si="69"/>
        <v>25</v>
      </c>
      <c r="F159" t="str">
        <f>'Final list of total hauls pros'!B156</f>
        <v>39G7</v>
      </c>
      <c r="G159" t="str">
        <f>'Final list of total hauls pros'!I156</f>
        <v>POL</v>
      </c>
      <c r="H159" t="str">
        <f>'Final list of total hauls pros'!L156</f>
        <v>25-32</v>
      </c>
      <c r="I159" t="str">
        <f t="shared" si="67"/>
        <v>DEN (SD 25-32)</v>
      </c>
      <c r="J159" s="3"/>
      <c r="K159" s="20" t="str">
        <f t="shared" si="70"/>
        <v/>
      </c>
      <c r="L159" s="23"/>
      <c r="M159" s="21">
        <f t="shared" si="71"/>
        <v>1</v>
      </c>
      <c r="N159" s="23" t="s">
        <v>138</v>
      </c>
      <c r="O159" s="21" t="str">
        <f t="shared" si="72"/>
        <v/>
      </c>
      <c r="P159" s="23"/>
      <c r="Q159" s="21" t="str">
        <f t="shared" si="73"/>
        <v/>
      </c>
      <c r="R159" s="23"/>
      <c r="S159" s="21" t="str">
        <f t="shared" si="74"/>
        <v/>
      </c>
      <c r="T159" s="23" t="s">
        <v>132</v>
      </c>
      <c r="U159" s="21" t="str">
        <f t="shared" si="75"/>
        <v/>
      </c>
      <c r="V159" s="23"/>
      <c r="W159" s="21" t="str">
        <f t="shared" si="76"/>
        <v/>
      </c>
      <c r="X159" s="23"/>
      <c r="Y159" s="21" t="str">
        <f t="shared" si="77"/>
        <v/>
      </c>
      <c r="Z159" s="23"/>
      <c r="AA159" s="21" t="str">
        <f t="shared" si="78"/>
        <v/>
      </c>
      <c r="AB159" s="23"/>
      <c r="AC159" s="21" t="str">
        <f t="shared" si="79"/>
        <v/>
      </c>
      <c r="AD159" s="23"/>
      <c r="AE159" s="3"/>
      <c r="AG159" s="25" t="str">
        <f t="shared" si="68"/>
        <v/>
      </c>
      <c r="AK159" s="10" t="str">
        <f t="shared" si="57"/>
        <v/>
      </c>
      <c r="AL159" s="11" t="str">
        <f t="shared" si="58"/>
        <v/>
      </c>
      <c r="AM159" s="11" t="str">
        <f t="shared" si="59"/>
        <v/>
      </c>
      <c r="AN159" s="11" t="str">
        <f t="shared" si="60"/>
        <v/>
      </c>
      <c r="AO159" s="11">
        <f t="shared" si="61"/>
        <v>1</v>
      </c>
      <c r="AP159" s="11" t="str">
        <f t="shared" si="62"/>
        <v/>
      </c>
      <c r="AQ159" s="11" t="str">
        <f t="shared" si="63"/>
        <v/>
      </c>
      <c r="AR159" s="11" t="str">
        <f t="shared" si="64"/>
        <v/>
      </c>
      <c r="AS159" s="11" t="str">
        <f t="shared" si="65"/>
        <v/>
      </c>
      <c r="AT159" s="12" t="str">
        <f t="shared" si="66"/>
        <v/>
      </c>
    </row>
    <row r="160" spans="1:46" ht="18.75" x14ac:dyDescent="0.25">
      <c r="A160" s="5" t="s">
        <v>26</v>
      </c>
      <c r="B160" t="str">
        <f>'Final list of total hauls pros'!M157</f>
        <v>DEN (SD 25-32)</v>
      </c>
      <c r="C160">
        <v>156</v>
      </c>
      <c r="D160">
        <f>'Final list of total hauls pros'!A157</f>
        <v>25461</v>
      </c>
      <c r="E160" t="str">
        <f t="shared" si="69"/>
        <v>25</v>
      </c>
      <c r="F160" t="str">
        <f>'Final list of total hauls pros'!B157</f>
        <v>41G7</v>
      </c>
      <c r="G160" t="str">
        <f>'Final list of total hauls pros'!I157</f>
        <v>SWE</v>
      </c>
      <c r="H160" t="str">
        <f>'Final list of total hauls pros'!L157</f>
        <v>25-32</v>
      </c>
      <c r="I160" t="str">
        <f t="shared" si="67"/>
        <v>SWE (SD 25-32)</v>
      </c>
      <c r="K160" s="20" t="str">
        <f t="shared" si="70"/>
        <v/>
      </c>
      <c r="L160" s="23"/>
      <c r="M160" s="21" t="str">
        <f t="shared" si="71"/>
        <v/>
      </c>
      <c r="N160" s="23" t="s">
        <v>132</v>
      </c>
      <c r="O160" s="21">
        <f t="shared" si="72"/>
        <v>1</v>
      </c>
      <c r="P160" s="23" t="s">
        <v>138</v>
      </c>
      <c r="Q160" s="21" t="str">
        <f t="shared" si="73"/>
        <v/>
      </c>
      <c r="R160" s="23"/>
      <c r="S160" s="21" t="str">
        <f t="shared" si="74"/>
        <v/>
      </c>
      <c r="T160" s="23"/>
      <c r="U160" s="21" t="str">
        <f t="shared" si="75"/>
        <v/>
      </c>
      <c r="V160" s="23"/>
      <c r="W160" s="21" t="str">
        <f t="shared" si="76"/>
        <v/>
      </c>
      <c r="X160" s="23"/>
      <c r="Y160" s="21" t="str">
        <f t="shared" si="77"/>
        <v/>
      </c>
      <c r="Z160" s="23"/>
      <c r="AA160" s="21" t="str">
        <f t="shared" si="78"/>
        <v/>
      </c>
      <c r="AB160" s="23"/>
      <c r="AC160" s="21" t="str">
        <f t="shared" si="79"/>
        <v/>
      </c>
      <c r="AD160" s="23"/>
      <c r="AG160" s="25" t="str">
        <f t="shared" si="68"/>
        <v/>
      </c>
      <c r="AK160" s="10" t="str">
        <f t="shared" si="57"/>
        <v/>
      </c>
      <c r="AL160" s="11">
        <f t="shared" si="58"/>
        <v>1</v>
      </c>
      <c r="AM160" s="11" t="str">
        <f t="shared" si="59"/>
        <v/>
      </c>
      <c r="AN160" s="11" t="str">
        <f t="shared" si="60"/>
        <v/>
      </c>
      <c r="AO160" s="11" t="str">
        <f t="shared" si="61"/>
        <v/>
      </c>
      <c r="AP160" s="11" t="str">
        <f t="shared" si="62"/>
        <v/>
      </c>
      <c r="AQ160" s="11" t="str">
        <f t="shared" si="63"/>
        <v/>
      </c>
      <c r="AR160" s="11" t="str">
        <f t="shared" si="64"/>
        <v/>
      </c>
      <c r="AS160" s="11" t="str">
        <f t="shared" si="65"/>
        <v/>
      </c>
      <c r="AT160" s="12" t="str">
        <f t="shared" si="66"/>
        <v/>
      </c>
    </row>
    <row r="161" spans="1:46" ht="18.75" x14ac:dyDescent="0.25">
      <c r="A161" s="5" t="s">
        <v>26</v>
      </c>
      <c r="B161" t="str">
        <f>'Final list of total hauls pros'!M158</f>
        <v>SWE (SD 25-32)</v>
      </c>
      <c r="C161">
        <v>157</v>
      </c>
      <c r="D161">
        <f>'Final list of total hauls pros'!A158</f>
        <v>25462</v>
      </c>
      <c r="E161" t="str">
        <f t="shared" si="69"/>
        <v>25</v>
      </c>
      <c r="F161" t="str">
        <f>'Final list of total hauls pros'!B158</f>
        <v>39G8</v>
      </c>
      <c r="G161" t="str">
        <f>'Final list of total hauls pros'!I158</f>
        <v>SWE</v>
      </c>
      <c r="H161" t="str">
        <f>'Final list of total hauls pros'!L158</f>
        <v>25-32</v>
      </c>
      <c r="I161" t="str">
        <f t="shared" si="67"/>
        <v>SWE (SD 25-32)</v>
      </c>
      <c r="K161" s="20" t="str">
        <f t="shared" si="70"/>
        <v/>
      </c>
      <c r="L161" s="23"/>
      <c r="M161" s="21" t="str">
        <f t="shared" si="71"/>
        <v/>
      </c>
      <c r="N161" s="23"/>
      <c r="O161" s="21">
        <f t="shared" si="72"/>
        <v>1</v>
      </c>
      <c r="P161" s="23"/>
      <c r="Q161" s="21" t="str">
        <f t="shared" si="73"/>
        <v/>
      </c>
      <c r="R161" s="23"/>
      <c r="S161" s="21" t="str">
        <f t="shared" si="74"/>
        <v/>
      </c>
      <c r="T161" s="23"/>
      <c r="U161" s="21" t="str">
        <f t="shared" si="75"/>
        <v/>
      </c>
      <c r="V161" s="23"/>
      <c r="W161" s="21" t="str">
        <f t="shared" si="76"/>
        <v/>
      </c>
      <c r="X161" s="23"/>
      <c r="Y161" s="21" t="str">
        <f t="shared" si="77"/>
        <v/>
      </c>
      <c r="Z161" s="23"/>
      <c r="AA161" s="21" t="str">
        <f t="shared" si="78"/>
        <v/>
      </c>
      <c r="AB161" s="23"/>
      <c r="AC161" s="21" t="str">
        <f t="shared" si="79"/>
        <v/>
      </c>
      <c r="AD161" s="23"/>
      <c r="AG161" s="25" t="str">
        <f t="shared" si="68"/>
        <v/>
      </c>
      <c r="AK161" s="10" t="str">
        <f t="shared" si="57"/>
        <v/>
      </c>
      <c r="AL161" s="11" t="str">
        <f t="shared" si="58"/>
        <v/>
      </c>
      <c r="AM161" s="11">
        <f t="shared" si="59"/>
        <v>1</v>
      </c>
      <c r="AN161" s="11" t="str">
        <f t="shared" si="60"/>
        <v/>
      </c>
      <c r="AO161" s="11" t="str">
        <f t="shared" si="61"/>
        <v/>
      </c>
      <c r="AP161" s="11" t="str">
        <f t="shared" si="62"/>
        <v/>
      </c>
      <c r="AQ161" s="11" t="str">
        <f t="shared" si="63"/>
        <v/>
      </c>
      <c r="AR161" s="11" t="str">
        <f t="shared" si="64"/>
        <v/>
      </c>
      <c r="AS161" s="11" t="str">
        <f t="shared" si="65"/>
        <v/>
      </c>
      <c r="AT161" s="12" t="str">
        <f t="shared" si="66"/>
        <v/>
      </c>
    </row>
    <row r="162" spans="1:46" ht="18.75" x14ac:dyDescent="0.25">
      <c r="A162" s="5" t="s">
        <v>26</v>
      </c>
      <c r="B162" t="str">
        <f>'Final list of total hauls pros'!M159</f>
        <v>POL (SD 25-32)</v>
      </c>
      <c r="C162">
        <v>158</v>
      </c>
      <c r="D162">
        <f>'Final list of total hauls pros'!A159</f>
        <v>25463</v>
      </c>
      <c r="E162" t="str">
        <f t="shared" si="69"/>
        <v>25</v>
      </c>
      <c r="F162" t="str">
        <f>'Final list of total hauls pros'!B159</f>
        <v>39G7</v>
      </c>
      <c r="G162" t="str">
        <f>'Final list of total hauls pros'!I159</f>
        <v>POL</v>
      </c>
      <c r="H162" t="str">
        <f>'Final list of total hauls pros'!L159</f>
        <v>25-32</v>
      </c>
      <c r="I162" t="str">
        <f t="shared" si="67"/>
        <v>DEN (SD 25-32)</v>
      </c>
      <c r="K162" s="20" t="str">
        <f t="shared" si="70"/>
        <v/>
      </c>
      <c r="L162" s="23"/>
      <c r="M162" s="21">
        <f t="shared" si="71"/>
        <v>1</v>
      </c>
      <c r="N162" s="23" t="s">
        <v>138</v>
      </c>
      <c r="O162" s="21" t="str">
        <f t="shared" si="72"/>
        <v/>
      </c>
      <c r="P162" s="23"/>
      <c r="Q162" s="21" t="str">
        <f t="shared" si="73"/>
        <v/>
      </c>
      <c r="R162" s="23"/>
      <c r="S162" s="21" t="str">
        <f t="shared" si="74"/>
        <v/>
      </c>
      <c r="T162" s="23" t="s">
        <v>132</v>
      </c>
      <c r="U162" s="21" t="str">
        <f t="shared" si="75"/>
        <v/>
      </c>
      <c r="V162" s="23"/>
      <c r="W162" s="21" t="str">
        <f t="shared" si="76"/>
        <v/>
      </c>
      <c r="X162" s="23"/>
      <c r="Y162" s="21" t="str">
        <f t="shared" si="77"/>
        <v/>
      </c>
      <c r="Z162" s="23"/>
      <c r="AA162" s="21" t="str">
        <f t="shared" si="78"/>
        <v/>
      </c>
      <c r="AB162" s="23"/>
      <c r="AC162" s="21" t="str">
        <f t="shared" si="79"/>
        <v/>
      </c>
      <c r="AD162" s="23"/>
      <c r="AG162" s="25" t="str">
        <f t="shared" si="68"/>
        <v/>
      </c>
      <c r="AK162" s="10" t="str">
        <f t="shared" si="57"/>
        <v/>
      </c>
      <c r="AL162" s="11" t="str">
        <f t="shared" si="58"/>
        <v/>
      </c>
      <c r="AM162" s="11" t="str">
        <f t="shared" si="59"/>
        <v/>
      </c>
      <c r="AN162" s="11" t="str">
        <f t="shared" si="60"/>
        <v/>
      </c>
      <c r="AO162" s="11">
        <f t="shared" si="61"/>
        <v>1</v>
      </c>
      <c r="AP162" s="11" t="str">
        <f t="shared" si="62"/>
        <v/>
      </c>
      <c r="AQ162" s="11" t="str">
        <f t="shared" si="63"/>
        <v/>
      </c>
      <c r="AR162" s="11" t="str">
        <f t="shared" si="64"/>
        <v/>
      </c>
      <c r="AS162" s="11" t="str">
        <f t="shared" si="65"/>
        <v/>
      </c>
      <c r="AT162" s="12" t="str">
        <f t="shared" si="66"/>
        <v/>
      </c>
    </row>
    <row r="163" spans="1:46" ht="18.75" x14ac:dyDescent="0.25">
      <c r="A163" s="5" t="s">
        <v>26</v>
      </c>
      <c r="B163" t="str">
        <f>'Final list of total hauls pros'!M160</f>
        <v>POL (SD 25-32)</v>
      </c>
      <c r="C163">
        <v>159</v>
      </c>
      <c r="D163">
        <f>'Final list of total hauls pros'!A160</f>
        <v>25503</v>
      </c>
      <c r="E163" t="str">
        <f t="shared" si="69"/>
        <v>25</v>
      </c>
      <c r="F163" t="str">
        <f>'Final list of total hauls pros'!B160</f>
        <v>38G6</v>
      </c>
      <c r="G163" t="str">
        <f>'Final list of total hauls pros'!I160</f>
        <v>POL</v>
      </c>
      <c r="H163" t="str">
        <f>'Final list of total hauls pros'!L160</f>
        <v>25-32</v>
      </c>
      <c r="I163" t="str">
        <f t="shared" si="67"/>
        <v>DEN (SD 25-32)</v>
      </c>
      <c r="K163" s="20" t="str">
        <f t="shared" si="70"/>
        <v/>
      </c>
      <c r="L163" s="23"/>
      <c r="M163" s="21">
        <f t="shared" si="71"/>
        <v>1</v>
      </c>
      <c r="N163" s="23" t="s">
        <v>138</v>
      </c>
      <c r="O163" s="21" t="str">
        <f t="shared" si="72"/>
        <v/>
      </c>
      <c r="P163" s="23"/>
      <c r="Q163" s="21" t="str">
        <f t="shared" si="73"/>
        <v/>
      </c>
      <c r="R163" s="23"/>
      <c r="S163" s="21" t="str">
        <f t="shared" si="74"/>
        <v/>
      </c>
      <c r="T163" s="23" t="s">
        <v>132</v>
      </c>
      <c r="U163" s="21" t="str">
        <f t="shared" si="75"/>
        <v/>
      </c>
      <c r="V163" s="23"/>
      <c r="W163" s="21" t="str">
        <f t="shared" si="76"/>
        <v/>
      </c>
      <c r="X163" s="23"/>
      <c r="Y163" s="21" t="str">
        <f t="shared" si="77"/>
        <v/>
      </c>
      <c r="Z163" s="23"/>
      <c r="AA163" s="21" t="str">
        <f t="shared" si="78"/>
        <v/>
      </c>
      <c r="AB163" s="23"/>
      <c r="AC163" s="21" t="str">
        <f t="shared" si="79"/>
        <v/>
      </c>
      <c r="AD163" s="23"/>
      <c r="AG163" s="25" t="str">
        <f t="shared" si="68"/>
        <v/>
      </c>
      <c r="AK163" s="10" t="str">
        <f t="shared" si="57"/>
        <v/>
      </c>
      <c r="AL163" s="11" t="str">
        <f t="shared" si="58"/>
        <v/>
      </c>
      <c r="AM163" s="11" t="str">
        <f t="shared" si="59"/>
        <v/>
      </c>
      <c r="AN163" s="11" t="str">
        <f t="shared" si="60"/>
        <v/>
      </c>
      <c r="AO163" s="11">
        <f t="shared" si="61"/>
        <v>1</v>
      </c>
      <c r="AP163" s="11" t="str">
        <f t="shared" si="62"/>
        <v/>
      </c>
      <c r="AQ163" s="11" t="str">
        <f t="shared" si="63"/>
        <v/>
      </c>
      <c r="AR163" s="11" t="str">
        <f t="shared" si="64"/>
        <v/>
      </c>
      <c r="AS163" s="11" t="str">
        <f t="shared" si="65"/>
        <v/>
      </c>
      <c r="AT163" s="12" t="str">
        <f t="shared" si="66"/>
        <v/>
      </c>
    </row>
    <row r="164" spans="1:46" ht="18.75" x14ac:dyDescent="0.25">
      <c r="A164" s="5" t="s">
        <v>26</v>
      </c>
      <c r="B164" t="str">
        <f>'Final list of total hauls pros'!M161</f>
        <v>DEN (SD 25-32)</v>
      </c>
      <c r="C164">
        <v>160</v>
      </c>
      <c r="D164">
        <f>'Final list of total hauls pros'!A161</f>
        <v>25505</v>
      </c>
      <c r="E164" t="str">
        <f t="shared" si="69"/>
        <v>25</v>
      </c>
      <c r="F164" t="str">
        <f>'Final list of total hauls pros'!B161</f>
        <v>40G6</v>
      </c>
      <c r="G164" t="str">
        <f>'Final list of total hauls pros'!I161</f>
        <v>SWE</v>
      </c>
      <c r="H164" t="str">
        <f>'Final list of total hauls pros'!L161</f>
        <v>25-32</v>
      </c>
      <c r="I164" t="str">
        <f t="shared" si="67"/>
        <v>SWE (SD 25-32)</v>
      </c>
      <c r="K164" s="20" t="str">
        <f t="shared" si="70"/>
        <v/>
      </c>
      <c r="L164" s="23"/>
      <c r="M164" s="21" t="str">
        <f t="shared" si="71"/>
        <v/>
      </c>
      <c r="N164" s="23" t="s">
        <v>132</v>
      </c>
      <c r="O164" s="21">
        <f t="shared" si="72"/>
        <v>1</v>
      </c>
      <c r="P164" s="23" t="s">
        <v>138</v>
      </c>
      <c r="Q164" s="21" t="str">
        <f t="shared" si="73"/>
        <v/>
      </c>
      <c r="R164" s="23"/>
      <c r="S164" s="21" t="str">
        <f t="shared" si="74"/>
        <v/>
      </c>
      <c r="T164" s="23"/>
      <c r="U164" s="21" t="str">
        <f t="shared" si="75"/>
        <v/>
      </c>
      <c r="V164" s="23"/>
      <c r="W164" s="21" t="str">
        <f t="shared" si="76"/>
        <v/>
      </c>
      <c r="X164" s="23"/>
      <c r="Y164" s="21" t="str">
        <f t="shared" si="77"/>
        <v/>
      </c>
      <c r="Z164" s="23"/>
      <c r="AA164" s="21" t="str">
        <f t="shared" si="78"/>
        <v/>
      </c>
      <c r="AB164" s="23"/>
      <c r="AC164" s="21" t="str">
        <f t="shared" si="79"/>
        <v/>
      </c>
      <c r="AD164" s="23"/>
      <c r="AG164" s="25" t="str">
        <f t="shared" si="68"/>
        <v/>
      </c>
      <c r="AK164" s="10" t="str">
        <f t="shared" si="57"/>
        <v/>
      </c>
      <c r="AL164" s="11">
        <f t="shared" si="58"/>
        <v>1</v>
      </c>
      <c r="AM164" s="11" t="str">
        <f t="shared" si="59"/>
        <v/>
      </c>
      <c r="AN164" s="11" t="str">
        <f t="shared" si="60"/>
        <v/>
      </c>
      <c r="AO164" s="11" t="str">
        <f t="shared" si="61"/>
        <v/>
      </c>
      <c r="AP164" s="11" t="str">
        <f t="shared" si="62"/>
        <v/>
      </c>
      <c r="AQ164" s="11" t="str">
        <f t="shared" si="63"/>
        <v/>
      </c>
      <c r="AR164" s="11" t="str">
        <f t="shared" si="64"/>
        <v/>
      </c>
      <c r="AS164" s="11" t="str">
        <f t="shared" si="65"/>
        <v/>
      </c>
      <c r="AT164" s="12" t="str">
        <f t="shared" si="66"/>
        <v/>
      </c>
    </row>
    <row r="165" spans="1:46" ht="18.75" x14ac:dyDescent="0.25">
      <c r="A165" s="5" t="s">
        <v>26</v>
      </c>
      <c r="B165" t="str">
        <f>'Final list of total hauls pros'!M162</f>
        <v>DEN (SD 25-32)</v>
      </c>
      <c r="C165">
        <v>161</v>
      </c>
      <c r="D165">
        <f>'Final list of total hauls pros'!A162</f>
        <v>25506</v>
      </c>
      <c r="E165" t="str">
        <f t="shared" si="69"/>
        <v>25</v>
      </c>
      <c r="F165" t="str">
        <f>'Final list of total hauls pros'!B162</f>
        <v>39G5</v>
      </c>
      <c r="G165" t="str">
        <f>'Final list of total hauls pros'!I162</f>
        <v>DEN</v>
      </c>
      <c r="H165" t="str">
        <f>'Final list of total hauls pros'!L162</f>
        <v>25-32</v>
      </c>
      <c r="I165" t="str">
        <f t="shared" si="67"/>
        <v>DEN (SD 25-32)</v>
      </c>
      <c r="K165" s="20" t="str">
        <f t="shared" si="70"/>
        <v/>
      </c>
      <c r="L165" s="23"/>
      <c r="M165" s="21">
        <f t="shared" si="71"/>
        <v>1</v>
      </c>
      <c r="N165" s="23"/>
      <c r="O165" s="21" t="str">
        <f t="shared" si="72"/>
        <v/>
      </c>
      <c r="P165" s="23"/>
      <c r="Q165" s="21" t="str">
        <f t="shared" si="73"/>
        <v/>
      </c>
      <c r="R165" s="23"/>
      <c r="S165" s="21" t="str">
        <f t="shared" si="74"/>
        <v/>
      </c>
      <c r="T165" s="23"/>
      <c r="U165" s="21" t="str">
        <f t="shared" si="75"/>
        <v/>
      </c>
      <c r="V165" s="23"/>
      <c r="W165" s="21" t="str">
        <f t="shared" si="76"/>
        <v/>
      </c>
      <c r="X165" s="23"/>
      <c r="Y165" s="21" t="str">
        <f t="shared" si="77"/>
        <v/>
      </c>
      <c r="Z165" s="23"/>
      <c r="AA165" s="21" t="str">
        <f t="shared" si="78"/>
        <v/>
      </c>
      <c r="AB165" s="23"/>
      <c r="AC165" s="21" t="str">
        <f t="shared" si="79"/>
        <v/>
      </c>
      <c r="AD165" s="23"/>
      <c r="AG165" s="25" t="str">
        <f t="shared" si="68"/>
        <v/>
      </c>
      <c r="AK165" s="10" t="str">
        <f t="shared" si="57"/>
        <v/>
      </c>
      <c r="AL165" s="11">
        <f t="shared" si="58"/>
        <v>1</v>
      </c>
      <c r="AM165" s="11" t="str">
        <f t="shared" si="59"/>
        <v/>
      </c>
      <c r="AN165" s="11" t="str">
        <f t="shared" si="60"/>
        <v/>
      </c>
      <c r="AO165" s="11" t="str">
        <f t="shared" si="61"/>
        <v/>
      </c>
      <c r="AP165" s="11" t="str">
        <f t="shared" si="62"/>
        <v/>
      </c>
      <c r="AQ165" s="11" t="str">
        <f t="shared" si="63"/>
        <v/>
      </c>
      <c r="AR165" s="11" t="str">
        <f t="shared" si="64"/>
        <v/>
      </c>
      <c r="AS165" s="11" t="str">
        <f t="shared" si="65"/>
        <v/>
      </c>
      <c r="AT165" s="12" t="str">
        <f t="shared" si="66"/>
        <v/>
      </c>
    </row>
    <row r="166" spans="1:46" ht="18.75" x14ac:dyDescent="0.25">
      <c r="A166" s="5" t="s">
        <v>26</v>
      </c>
      <c r="B166" t="str">
        <f>'Final list of total hauls pros'!M163</f>
        <v>DEN (SD 25-32)</v>
      </c>
      <c r="C166">
        <v>162</v>
      </c>
      <c r="D166">
        <f>'Final list of total hauls pros'!A163</f>
        <v>25508</v>
      </c>
      <c r="E166" t="str">
        <f t="shared" si="69"/>
        <v>25</v>
      </c>
      <c r="F166" t="str">
        <f>'Final list of total hauls pros'!B163</f>
        <v>39G6</v>
      </c>
      <c r="G166" t="str">
        <f>'Final list of total hauls pros'!I163</f>
        <v>DEN</v>
      </c>
      <c r="H166" t="str">
        <f>'Final list of total hauls pros'!L163</f>
        <v>25-32</v>
      </c>
      <c r="I166" t="str">
        <f t="shared" si="67"/>
        <v>DEN (SD 25-32)</v>
      </c>
      <c r="K166" s="20" t="str">
        <f t="shared" si="70"/>
        <v/>
      </c>
      <c r="L166" s="23"/>
      <c r="M166" s="21">
        <f t="shared" si="71"/>
        <v>1</v>
      </c>
      <c r="N166" s="23"/>
      <c r="O166" s="21" t="str">
        <f t="shared" si="72"/>
        <v/>
      </c>
      <c r="P166" s="23"/>
      <c r="Q166" s="21" t="str">
        <f t="shared" si="73"/>
        <v/>
      </c>
      <c r="R166" s="23"/>
      <c r="S166" s="21" t="str">
        <f t="shared" si="74"/>
        <v/>
      </c>
      <c r="T166" s="23"/>
      <c r="U166" s="21" t="str">
        <f t="shared" si="75"/>
        <v/>
      </c>
      <c r="V166" s="23"/>
      <c r="W166" s="21" t="str">
        <f t="shared" si="76"/>
        <v/>
      </c>
      <c r="X166" s="23"/>
      <c r="Y166" s="21" t="str">
        <f t="shared" si="77"/>
        <v/>
      </c>
      <c r="Z166" s="23"/>
      <c r="AA166" s="21" t="str">
        <f t="shared" si="78"/>
        <v/>
      </c>
      <c r="AB166" s="23"/>
      <c r="AC166" s="21" t="str">
        <f t="shared" si="79"/>
        <v/>
      </c>
      <c r="AD166" s="23"/>
      <c r="AG166" s="25" t="str">
        <f t="shared" si="68"/>
        <v/>
      </c>
      <c r="AK166" s="10" t="str">
        <f t="shared" si="57"/>
        <v/>
      </c>
      <c r="AL166" s="11">
        <f t="shared" si="58"/>
        <v>1</v>
      </c>
      <c r="AM166" s="11" t="str">
        <f t="shared" si="59"/>
        <v/>
      </c>
      <c r="AN166" s="11" t="str">
        <f t="shared" si="60"/>
        <v/>
      </c>
      <c r="AO166" s="11" t="str">
        <f t="shared" si="61"/>
        <v/>
      </c>
      <c r="AP166" s="11" t="str">
        <f t="shared" si="62"/>
        <v/>
      </c>
      <c r="AQ166" s="11" t="str">
        <f t="shared" si="63"/>
        <v/>
      </c>
      <c r="AR166" s="11" t="str">
        <f t="shared" si="64"/>
        <v/>
      </c>
      <c r="AS166" s="11" t="str">
        <f t="shared" si="65"/>
        <v/>
      </c>
      <c r="AT166" s="12" t="str">
        <f t="shared" si="66"/>
        <v/>
      </c>
    </row>
    <row r="167" spans="1:46" ht="18.75" x14ac:dyDescent="0.25">
      <c r="A167" s="5" t="s">
        <v>26</v>
      </c>
      <c r="B167" t="str">
        <f>'Final list of total hauls pros'!M164</f>
        <v>DEN (SD 25-32)</v>
      </c>
      <c r="C167">
        <v>163</v>
      </c>
      <c r="D167">
        <f>'Final list of total hauls pros'!A164</f>
        <v>25509</v>
      </c>
      <c r="E167" t="str">
        <f t="shared" si="69"/>
        <v>25</v>
      </c>
      <c r="F167" t="str">
        <f>'Final list of total hauls pros'!B164</f>
        <v>40G6</v>
      </c>
      <c r="G167" t="str">
        <f>'Final list of total hauls pros'!I164</f>
        <v>SWE</v>
      </c>
      <c r="H167" t="str">
        <f>'Final list of total hauls pros'!L164</f>
        <v>25-32</v>
      </c>
      <c r="I167" t="str">
        <f t="shared" si="67"/>
        <v>SWE (SD 25-32)</v>
      </c>
      <c r="K167" s="20" t="str">
        <f t="shared" si="70"/>
        <v/>
      </c>
      <c r="L167" s="23"/>
      <c r="M167" s="21" t="str">
        <f t="shared" si="71"/>
        <v/>
      </c>
      <c r="N167" s="23" t="s">
        <v>132</v>
      </c>
      <c r="O167" s="21">
        <f t="shared" si="72"/>
        <v>1</v>
      </c>
      <c r="P167" s="23" t="s">
        <v>138</v>
      </c>
      <c r="Q167" s="21" t="str">
        <f t="shared" si="73"/>
        <v/>
      </c>
      <c r="R167" s="23"/>
      <c r="S167" s="21" t="str">
        <f t="shared" si="74"/>
        <v/>
      </c>
      <c r="T167" s="23"/>
      <c r="U167" s="21" t="str">
        <f t="shared" si="75"/>
        <v/>
      </c>
      <c r="V167" s="23"/>
      <c r="W167" s="21" t="str">
        <f t="shared" si="76"/>
        <v/>
      </c>
      <c r="X167" s="23"/>
      <c r="Y167" s="21" t="str">
        <f t="shared" si="77"/>
        <v/>
      </c>
      <c r="Z167" s="23"/>
      <c r="AA167" s="21" t="str">
        <f t="shared" si="78"/>
        <v/>
      </c>
      <c r="AB167" s="23"/>
      <c r="AC167" s="21" t="str">
        <f t="shared" si="79"/>
        <v/>
      </c>
      <c r="AD167" s="23"/>
      <c r="AG167" s="25" t="str">
        <f t="shared" si="68"/>
        <v/>
      </c>
      <c r="AK167" s="10" t="str">
        <f t="shared" si="57"/>
        <v/>
      </c>
      <c r="AL167" s="11">
        <f t="shared" si="58"/>
        <v>1</v>
      </c>
      <c r="AM167" s="11" t="str">
        <f t="shared" si="59"/>
        <v/>
      </c>
      <c r="AN167" s="11" t="str">
        <f t="shared" si="60"/>
        <v/>
      </c>
      <c r="AO167" s="11" t="str">
        <f t="shared" si="61"/>
        <v/>
      </c>
      <c r="AP167" s="11" t="str">
        <f t="shared" si="62"/>
        <v/>
      </c>
      <c r="AQ167" s="11" t="str">
        <f t="shared" si="63"/>
        <v/>
      </c>
      <c r="AR167" s="11" t="str">
        <f t="shared" si="64"/>
        <v/>
      </c>
      <c r="AS167" s="11" t="str">
        <f t="shared" si="65"/>
        <v/>
      </c>
      <c r="AT167" s="12" t="str">
        <f t="shared" si="66"/>
        <v/>
      </c>
    </row>
    <row r="168" spans="1:46" ht="18.75" x14ac:dyDescent="0.25">
      <c r="A168" s="5" t="s">
        <v>26</v>
      </c>
      <c r="B168" t="str">
        <f>'Final list of total hauls pros'!M165</f>
        <v>DEN (SD 25-32)</v>
      </c>
      <c r="C168">
        <v>164</v>
      </c>
      <c r="D168">
        <f>'Final list of total hauls pros'!A165</f>
        <v>25511</v>
      </c>
      <c r="E168" t="str">
        <f t="shared" si="69"/>
        <v>25</v>
      </c>
      <c r="F168" t="str">
        <f>'Final list of total hauls pros'!B165</f>
        <v>40G6</v>
      </c>
      <c r="G168" t="str">
        <f>'Final list of total hauls pros'!I165</f>
        <v>SWE</v>
      </c>
      <c r="H168" t="str">
        <f>'Final list of total hauls pros'!L165</f>
        <v>25-32</v>
      </c>
      <c r="I168" t="str">
        <f t="shared" si="67"/>
        <v>SWE (SD 25-32)</v>
      </c>
      <c r="K168" s="20" t="str">
        <f t="shared" si="70"/>
        <v/>
      </c>
      <c r="L168" s="23"/>
      <c r="M168" s="21" t="str">
        <f t="shared" si="71"/>
        <v/>
      </c>
      <c r="N168" s="23" t="s">
        <v>132</v>
      </c>
      <c r="O168" s="21">
        <f t="shared" si="72"/>
        <v>1</v>
      </c>
      <c r="P168" s="23" t="s">
        <v>138</v>
      </c>
      <c r="Q168" s="21" t="str">
        <f t="shared" si="73"/>
        <v/>
      </c>
      <c r="R168" s="23"/>
      <c r="S168" s="21" t="str">
        <f t="shared" si="74"/>
        <v/>
      </c>
      <c r="T168" s="23"/>
      <c r="U168" s="21" t="str">
        <f t="shared" si="75"/>
        <v/>
      </c>
      <c r="V168" s="23"/>
      <c r="W168" s="21" t="str">
        <f t="shared" si="76"/>
        <v/>
      </c>
      <c r="X168" s="23"/>
      <c r="Y168" s="21" t="str">
        <f t="shared" si="77"/>
        <v/>
      </c>
      <c r="Z168" s="23"/>
      <c r="AA168" s="21" t="str">
        <f t="shared" si="78"/>
        <v/>
      </c>
      <c r="AB168" s="23"/>
      <c r="AC168" s="21" t="str">
        <f t="shared" si="79"/>
        <v/>
      </c>
      <c r="AD168" s="23"/>
      <c r="AG168" s="25" t="str">
        <f t="shared" si="68"/>
        <v/>
      </c>
      <c r="AK168" s="10" t="str">
        <f t="shared" si="57"/>
        <v/>
      </c>
      <c r="AL168" s="11">
        <f t="shared" si="58"/>
        <v>1</v>
      </c>
      <c r="AM168" s="11" t="str">
        <f t="shared" si="59"/>
        <v/>
      </c>
      <c r="AN168" s="11" t="str">
        <f t="shared" si="60"/>
        <v/>
      </c>
      <c r="AO168" s="11" t="str">
        <f t="shared" si="61"/>
        <v/>
      </c>
      <c r="AP168" s="11" t="str">
        <f t="shared" si="62"/>
        <v/>
      </c>
      <c r="AQ168" s="11" t="str">
        <f t="shared" si="63"/>
        <v/>
      </c>
      <c r="AR168" s="11" t="str">
        <f t="shared" si="64"/>
        <v/>
      </c>
      <c r="AS168" s="11" t="str">
        <f t="shared" si="65"/>
        <v/>
      </c>
      <c r="AT168" s="12" t="str">
        <f t="shared" si="66"/>
        <v/>
      </c>
    </row>
    <row r="169" spans="1:46" ht="18.75" x14ac:dyDescent="0.25">
      <c r="A169" s="5" t="s">
        <v>26</v>
      </c>
      <c r="B169" t="str">
        <f>'Final list of total hauls pros'!M166</f>
        <v>POL (SD 25-32)</v>
      </c>
      <c r="C169">
        <v>165</v>
      </c>
      <c r="D169">
        <f>'Final list of total hauls pros'!A166</f>
        <v>26001</v>
      </c>
      <c r="E169" t="str">
        <f t="shared" si="69"/>
        <v>26</v>
      </c>
      <c r="F169" t="str">
        <f>'Final list of total hauls pros'!B166</f>
        <v>37G9</v>
      </c>
      <c r="G169" t="str">
        <f>'Final list of total hauls pros'!I166</f>
        <v>POL</v>
      </c>
      <c r="H169" t="str">
        <f>'Final list of total hauls pros'!L166</f>
        <v>25-32</v>
      </c>
      <c r="I169" t="str">
        <f t="shared" si="67"/>
        <v>POL (SD 25-32)</v>
      </c>
      <c r="K169" s="20" t="str">
        <f t="shared" si="70"/>
        <v/>
      </c>
      <c r="L169" s="23"/>
      <c r="M169" s="21" t="str">
        <f t="shared" si="71"/>
        <v/>
      </c>
      <c r="N169" s="23"/>
      <c r="O169" s="21" t="str">
        <f t="shared" si="72"/>
        <v/>
      </c>
      <c r="P169" s="23"/>
      <c r="Q169" s="21" t="str">
        <f t="shared" si="73"/>
        <v/>
      </c>
      <c r="R169" s="23"/>
      <c r="S169" s="21">
        <f t="shared" si="74"/>
        <v>1</v>
      </c>
      <c r="T169" s="23"/>
      <c r="U169" s="21" t="str">
        <f t="shared" si="75"/>
        <v/>
      </c>
      <c r="V169" s="23"/>
      <c r="W169" s="21" t="str">
        <f t="shared" si="76"/>
        <v/>
      </c>
      <c r="X169" s="23"/>
      <c r="Y169" s="21" t="str">
        <f t="shared" si="77"/>
        <v/>
      </c>
      <c r="Z169" s="23"/>
      <c r="AA169" s="21" t="str">
        <f t="shared" si="78"/>
        <v/>
      </c>
      <c r="AB169" s="23"/>
      <c r="AC169" s="21" t="str">
        <f t="shared" si="79"/>
        <v/>
      </c>
      <c r="AD169" s="23"/>
      <c r="AG169" s="25" t="str">
        <f t="shared" si="68"/>
        <v/>
      </c>
      <c r="AK169" s="10" t="str">
        <f t="shared" si="57"/>
        <v/>
      </c>
      <c r="AL169" s="11" t="str">
        <f t="shared" si="58"/>
        <v/>
      </c>
      <c r="AM169" s="11" t="str">
        <f t="shared" si="59"/>
        <v/>
      </c>
      <c r="AN169" s="11" t="str">
        <f t="shared" si="60"/>
        <v/>
      </c>
      <c r="AO169" s="11">
        <f t="shared" si="61"/>
        <v>1</v>
      </c>
      <c r="AP169" s="11" t="str">
        <f t="shared" si="62"/>
        <v/>
      </c>
      <c r="AQ169" s="11" t="str">
        <f t="shared" si="63"/>
        <v/>
      </c>
      <c r="AR169" s="11" t="str">
        <f t="shared" si="64"/>
        <v/>
      </c>
      <c r="AS169" s="11" t="str">
        <f t="shared" si="65"/>
        <v/>
      </c>
      <c r="AT169" s="12" t="str">
        <f t="shared" si="66"/>
        <v/>
      </c>
    </row>
    <row r="170" spans="1:46" ht="18.75" x14ac:dyDescent="0.25">
      <c r="A170" s="5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26005</v>
      </c>
      <c r="E170" t="str">
        <f t="shared" si="69"/>
        <v>26</v>
      </c>
      <c r="F170" t="str">
        <f>'Final list of total hauls pros'!B167</f>
        <v>38G8</v>
      </c>
      <c r="G170" t="str">
        <f>'Final list of total hauls pros'!I167</f>
        <v>POL</v>
      </c>
      <c r="H170" t="str">
        <f>'Final list of total hauls pros'!L167</f>
        <v>25-32</v>
      </c>
      <c r="I170" t="str">
        <f t="shared" si="67"/>
        <v>POL (SD 25-32)</v>
      </c>
      <c r="J170" s="4"/>
      <c r="K170" s="20" t="str">
        <f t="shared" si="70"/>
        <v/>
      </c>
      <c r="L170" s="23"/>
      <c r="M170" s="21" t="str">
        <f t="shared" si="71"/>
        <v/>
      </c>
      <c r="N170" s="23"/>
      <c r="O170" s="21" t="str">
        <f t="shared" si="72"/>
        <v/>
      </c>
      <c r="P170" s="23"/>
      <c r="Q170" s="21" t="str">
        <f t="shared" si="73"/>
        <v/>
      </c>
      <c r="R170" s="23"/>
      <c r="S170" s="21">
        <f t="shared" si="74"/>
        <v>1</v>
      </c>
      <c r="T170" s="23"/>
      <c r="U170" s="21" t="str">
        <f t="shared" si="75"/>
        <v/>
      </c>
      <c r="V170" s="23"/>
      <c r="W170" s="21" t="str">
        <f t="shared" si="76"/>
        <v/>
      </c>
      <c r="X170" s="23"/>
      <c r="Y170" s="21" t="str">
        <f t="shared" si="77"/>
        <v/>
      </c>
      <c r="Z170" s="23"/>
      <c r="AA170" s="21" t="str">
        <f t="shared" si="78"/>
        <v/>
      </c>
      <c r="AB170" s="23"/>
      <c r="AC170" s="21" t="str">
        <f t="shared" si="79"/>
        <v/>
      </c>
      <c r="AD170" s="23"/>
      <c r="AE170" s="4"/>
      <c r="AG170" s="25" t="str">
        <f t="shared" si="68"/>
        <v/>
      </c>
      <c r="AK170" s="10" t="str">
        <f t="shared" si="57"/>
        <v/>
      </c>
      <c r="AL170" s="11" t="str">
        <f t="shared" si="58"/>
        <v/>
      </c>
      <c r="AM170" s="11" t="str">
        <f t="shared" si="59"/>
        <v/>
      </c>
      <c r="AN170" s="11" t="str">
        <f t="shared" si="60"/>
        <v/>
      </c>
      <c r="AO170" s="11">
        <f t="shared" si="61"/>
        <v>1</v>
      </c>
      <c r="AP170" s="11" t="str">
        <f t="shared" si="62"/>
        <v/>
      </c>
      <c r="AQ170" s="11" t="str">
        <f t="shared" si="63"/>
        <v/>
      </c>
      <c r="AR170" s="11" t="str">
        <f t="shared" si="64"/>
        <v/>
      </c>
      <c r="AS170" s="11" t="str">
        <f t="shared" si="65"/>
        <v/>
      </c>
      <c r="AT170" s="12" t="str">
        <f t="shared" si="66"/>
        <v/>
      </c>
    </row>
    <row r="171" spans="1:46" ht="18.75" x14ac:dyDescent="0.25">
      <c r="A171" s="5" t="s">
        <v>26</v>
      </c>
      <c r="B171" t="str">
        <f>'Final list of total hauls pros'!M168</f>
        <v>POL (SD 25-32)</v>
      </c>
      <c r="C171">
        <v>167</v>
      </c>
      <c r="D171">
        <f>'Final list of total hauls pros'!A168</f>
        <v>26007</v>
      </c>
      <c r="E171" t="str">
        <f t="shared" si="69"/>
        <v>26</v>
      </c>
      <c r="F171" t="str">
        <f>'Final list of total hauls pros'!B168</f>
        <v>38G8</v>
      </c>
      <c r="G171" t="str">
        <f>'Final list of total hauls pros'!I168</f>
        <v>POL</v>
      </c>
      <c r="H171" t="str">
        <f>'Final list of total hauls pros'!L168</f>
        <v>25-32</v>
      </c>
      <c r="I171" t="str">
        <f t="shared" si="67"/>
        <v>POL (SD 25-32)</v>
      </c>
      <c r="K171" s="20" t="str">
        <f t="shared" si="70"/>
        <v/>
      </c>
      <c r="L171" s="23"/>
      <c r="M171" s="21" t="str">
        <f t="shared" si="71"/>
        <v/>
      </c>
      <c r="N171" s="23"/>
      <c r="O171" s="21" t="str">
        <f t="shared" si="72"/>
        <v/>
      </c>
      <c r="P171" s="23"/>
      <c r="Q171" s="21" t="str">
        <f t="shared" si="73"/>
        <v/>
      </c>
      <c r="R171" s="23"/>
      <c r="S171" s="21">
        <f t="shared" si="74"/>
        <v>1</v>
      </c>
      <c r="T171" s="23"/>
      <c r="U171" s="21" t="str">
        <f t="shared" si="75"/>
        <v/>
      </c>
      <c r="V171" s="23"/>
      <c r="W171" s="21" t="str">
        <f t="shared" si="76"/>
        <v/>
      </c>
      <c r="X171" s="23"/>
      <c r="Y171" s="21" t="str">
        <f t="shared" si="77"/>
        <v/>
      </c>
      <c r="Z171" s="23"/>
      <c r="AA171" s="21" t="str">
        <f t="shared" si="78"/>
        <v/>
      </c>
      <c r="AB171" s="23"/>
      <c r="AC171" s="21" t="str">
        <f t="shared" si="79"/>
        <v/>
      </c>
      <c r="AD171" s="23"/>
      <c r="AG171" s="25" t="str">
        <f t="shared" si="68"/>
        <v/>
      </c>
      <c r="AK171" s="10" t="str">
        <f t="shared" si="57"/>
        <v/>
      </c>
      <c r="AL171" s="11" t="str">
        <f t="shared" si="58"/>
        <v/>
      </c>
      <c r="AM171" s="11" t="str">
        <f t="shared" si="59"/>
        <v/>
      </c>
      <c r="AN171" s="11" t="str">
        <f t="shared" si="60"/>
        <v/>
      </c>
      <c r="AO171" s="11">
        <f t="shared" si="61"/>
        <v>1</v>
      </c>
      <c r="AP171" s="11" t="str">
        <f t="shared" si="62"/>
        <v/>
      </c>
      <c r="AQ171" s="11" t="str">
        <f t="shared" si="63"/>
        <v/>
      </c>
      <c r="AR171" s="11" t="str">
        <f t="shared" si="64"/>
        <v/>
      </c>
      <c r="AS171" s="11" t="str">
        <f t="shared" si="65"/>
        <v/>
      </c>
      <c r="AT171" s="12" t="str">
        <f t="shared" si="66"/>
        <v/>
      </c>
    </row>
    <row r="172" spans="1:46" ht="18.75" x14ac:dyDescent="0.25">
      <c r="A172" s="5" t="s">
        <v>26</v>
      </c>
      <c r="B172" t="str">
        <f>'Final list of total hauls pros'!M169</f>
        <v>POL (SD 25-32)</v>
      </c>
      <c r="C172">
        <v>168</v>
      </c>
      <c r="D172">
        <f>'Final list of total hauls pros'!A169</f>
        <v>26013</v>
      </c>
      <c r="E172" t="str">
        <f t="shared" si="69"/>
        <v>26</v>
      </c>
      <c r="F172" t="str">
        <f>'Final list of total hauls pros'!B169</f>
        <v>41G8</v>
      </c>
      <c r="G172" t="str">
        <f>'Final list of total hauls pros'!I169</f>
        <v>SWE</v>
      </c>
      <c r="H172" t="str">
        <f>'Final list of total hauls pros'!L169</f>
        <v>25-32</v>
      </c>
      <c r="I172" t="str">
        <f t="shared" si="67"/>
        <v>POL (SD 25-32)</v>
      </c>
      <c r="K172" s="20" t="str">
        <f t="shared" si="70"/>
        <v/>
      </c>
      <c r="L172" s="23"/>
      <c r="M172" s="21" t="str">
        <f t="shared" si="71"/>
        <v/>
      </c>
      <c r="N172" s="23"/>
      <c r="O172" s="21" t="str">
        <f t="shared" si="72"/>
        <v/>
      </c>
      <c r="P172" s="23"/>
      <c r="Q172" s="21" t="str">
        <f t="shared" si="73"/>
        <v/>
      </c>
      <c r="R172" s="23"/>
      <c r="S172" s="21">
        <f t="shared" si="74"/>
        <v>1</v>
      </c>
      <c r="T172" s="23"/>
      <c r="U172" s="21" t="str">
        <f t="shared" si="75"/>
        <v/>
      </c>
      <c r="V172" s="23"/>
      <c r="W172" s="21" t="str">
        <f t="shared" si="76"/>
        <v/>
      </c>
      <c r="X172" s="23"/>
      <c r="Y172" s="21" t="str">
        <f t="shared" si="77"/>
        <v/>
      </c>
      <c r="Z172" s="23"/>
      <c r="AA172" s="21" t="str">
        <f t="shared" si="78"/>
        <v/>
      </c>
      <c r="AB172" s="23"/>
      <c r="AC172" s="21" t="str">
        <f t="shared" si="79"/>
        <v/>
      </c>
      <c r="AD172" s="23"/>
      <c r="AG172" s="25" t="str">
        <f t="shared" si="68"/>
        <v/>
      </c>
      <c r="AK172" s="10" t="str">
        <f t="shared" si="57"/>
        <v/>
      </c>
      <c r="AL172" s="11" t="str">
        <f t="shared" si="58"/>
        <v/>
      </c>
      <c r="AM172" s="11" t="str">
        <f t="shared" si="59"/>
        <v/>
      </c>
      <c r="AN172" s="11" t="str">
        <f t="shared" si="60"/>
        <v/>
      </c>
      <c r="AO172" s="11">
        <f t="shared" si="61"/>
        <v>1</v>
      </c>
      <c r="AP172" s="11" t="str">
        <f t="shared" si="62"/>
        <v/>
      </c>
      <c r="AQ172" s="11" t="str">
        <f t="shared" si="63"/>
        <v/>
      </c>
      <c r="AR172" s="11" t="str">
        <f t="shared" si="64"/>
        <v/>
      </c>
      <c r="AS172" s="11" t="str">
        <f t="shared" si="65"/>
        <v/>
      </c>
      <c r="AT172" s="12" t="str">
        <f t="shared" si="66"/>
        <v/>
      </c>
    </row>
    <row r="173" spans="1:46" ht="18.75" x14ac:dyDescent="0.25">
      <c r="A173" s="5" t="s">
        <v>26</v>
      </c>
      <c r="B173" t="str">
        <f>'Final list of total hauls pros'!M170</f>
        <v>POL (SD 25-32)</v>
      </c>
      <c r="C173">
        <v>169</v>
      </c>
      <c r="D173">
        <f>'Final list of total hauls pros'!A170</f>
        <v>26019</v>
      </c>
      <c r="E173" t="str">
        <f t="shared" si="69"/>
        <v>26</v>
      </c>
      <c r="F173" t="str">
        <f>'Final list of total hauls pros'!B170</f>
        <v>38G8</v>
      </c>
      <c r="G173" t="str">
        <f>'Final list of total hauls pros'!I170</f>
        <v>POL</v>
      </c>
      <c r="H173" t="str">
        <f>'Final list of total hauls pros'!L170</f>
        <v>25-32</v>
      </c>
      <c r="I173" t="str">
        <f t="shared" si="67"/>
        <v>POL (SD 25-32)</v>
      </c>
      <c r="K173" s="20" t="str">
        <f t="shared" si="70"/>
        <v/>
      </c>
      <c r="L173" s="23"/>
      <c r="M173" s="21" t="str">
        <f t="shared" si="71"/>
        <v/>
      </c>
      <c r="N173" s="23"/>
      <c r="O173" s="21" t="str">
        <f t="shared" si="72"/>
        <v/>
      </c>
      <c r="P173" s="23"/>
      <c r="Q173" s="21" t="str">
        <f t="shared" si="73"/>
        <v/>
      </c>
      <c r="R173" s="23"/>
      <c r="S173" s="21">
        <f t="shared" si="74"/>
        <v>1</v>
      </c>
      <c r="T173" s="23"/>
      <c r="U173" s="21" t="str">
        <f t="shared" si="75"/>
        <v/>
      </c>
      <c r="V173" s="23"/>
      <c r="W173" s="21" t="str">
        <f t="shared" si="76"/>
        <v/>
      </c>
      <c r="X173" s="23"/>
      <c r="Y173" s="21" t="str">
        <f t="shared" si="77"/>
        <v/>
      </c>
      <c r="Z173" s="23"/>
      <c r="AA173" s="21" t="str">
        <f t="shared" si="78"/>
        <v/>
      </c>
      <c r="AB173" s="23"/>
      <c r="AC173" s="21" t="str">
        <f t="shared" si="79"/>
        <v/>
      </c>
      <c r="AD173" s="23"/>
      <c r="AG173" s="25" t="str">
        <f t="shared" si="68"/>
        <v/>
      </c>
      <c r="AK173" s="10" t="str">
        <f t="shared" si="57"/>
        <v/>
      </c>
      <c r="AL173" s="11" t="str">
        <f t="shared" si="58"/>
        <v/>
      </c>
      <c r="AM173" s="11" t="str">
        <f t="shared" si="59"/>
        <v/>
      </c>
      <c r="AN173" s="11" t="str">
        <f t="shared" si="60"/>
        <v/>
      </c>
      <c r="AO173" s="11">
        <f t="shared" si="61"/>
        <v>1</v>
      </c>
      <c r="AP173" s="11" t="str">
        <f t="shared" si="62"/>
        <v/>
      </c>
      <c r="AQ173" s="11" t="str">
        <f t="shared" si="63"/>
        <v/>
      </c>
      <c r="AR173" s="11" t="str">
        <f t="shared" si="64"/>
        <v/>
      </c>
      <c r="AS173" s="11" t="str">
        <f t="shared" si="65"/>
        <v/>
      </c>
      <c r="AT173" s="12" t="str">
        <f t="shared" si="66"/>
        <v/>
      </c>
    </row>
    <row r="174" spans="1:46" ht="18.75" x14ac:dyDescent="0.25">
      <c r="A174" s="5" t="s">
        <v>26</v>
      </c>
      <c r="B174" t="str">
        <f>'Final list of total hauls pros'!M171</f>
        <v>POL (SD 25-32)</v>
      </c>
      <c r="C174">
        <v>170</v>
      </c>
      <c r="D174">
        <f>'Final list of total hauls pros'!A171</f>
        <v>26020</v>
      </c>
      <c r="E174" t="str">
        <f t="shared" si="69"/>
        <v>26</v>
      </c>
      <c r="F174" t="str">
        <f>'Final list of total hauls pros'!B171</f>
        <v>38G8</v>
      </c>
      <c r="G174" t="str">
        <f>'Final list of total hauls pros'!I171</f>
        <v>POL</v>
      </c>
      <c r="H174" t="str">
        <f>'Final list of total hauls pros'!L171</f>
        <v>25-32</v>
      </c>
      <c r="I174" t="str">
        <f t="shared" si="67"/>
        <v>POL (SD 25-32)</v>
      </c>
      <c r="K174" s="20" t="str">
        <f t="shared" si="70"/>
        <v/>
      </c>
      <c r="L174" s="23"/>
      <c r="M174" s="21" t="str">
        <f t="shared" si="71"/>
        <v/>
      </c>
      <c r="N174" s="23"/>
      <c r="O174" s="21" t="str">
        <f t="shared" si="72"/>
        <v/>
      </c>
      <c r="P174" s="23"/>
      <c r="Q174" s="21" t="str">
        <f t="shared" si="73"/>
        <v/>
      </c>
      <c r="R174" s="23"/>
      <c r="S174" s="21">
        <f t="shared" si="74"/>
        <v>1</v>
      </c>
      <c r="T174" s="23"/>
      <c r="U174" s="21" t="str">
        <f t="shared" si="75"/>
        <v/>
      </c>
      <c r="V174" s="23"/>
      <c r="W174" s="21" t="str">
        <f t="shared" si="76"/>
        <v/>
      </c>
      <c r="X174" s="23"/>
      <c r="Y174" s="21" t="str">
        <f t="shared" si="77"/>
        <v/>
      </c>
      <c r="Z174" s="23"/>
      <c r="AA174" s="21" t="str">
        <f t="shared" si="78"/>
        <v/>
      </c>
      <c r="AB174" s="23"/>
      <c r="AC174" s="21" t="str">
        <f t="shared" si="79"/>
        <v/>
      </c>
      <c r="AD174" s="23"/>
      <c r="AG174" s="25" t="str">
        <f t="shared" si="68"/>
        <v/>
      </c>
      <c r="AK174" s="10" t="str">
        <f t="shared" si="57"/>
        <v/>
      </c>
      <c r="AL174" s="11" t="str">
        <f t="shared" si="58"/>
        <v/>
      </c>
      <c r="AM174" s="11" t="str">
        <f t="shared" si="59"/>
        <v/>
      </c>
      <c r="AN174" s="11" t="str">
        <f t="shared" si="60"/>
        <v/>
      </c>
      <c r="AO174" s="11">
        <f t="shared" si="61"/>
        <v>1</v>
      </c>
      <c r="AP174" s="11" t="str">
        <f t="shared" si="62"/>
        <v/>
      </c>
      <c r="AQ174" s="11" t="str">
        <f t="shared" si="63"/>
        <v/>
      </c>
      <c r="AR174" s="11" t="str">
        <f t="shared" si="64"/>
        <v/>
      </c>
      <c r="AS174" s="11" t="str">
        <f t="shared" si="65"/>
        <v/>
      </c>
      <c r="AT174" s="12" t="str">
        <f t="shared" si="66"/>
        <v/>
      </c>
    </row>
    <row r="175" spans="1:46" ht="18.75" x14ac:dyDescent="0.25">
      <c r="A175" s="5" t="s">
        <v>26</v>
      </c>
      <c r="B175" t="str">
        <f>'Final list of total hauls pros'!M172</f>
        <v>LTU (SD 25-32)</v>
      </c>
      <c r="C175">
        <v>171</v>
      </c>
      <c r="D175">
        <f>'Final list of total hauls pros'!A172</f>
        <v>26027</v>
      </c>
      <c r="E175" t="str">
        <f t="shared" si="69"/>
        <v>26</v>
      </c>
      <c r="F175" t="str">
        <f>'Final list of total hauls pros'!B172</f>
        <v>40H0</v>
      </c>
      <c r="G175" t="str">
        <f>'Final list of total hauls pros'!I172</f>
        <v>LTU</v>
      </c>
      <c r="H175" t="str">
        <f>'Final list of total hauls pros'!L172</f>
        <v>25-32</v>
      </c>
      <c r="I175" t="str">
        <f t="shared" si="67"/>
        <v>LTU (SD 25-32)</v>
      </c>
      <c r="K175" s="20" t="str">
        <f t="shared" si="70"/>
        <v/>
      </c>
      <c r="L175" s="23"/>
      <c r="M175" s="21" t="str">
        <f t="shared" si="71"/>
        <v/>
      </c>
      <c r="N175" s="23"/>
      <c r="O175" s="21" t="str">
        <f t="shared" si="72"/>
        <v/>
      </c>
      <c r="P175" s="23"/>
      <c r="Q175" s="21" t="str">
        <f t="shared" si="73"/>
        <v/>
      </c>
      <c r="R175" s="23"/>
      <c r="S175" s="21" t="str">
        <f t="shared" si="74"/>
        <v/>
      </c>
      <c r="T175" s="23"/>
      <c r="U175" s="21" t="str">
        <f t="shared" si="75"/>
        <v/>
      </c>
      <c r="V175" s="23"/>
      <c r="W175" s="21" t="str">
        <f t="shared" si="76"/>
        <v/>
      </c>
      <c r="X175" s="23"/>
      <c r="Y175" s="21" t="str">
        <f t="shared" si="77"/>
        <v/>
      </c>
      <c r="Z175" s="23"/>
      <c r="AA175" s="21">
        <f t="shared" si="78"/>
        <v>1</v>
      </c>
      <c r="AB175" s="23"/>
      <c r="AC175" s="21" t="str">
        <f t="shared" si="79"/>
        <v/>
      </c>
      <c r="AD175" s="23"/>
      <c r="AG175" s="25" t="str">
        <f t="shared" si="68"/>
        <v/>
      </c>
      <c r="AK175" s="10" t="str">
        <f t="shared" si="57"/>
        <v/>
      </c>
      <c r="AL175" s="11" t="str">
        <f t="shared" si="58"/>
        <v/>
      </c>
      <c r="AM175" s="11" t="str">
        <f t="shared" si="59"/>
        <v/>
      </c>
      <c r="AN175" s="11" t="str">
        <f t="shared" si="60"/>
        <v/>
      </c>
      <c r="AO175" s="11" t="str">
        <f t="shared" si="61"/>
        <v/>
      </c>
      <c r="AP175" s="11" t="str">
        <f t="shared" si="62"/>
        <v/>
      </c>
      <c r="AQ175" s="11" t="str">
        <f t="shared" si="63"/>
        <v/>
      </c>
      <c r="AR175" s="11" t="str">
        <f t="shared" si="64"/>
        <v/>
      </c>
      <c r="AS175" s="11">
        <f t="shared" si="65"/>
        <v>1</v>
      </c>
      <c r="AT175" s="12" t="str">
        <f t="shared" si="66"/>
        <v/>
      </c>
    </row>
    <row r="176" spans="1:46" ht="18.75" x14ac:dyDescent="0.25">
      <c r="A176" s="5" t="s">
        <v>26</v>
      </c>
      <c r="B176" t="str">
        <f>'Final list of total hauls pros'!M173</f>
        <v>LAT (SD 25-32)</v>
      </c>
      <c r="C176">
        <v>172</v>
      </c>
      <c r="D176">
        <f>'Final list of total hauls pros'!A173</f>
        <v>26031</v>
      </c>
      <c r="E176" t="str">
        <f t="shared" si="69"/>
        <v>26</v>
      </c>
      <c r="F176" t="str">
        <f>'Final list of total hauls pros'!B173</f>
        <v>41G9</v>
      </c>
      <c r="G176" t="str">
        <f>'Final list of total hauls pros'!I173</f>
        <v>LAT</v>
      </c>
      <c r="H176" t="str">
        <f>'Final list of total hauls pros'!L173</f>
        <v>25-32</v>
      </c>
      <c r="I176" t="str">
        <f t="shared" si="67"/>
        <v>POL (SD 25-32)</v>
      </c>
      <c r="K176" s="20" t="str">
        <f t="shared" si="70"/>
        <v/>
      </c>
      <c r="L176" s="23"/>
      <c r="M176" s="21" t="str">
        <f t="shared" si="71"/>
        <v/>
      </c>
      <c r="N176" s="23"/>
      <c r="O176" s="21" t="str">
        <f t="shared" si="72"/>
        <v/>
      </c>
      <c r="P176" s="23"/>
      <c r="Q176" s="21" t="str">
        <f t="shared" si="73"/>
        <v/>
      </c>
      <c r="R176" s="23"/>
      <c r="S176" s="21">
        <f t="shared" si="74"/>
        <v>1</v>
      </c>
      <c r="T176" s="23" t="s">
        <v>138</v>
      </c>
      <c r="U176" s="21" t="str">
        <f t="shared" si="75"/>
        <v/>
      </c>
      <c r="V176" s="23" t="s">
        <v>132</v>
      </c>
      <c r="W176" s="21" t="str">
        <f t="shared" si="76"/>
        <v/>
      </c>
      <c r="X176" s="23"/>
      <c r="Y176" s="21" t="str">
        <f t="shared" si="77"/>
        <v/>
      </c>
      <c r="Z176" s="23"/>
      <c r="AA176" s="21" t="str">
        <f t="shared" si="78"/>
        <v/>
      </c>
      <c r="AB176" s="23"/>
      <c r="AC176" s="21" t="str">
        <f t="shared" si="79"/>
        <v/>
      </c>
      <c r="AD176" s="23"/>
      <c r="AG176" s="25" t="str">
        <f t="shared" si="68"/>
        <v/>
      </c>
      <c r="AK176" s="10" t="str">
        <f t="shared" si="57"/>
        <v/>
      </c>
      <c r="AL176" s="11" t="str">
        <f t="shared" si="58"/>
        <v/>
      </c>
      <c r="AM176" s="11" t="str">
        <f t="shared" si="59"/>
        <v/>
      </c>
      <c r="AN176" s="11" t="str">
        <f t="shared" si="60"/>
        <v/>
      </c>
      <c r="AO176" s="11" t="str">
        <f t="shared" si="61"/>
        <v/>
      </c>
      <c r="AP176" s="11">
        <f t="shared" si="62"/>
        <v>1</v>
      </c>
      <c r="AQ176" s="11" t="str">
        <f t="shared" si="63"/>
        <v/>
      </c>
      <c r="AR176" s="11" t="str">
        <f t="shared" si="64"/>
        <v/>
      </c>
      <c r="AS176" s="11" t="str">
        <f t="shared" si="65"/>
        <v/>
      </c>
      <c r="AT176" s="12" t="str">
        <f t="shared" si="66"/>
        <v/>
      </c>
    </row>
    <row r="177" spans="1:46" ht="18.75" x14ac:dyDescent="0.25">
      <c r="A177" s="5" t="s">
        <v>26</v>
      </c>
      <c r="B177" t="str">
        <f>'Final list of total hauls pros'!M174</f>
        <v>POL (SD 25-32)</v>
      </c>
      <c r="C177">
        <v>173</v>
      </c>
      <c r="D177">
        <f>'Final list of total hauls pros'!A174</f>
        <v>26045</v>
      </c>
      <c r="E177" t="str">
        <f t="shared" si="69"/>
        <v>26</v>
      </c>
      <c r="F177" t="str">
        <f>'Final list of total hauls pros'!B174</f>
        <v>39G9</v>
      </c>
      <c r="G177" t="str">
        <f>'Final list of total hauls pros'!I174</f>
        <v>POL</v>
      </c>
      <c r="H177" t="str">
        <f>'Final list of total hauls pros'!L174</f>
        <v>25-32</v>
      </c>
      <c r="I177" t="str">
        <f t="shared" si="67"/>
        <v>POL (SD 25-32)</v>
      </c>
      <c r="K177" s="20" t="str">
        <f t="shared" si="70"/>
        <v/>
      </c>
      <c r="L177" s="23"/>
      <c r="M177" s="21" t="str">
        <f t="shared" si="71"/>
        <v/>
      </c>
      <c r="N177" s="23"/>
      <c r="O177" s="21" t="str">
        <f t="shared" si="72"/>
        <v/>
      </c>
      <c r="P177" s="23"/>
      <c r="Q177" s="21" t="str">
        <f t="shared" si="73"/>
        <v/>
      </c>
      <c r="R177" s="23"/>
      <c r="S177" s="21">
        <f t="shared" si="74"/>
        <v>1</v>
      </c>
      <c r="T177" s="23"/>
      <c r="U177" s="21" t="str">
        <f t="shared" si="75"/>
        <v/>
      </c>
      <c r="V177" s="23"/>
      <c r="W177" s="21" t="str">
        <f t="shared" si="76"/>
        <v/>
      </c>
      <c r="X177" s="23"/>
      <c r="Y177" s="21" t="str">
        <f t="shared" si="77"/>
        <v/>
      </c>
      <c r="Z177" s="23"/>
      <c r="AA177" s="21" t="str">
        <f t="shared" si="78"/>
        <v/>
      </c>
      <c r="AB177" s="23"/>
      <c r="AC177" s="21" t="str">
        <f t="shared" si="79"/>
        <v/>
      </c>
      <c r="AD177" s="23"/>
      <c r="AG177" s="25" t="str">
        <f t="shared" si="68"/>
        <v/>
      </c>
      <c r="AK177" s="10" t="str">
        <f t="shared" si="57"/>
        <v/>
      </c>
      <c r="AL177" s="11" t="str">
        <f t="shared" si="58"/>
        <v/>
      </c>
      <c r="AM177" s="11" t="str">
        <f t="shared" si="59"/>
        <v/>
      </c>
      <c r="AN177" s="11" t="str">
        <f t="shared" si="60"/>
        <v/>
      </c>
      <c r="AO177" s="11">
        <f t="shared" si="61"/>
        <v>1</v>
      </c>
      <c r="AP177" s="11" t="str">
        <f t="shared" si="62"/>
        <v/>
      </c>
      <c r="AQ177" s="11" t="str">
        <f t="shared" si="63"/>
        <v/>
      </c>
      <c r="AR177" s="11" t="str">
        <f t="shared" si="64"/>
        <v/>
      </c>
      <c r="AS177" s="11" t="str">
        <f t="shared" si="65"/>
        <v/>
      </c>
      <c r="AT177" s="12" t="str">
        <f t="shared" si="66"/>
        <v/>
      </c>
    </row>
    <row r="178" spans="1:46" ht="18.75" x14ac:dyDescent="0.25">
      <c r="A178" s="5" t="s">
        <v>26</v>
      </c>
      <c r="B178" t="str">
        <f>'Final list of total hauls pros'!M175</f>
        <v>POL (SD 25-32)</v>
      </c>
      <c r="C178">
        <v>174</v>
      </c>
      <c r="D178">
        <f>'Final list of total hauls pros'!A175</f>
        <v>26050</v>
      </c>
      <c r="E178" t="str">
        <f t="shared" si="69"/>
        <v>26</v>
      </c>
      <c r="F178" t="str">
        <f>'Final list of total hauls pros'!B175</f>
        <v>40G8</v>
      </c>
      <c r="G178" t="str">
        <f>'Final list of total hauls pros'!I175</f>
        <v>POL</v>
      </c>
      <c r="H178" t="str">
        <f>'Final list of total hauls pros'!L175</f>
        <v>25-32</v>
      </c>
      <c r="I178" t="str">
        <f t="shared" si="67"/>
        <v>DEN (SD 25-32)</v>
      </c>
      <c r="K178" s="20" t="str">
        <f t="shared" si="70"/>
        <v/>
      </c>
      <c r="L178" s="23"/>
      <c r="M178" s="21">
        <f t="shared" si="71"/>
        <v>1</v>
      </c>
      <c r="N178" s="23" t="s">
        <v>138</v>
      </c>
      <c r="O178" s="21" t="str">
        <f t="shared" si="72"/>
        <v/>
      </c>
      <c r="P178" s="23"/>
      <c r="Q178" s="21" t="str">
        <f t="shared" si="73"/>
        <v/>
      </c>
      <c r="R178" s="23"/>
      <c r="S178" s="21" t="str">
        <f t="shared" si="74"/>
        <v/>
      </c>
      <c r="T178" s="23" t="s">
        <v>132</v>
      </c>
      <c r="U178" s="21" t="str">
        <f t="shared" si="75"/>
        <v/>
      </c>
      <c r="V178" s="23"/>
      <c r="W178" s="21" t="str">
        <f t="shared" si="76"/>
        <v/>
      </c>
      <c r="X178" s="23"/>
      <c r="Y178" s="21" t="str">
        <f t="shared" si="77"/>
        <v/>
      </c>
      <c r="Z178" s="23"/>
      <c r="AA178" s="21" t="str">
        <f t="shared" si="78"/>
        <v/>
      </c>
      <c r="AB178" s="23"/>
      <c r="AC178" s="21" t="str">
        <f t="shared" si="79"/>
        <v/>
      </c>
      <c r="AD178" s="23"/>
      <c r="AG178" s="25" t="str">
        <f t="shared" si="68"/>
        <v/>
      </c>
      <c r="AK178" s="10" t="str">
        <f t="shared" si="57"/>
        <v/>
      </c>
      <c r="AL178" s="11" t="str">
        <f t="shared" si="58"/>
        <v/>
      </c>
      <c r="AM178" s="11" t="str">
        <f t="shared" si="59"/>
        <v/>
      </c>
      <c r="AN178" s="11" t="str">
        <f t="shared" si="60"/>
        <v/>
      </c>
      <c r="AO178" s="11">
        <f t="shared" si="61"/>
        <v>1</v>
      </c>
      <c r="AP178" s="11" t="str">
        <f t="shared" si="62"/>
        <v/>
      </c>
      <c r="AQ178" s="11" t="str">
        <f t="shared" si="63"/>
        <v/>
      </c>
      <c r="AR178" s="11" t="str">
        <f t="shared" si="64"/>
        <v/>
      </c>
      <c r="AS178" s="11" t="str">
        <f t="shared" si="65"/>
        <v/>
      </c>
      <c r="AT178" s="12" t="str">
        <f t="shared" si="66"/>
        <v/>
      </c>
    </row>
    <row r="179" spans="1:46" ht="18.75" x14ac:dyDescent="0.25">
      <c r="A179" s="5" t="s">
        <v>26</v>
      </c>
      <c r="B179" t="str">
        <f>'Final list of total hauls pros'!M176</f>
        <v>POL (SD 25-32)</v>
      </c>
      <c r="C179">
        <v>175</v>
      </c>
      <c r="D179">
        <f>'Final list of total hauls pros'!A176</f>
        <v>26053</v>
      </c>
      <c r="E179" t="str">
        <f t="shared" si="69"/>
        <v>26</v>
      </c>
      <c r="F179" t="str">
        <f>'Final list of total hauls pros'!B176</f>
        <v>40G8</v>
      </c>
      <c r="G179" t="str">
        <f>'Final list of total hauls pros'!I176</f>
        <v>POL</v>
      </c>
      <c r="H179" t="str">
        <f>'Final list of total hauls pros'!L176</f>
        <v>25-32</v>
      </c>
      <c r="I179" t="str">
        <f t="shared" si="67"/>
        <v>DEN (SD 25-32)</v>
      </c>
      <c r="K179" s="20" t="str">
        <f t="shared" si="70"/>
        <v/>
      </c>
      <c r="L179" s="23"/>
      <c r="M179" s="21">
        <f t="shared" si="71"/>
        <v>1</v>
      </c>
      <c r="N179" s="23" t="s">
        <v>138</v>
      </c>
      <c r="O179" s="21" t="str">
        <f t="shared" si="72"/>
        <v/>
      </c>
      <c r="P179" s="23"/>
      <c r="Q179" s="21" t="str">
        <f t="shared" si="73"/>
        <v/>
      </c>
      <c r="R179" s="23"/>
      <c r="S179" s="21" t="str">
        <f t="shared" si="74"/>
        <v/>
      </c>
      <c r="T179" s="23" t="s">
        <v>132</v>
      </c>
      <c r="U179" s="21" t="str">
        <f t="shared" si="75"/>
        <v/>
      </c>
      <c r="V179" s="23"/>
      <c r="W179" s="21" t="str">
        <f t="shared" si="76"/>
        <v/>
      </c>
      <c r="X179" s="23"/>
      <c r="Y179" s="21" t="str">
        <f t="shared" si="77"/>
        <v/>
      </c>
      <c r="Z179" s="23"/>
      <c r="AA179" s="21" t="str">
        <f t="shared" si="78"/>
        <v/>
      </c>
      <c r="AB179" s="23"/>
      <c r="AC179" s="21" t="str">
        <f t="shared" si="79"/>
        <v/>
      </c>
      <c r="AD179" s="23"/>
      <c r="AG179" s="25" t="str">
        <f t="shared" si="68"/>
        <v/>
      </c>
      <c r="AK179" s="10" t="str">
        <f t="shared" si="57"/>
        <v/>
      </c>
      <c r="AL179" s="11" t="str">
        <f t="shared" si="58"/>
        <v/>
      </c>
      <c r="AM179" s="11" t="str">
        <f t="shared" si="59"/>
        <v/>
      </c>
      <c r="AN179" s="11" t="str">
        <f t="shared" si="60"/>
        <v/>
      </c>
      <c r="AO179" s="11">
        <f t="shared" si="61"/>
        <v>1</v>
      </c>
      <c r="AP179" s="11" t="str">
        <f t="shared" si="62"/>
        <v/>
      </c>
      <c r="AQ179" s="11" t="str">
        <f t="shared" si="63"/>
        <v/>
      </c>
      <c r="AR179" s="11" t="str">
        <f t="shared" si="64"/>
        <v/>
      </c>
      <c r="AS179" s="11" t="str">
        <f t="shared" si="65"/>
        <v/>
      </c>
      <c r="AT179" s="12" t="str">
        <f t="shared" si="66"/>
        <v/>
      </c>
    </row>
    <row r="180" spans="1:46" ht="18.75" x14ac:dyDescent="0.25">
      <c r="A180" s="5" t="s">
        <v>26</v>
      </c>
      <c r="B180" t="str">
        <f>'Final list of total hauls pros'!M177</f>
        <v>LTU (SD 25-32)</v>
      </c>
      <c r="C180">
        <v>176</v>
      </c>
      <c r="D180">
        <f>'Final list of total hauls pros'!A177</f>
        <v>26057</v>
      </c>
      <c r="E180" t="str">
        <f t="shared" si="69"/>
        <v>26</v>
      </c>
      <c r="F180" t="str">
        <f>'Final list of total hauls pros'!B177</f>
        <v>40H0</v>
      </c>
      <c r="G180" t="str">
        <f>'Final list of total hauls pros'!I177</f>
        <v>LTU</v>
      </c>
      <c r="H180" t="str">
        <f>'Final list of total hauls pros'!L177</f>
        <v>25-32</v>
      </c>
      <c r="I180" t="str">
        <f t="shared" si="67"/>
        <v>LTU (SD 25-32)</v>
      </c>
      <c r="K180" s="20" t="str">
        <f t="shared" si="70"/>
        <v/>
      </c>
      <c r="L180" s="23"/>
      <c r="M180" s="21" t="str">
        <f t="shared" si="71"/>
        <v/>
      </c>
      <c r="N180" s="23"/>
      <c r="O180" s="21" t="str">
        <f t="shared" si="72"/>
        <v/>
      </c>
      <c r="P180" s="23"/>
      <c r="Q180" s="21" t="str">
        <f t="shared" si="73"/>
        <v/>
      </c>
      <c r="R180" s="23"/>
      <c r="S180" s="21" t="str">
        <f t="shared" si="74"/>
        <v/>
      </c>
      <c r="T180" s="23"/>
      <c r="U180" s="21" t="str">
        <f t="shared" si="75"/>
        <v/>
      </c>
      <c r="V180" s="23"/>
      <c r="W180" s="21" t="str">
        <f t="shared" si="76"/>
        <v/>
      </c>
      <c r="X180" s="23"/>
      <c r="Y180" s="21" t="str">
        <f t="shared" si="77"/>
        <v/>
      </c>
      <c r="Z180" s="23"/>
      <c r="AA180" s="21">
        <f t="shared" si="78"/>
        <v>1</v>
      </c>
      <c r="AB180" s="23"/>
      <c r="AC180" s="21" t="str">
        <f t="shared" si="79"/>
        <v/>
      </c>
      <c r="AD180" s="23"/>
      <c r="AG180" s="25" t="str">
        <f t="shared" si="68"/>
        <v/>
      </c>
      <c r="AK180" s="10" t="str">
        <f t="shared" si="57"/>
        <v/>
      </c>
      <c r="AL180" s="11" t="str">
        <f t="shared" si="58"/>
        <v/>
      </c>
      <c r="AM180" s="11" t="str">
        <f t="shared" si="59"/>
        <v/>
      </c>
      <c r="AN180" s="11" t="str">
        <f t="shared" si="60"/>
        <v/>
      </c>
      <c r="AO180" s="11" t="str">
        <f t="shared" si="61"/>
        <v/>
      </c>
      <c r="AP180" s="11" t="str">
        <f t="shared" si="62"/>
        <v/>
      </c>
      <c r="AQ180" s="11" t="str">
        <f t="shared" si="63"/>
        <v/>
      </c>
      <c r="AR180" s="11" t="str">
        <f t="shared" si="64"/>
        <v/>
      </c>
      <c r="AS180" s="11">
        <f t="shared" si="65"/>
        <v>1</v>
      </c>
      <c r="AT180" s="12" t="str">
        <f t="shared" si="66"/>
        <v/>
      </c>
    </row>
    <row r="181" spans="1:46" ht="18.75" x14ac:dyDescent="0.25">
      <c r="A181" s="5" t="s">
        <v>26</v>
      </c>
      <c r="B181" t="str">
        <f>'Final list of total hauls pros'!M178</f>
        <v>LTU (SD 25-32)</v>
      </c>
      <c r="C181">
        <v>177</v>
      </c>
      <c r="D181">
        <f>'Final list of total hauls pros'!A178</f>
        <v>26060</v>
      </c>
      <c r="E181" t="str">
        <f t="shared" si="69"/>
        <v>26</v>
      </c>
      <c r="F181" t="str">
        <f>'Final list of total hauls pros'!B178</f>
        <v>40G9</v>
      </c>
      <c r="G181" t="str">
        <f>'Final list of total hauls pros'!I178</f>
        <v>LTU</v>
      </c>
      <c r="H181" t="str">
        <f>'Final list of total hauls pros'!L178</f>
        <v>25-32</v>
      </c>
      <c r="I181" t="str">
        <f t="shared" si="67"/>
        <v>POL (SD 25-32)</v>
      </c>
      <c r="K181" s="20" t="str">
        <f t="shared" si="70"/>
        <v/>
      </c>
      <c r="L181" s="23"/>
      <c r="M181" s="21" t="str">
        <f t="shared" si="71"/>
        <v/>
      </c>
      <c r="N181" s="23"/>
      <c r="O181" s="21" t="str">
        <f t="shared" si="72"/>
        <v/>
      </c>
      <c r="P181" s="23"/>
      <c r="Q181" s="21" t="str">
        <f t="shared" si="73"/>
        <v/>
      </c>
      <c r="R181" s="23"/>
      <c r="S181" s="21">
        <f t="shared" si="74"/>
        <v>1</v>
      </c>
      <c r="T181" s="23" t="s">
        <v>138</v>
      </c>
      <c r="U181" s="21" t="str">
        <f t="shared" si="75"/>
        <v/>
      </c>
      <c r="V181" s="23"/>
      <c r="W181" s="21" t="str">
        <f t="shared" si="76"/>
        <v/>
      </c>
      <c r="X181" s="23"/>
      <c r="Y181" s="21" t="str">
        <f t="shared" si="77"/>
        <v/>
      </c>
      <c r="Z181" s="23"/>
      <c r="AA181" s="21" t="str">
        <f t="shared" si="78"/>
        <v/>
      </c>
      <c r="AB181" s="23" t="s">
        <v>132</v>
      </c>
      <c r="AC181" s="21" t="str">
        <f t="shared" si="79"/>
        <v/>
      </c>
      <c r="AD181" s="23"/>
      <c r="AG181" s="25" t="str">
        <f t="shared" si="68"/>
        <v/>
      </c>
      <c r="AK181" s="10" t="str">
        <f t="shared" si="57"/>
        <v/>
      </c>
      <c r="AL181" s="11" t="str">
        <f t="shared" si="58"/>
        <v/>
      </c>
      <c r="AM181" s="11" t="str">
        <f t="shared" si="59"/>
        <v/>
      </c>
      <c r="AN181" s="11" t="str">
        <f t="shared" si="60"/>
        <v/>
      </c>
      <c r="AO181" s="11" t="str">
        <f t="shared" si="61"/>
        <v/>
      </c>
      <c r="AP181" s="11" t="str">
        <f t="shared" si="62"/>
        <v/>
      </c>
      <c r="AQ181" s="11" t="str">
        <f t="shared" si="63"/>
        <v/>
      </c>
      <c r="AR181" s="11" t="str">
        <f t="shared" si="64"/>
        <v/>
      </c>
      <c r="AS181" s="11">
        <f t="shared" si="65"/>
        <v>1</v>
      </c>
      <c r="AT181" s="12" t="str">
        <f t="shared" si="66"/>
        <v/>
      </c>
    </row>
    <row r="182" spans="1:46" ht="18.75" x14ac:dyDescent="0.25">
      <c r="A182" s="5" t="s">
        <v>26</v>
      </c>
      <c r="B182" t="str">
        <f>'Final list of total hauls pros'!M179</f>
        <v>POL (SD 25-32)</v>
      </c>
      <c r="C182">
        <v>178</v>
      </c>
      <c r="D182">
        <f>'Final list of total hauls pros'!A179</f>
        <v>26069</v>
      </c>
      <c r="E182" t="str">
        <f t="shared" si="69"/>
        <v>26</v>
      </c>
      <c r="F182" t="str">
        <f>'Final list of total hauls pros'!B179</f>
        <v>41G8</v>
      </c>
      <c r="G182" t="str">
        <f>'Final list of total hauls pros'!I179</f>
        <v>SWE</v>
      </c>
      <c r="H182" t="str">
        <f>'Final list of total hauls pros'!L179</f>
        <v>25-32</v>
      </c>
      <c r="I182" t="str">
        <f t="shared" si="67"/>
        <v>POL (SD 25-32)</v>
      </c>
      <c r="K182" s="20" t="str">
        <f t="shared" si="70"/>
        <v/>
      </c>
      <c r="L182" s="23"/>
      <c r="M182" s="21" t="str">
        <f t="shared" si="71"/>
        <v/>
      </c>
      <c r="N182" s="23"/>
      <c r="O182" s="21" t="str">
        <f t="shared" si="72"/>
        <v/>
      </c>
      <c r="P182" s="23"/>
      <c r="Q182" s="21" t="str">
        <f t="shared" si="73"/>
        <v/>
      </c>
      <c r="R182" s="23"/>
      <c r="S182" s="21">
        <f t="shared" si="74"/>
        <v>1</v>
      </c>
      <c r="T182" s="23"/>
      <c r="U182" s="21" t="str">
        <f t="shared" si="75"/>
        <v/>
      </c>
      <c r="V182" s="23"/>
      <c r="W182" s="21" t="str">
        <f t="shared" si="76"/>
        <v/>
      </c>
      <c r="X182" s="23"/>
      <c r="Y182" s="21" t="str">
        <f t="shared" si="77"/>
        <v/>
      </c>
      <c r="Z182" s="23"/>
      <c r="AA182" s="21" t="str">
        <f t="shared" si="78"/>
        <v/>
      </c>
      <c r="AB182" s="23"/>
      <c r="AC182" s="21" t="str">
        <f t="shared" si="79"/>
        <v/>
      </c>
      <c r="AD182" s="23"/>
      <c r="AG182" s="25" t="str">
        <f t="shared" si="68"/>
        <v/>
      </c>
      <c r="AK182" s="10" t="str">
        <f t="shared" si="57"/>
        <v/>
      </c>
      <c r="AL182" s="11" t="str">
        <f t="shared" si="58"/>
        <v/>
      </c>
      <c r="AM182" s="11" t="str">
        <f t="shared" si="59"/>
        <v/>
      </c>
      <c r="AN182" s="11" t="str">
        <f t="shared" si="60"/>
        <v/>
      </c>
      <c r="AO182" s="11">
        <f t="shared" si="61"/>
        <v>1</v>
      </c>
      <c r="AP182" s="11" t="str">
        <f t="shared" si="62"/>
        <v/>
      </c>
      <c r="AQ182" s="11" t="str">
        <f t="shared" si="63"/>
        <v/>
      </c>
      <c r="AR182" s="11" t="str">
        <f t="shared" si="64"/>
        <v/>
      </c>
      <c r="AS182" s="11" t="str">
        <f t="shared" si="65"/>
        <v/>
      </c>
      <c r="AT182" s="12" t="str">
        <f t="shared" si="66"/>
        <v/>
      </c>
    </row>
    <row r="183" spans="1:46" ht="18.75" x14ac:dyDescent="0.25">
      <c r="A183" s="5" t="s">
        <v>26</v>
      </c>
      <c r="B183" t="str">
        <f>'Final list of total hauls pros'!M180</f>
        <v>LAT (SD 25-32)</v>
      </c>
      <c r="C183">
        <v>179</v>
      </c>
      <c r="D183">
        <f>'Final list of total hauls pros'!A180</f>
        <v>26071</v>
      </c>
      <c r="E183" t="str">
        <f t="shared" si="69"/>
        <v>26</v>
      </c>
      <c r="F183" t="str">
        <f>'Final list of total hauls pros'!B180</f>
        <v>41G9</v>
      </c>
      <c r="G183" t="str">
        <f>'Final list of total hauls pros'!I180</f>
        <v>LAT</v>
      </c>
      <c r="H183" t="str">
        <f>'Final list of total hauls pros'!L180</f>
        <v>25-32</v>
      </c>
      <c r="I183" t="str">
        <f t="shared" si="67"/>
        <v>POL (SD 25-32)</v>
      </c>
      <c r="K183" s="20" t="str">
        <f t="shared" si="70"/>
        <v/>
      </c>
      <c r="L183" s="23"/>
      <c r="M183" s="21" t="str">
        <f t="shared" si="71"/>
        <v/>
      </c>
      <c r="N183" s="23"/>
      <c r="O183" s="21" t="str">
        <f t="shared" si="72"/>
        <v/>
      </c>
      <c r="P183" s="23"/>
      <c r="Q183" s="21" t="str">
        <f t="shared" si="73"/>
        <v/>
      </c>
      <c r="R183" s="23"/>
      <c r="S183" s="21">
        <f t="shared" si="74"/>
        <v>1</v>
      </c>
      <c r="T183" s="23" t="s">
        <v>138</v>
      </c>
      <c r="U183" s="21" t="str">
        <f t="shared" si="75"/>
        <v/>
      </c>
      <c r="V183" s="23" t="s">
        <v>132</v>
      </c>
      <c r="W183" s="21" t="str">
        <f t="shared" si="76"/>
        <v/>
      </c>
      <c r="X183" s="23"/>
      <c r="Y183" s="21" t="str">
        <f t="shared" si="77"/>
        <v/>
      </c>
      <c r="Z183" s="23"/>
      <c r="AA183" s="21" t="str">
        <f t="shared" si="78"/>
        <v/>
      </c>
      <c r="AB183" s="23"/>
      <c r="AC183" s="21" t="str">
        <f t="shared" si="79"/>
        <v/>
      </c>
      <c r="AD183" s="23"/>
      <c r="AG183" s="25" t="str">
        <f t="shared" si="68"/>
        <v/>
      </c>
      <c r="AK183" s="10" t="str">
        <f t="shared" si="57"/>
        <v/>
      </c>
      <c r="AL183" s="11" t="str">
        <f t="shared" si="58"/>
        <v/>
      </c>
      <c r="AM183" s="11" t="str">
        <f t="shared" si="59"/>
        <v/>
      </c>
      <c r="AN183" s="11" t="str">
        <f t="shared" si="60"/>
        <v/>
      </c>
      <c r="AO183" s="11" t="str">
        <f t="shared" si="61"/>
        <v/>
      </c>
      <c r="AP183" s="11">
        <f t="shared" si="62"/>
        <v>1</v>
      </c>
      <c r="AQ183" s="11" t="str">
        <f t="shared" si="63"/>
        <v/>
      </c>
      <c r="AR183" s="11" t="str">
        <f t="shared" si="64"/>
        <v/>
      </c>
      <c r="AS183" s="11" t="str">
        <f t="shared" si="65"/>
        <v/>
      </c>
      <c r="AT183" s="12" t="str">
        <f t="shared" si="66"/>
        <v/>
      </c>
    </row>
    <row r="184" spans="1:46" ht="18.75" x14ac:dyDescent="0.25">
      <c r="A184" s="5" t="s">
        <v>26</v>
      </c>
      <c r="B184" t="str">
        <f>'Final list of total hauls pros'!M181</f>
        <v>LAT (SD 25-32)</v>
      </c>
      <c r="C184">
        <v>180</v>
      </c>
      <c r="D184">
        <f>'Final list of total hauls pros'!A181</f>
        <v>26073</v>
      </c>
      <c r="E184" t="str">
        <f t="shared" si="69"/>
        <v>26</v>
      </c>
      <c r="F184" t="str">
        <f>'Final list of total hauls pros'!B181</f>
        <v>41G9</v>
      </c>
      <c r="G184" t="str">
        <f>'Final list of total hauls pros'!I181</f>
        <v>LAT</v>
      </c>
      <c r="H184" t="str">
        <f>'Final list of total hauls pros'!L181</f>
        <v>25-32</v>
      </c>
      <c r="I184" t="str">
        <f t="shared" si="67"/>
        <v>POL (SD 25-32)</v>
      </c>
      <c r="K184" s="20" t="str">
        <f t="shared" si="70"/>
        <v/>
      </c>
      <c r="L184" s="23"/>
      <c r="M184" s="21" t="str">
        <f t="shared" si="71"/>
        <v/>
      </c>
      <c r="N184" s="23"/>
      <c r="O184" s="21" t="str">
        <f t="shared" si="72"/>
        <v/>
      </c>
      <c r="P184" s="23"/>
      <c r="Q184" s="21" t="str">
        <f t="shared" si="73"/>
        <v/>
      </c>
      <c r="R184" s="23"/>
      <c r="S184" s="21">
        <f t="shared" si="74"/>
        <v>1</v>
      </c>
      <c r="T184" s="23" t="s">
        <v>138</v>
      </c>
      <c r="U184" s="21" t="str">
        <f t="shared" si="75"/>
        <v/>
      </c>
      <c r="V184" s="23" t="s">
        <v>132</v>
      </c>
      <c r="W184" s="21" t="str">
        <f t="shared" si="76"/>
        <v/>
      </c>
      <c r="X184" s="23"/>
      <c r="Y184" s="21" t="str">
        <f t="shared" si="77"/>
        <v/>
      </c>
      <c r="Z184" s="23"/>
      <c r="AA184" s="21" t="str">
        <f t="shared" si="78"/>
        <v/>
      </c>
      <c r="AB184" s="23"/>
      <c r="AC184" s="21" t="str">
        <f t="shared" si="79"/>
        <v/>
      </c>
      <c r="AD184" s="23"/>
      <c r="AG184" s="25" t="str">
        <f t="shared" si="68"/>
        <v/>
      </c>
      <c r="AK184" s="10" t="str">
        <f t="shared" si="57"/>
        <v/>
      </c>
      <c r="AL184" s="11" t="str">
        <f t="shared" si="58"/>
        <v/>
      </c>
      <c r="AM184" s="11" t="str">
        <f t="shared" si="59"/>
        <v/>
      </c>
      <c r="AN184" s="11" t="str">
        <f t="shared" si="60"/>
        <v/>
      </c>
      <c r="AO184" s="11" t="str">
        <f t="shared" si="61"/>
        <v/>
      </c>
      <c r="AP184" s="11">
        <f t="shared" si="62"/>
        <v>1</v>
      </c>
      <c r="AQ184" s="11" t="str">
        <f t="shared" si="63"/>
        <v/>
      </c>
      <c r="AR184" s="11" t="str">
        <f t="shared" si="64"/>
        <v/>
      </c>
      <c r="AS184" s="11" t="str">
        <f t="shared" si="65"/>
        <v/>
      </c>
      <c r="AT184" s="12" t="str">
        <f t="shared" si="66"/>
        <v/>
      </c>
    </row>
    <row r="185" spans="1:46" ht="18.75" x14ac:dyDescent="0.25">
      <c r="A185" s="5" t="s">
        <v>26</v>
      </c>
      <c r="B185" t="str">
        <f>'Final list of total hauls pros'!M182</f>
        <v>POL (SD 25-32)</v>
      </c>
      <c r="C185">
        <v>181</v>
      </c>
      <c r="D185">
        <f>'Final list of total hauls pros'!A182</f>
        <v>26076</v>
      </c>
      <c r="E185" t="str">
        <f t="shared" si="69"/>
        <v>26</v>
      </c>
      <c r="F185" t="str">
        <f>'Final list of total hauls pros'!B182</f>
        <v>41G8</v>
      </c>
      <c r="G185" t="str">
        <f>'Final list of total hauls pros'!I182</f>
        <v>SWE</v>
      </c>
      <c r="H185" t="str">
        <f>'Final list of total hauls pros'!L182</f>
        <v>25-32</v>
      </c>
      <c r="I185" t="str">
        <f t="shared" si="67"/>
        <v>POL (SD 25-32)</v>
      </c>
      <c r="K185" s="20" t="str">
        <f t="shared" si="70"/>
        <v/>
      </c>
      <c r="L185" s="23"/>
      <c r="M185" s="21" t="str">
        <f t="shared" si="71"/>
        <v/>
      </c>
      <c r="N185" s="23"/>
      <c r="O185" s="21" t="str">
        <f t="shared" si="72"/>
        <v/>
      </c>
      <c r="P185" s="23"/>
      <c r="Q185" s="21" t="str">
        <f t="shared" si="73"/>
        <v/>
      </c>
      <c r="R185" s="23"/>
      <c r="S185" s="21">
        <f t="shared" si="74"/>
        <v>1</v>
      </c>
      <c r="T185" s="23"/>
      <c r="U185" s="21" t="str">
        <f t="shared" si="75"/>
        <v/>
      </c>
      <c r="V185" s="23"/>
      <c r="W185" s="21" t="str">
        <f t="shared" si="76"/>
        <v/>
      </c>
      <c r="X185" s="23"/>
      <c r="Y185" s="21" t="str">
        <f t="shared" si="77"/>
        <v/>
      </c>
      <c r="Z185" s="23"/>
      <c r="AA185" s="21" t="str">
        <f t="shared" si="78"/>
        <v/>
      </c>
      <c r="AB185" s="23"/>
      <c r="AC185" s="21" t="str">
        <f t="shared" si="79"/>
        <v/>
      </c>
      <c r="AD185" s="23"/>
      <c r="AG185" s="25" t="str">
        <f t="shared" si="68"/>
        <v/>
      </c>
      <c r="AK185" s="10" t="str">
        <f t="shared" si="57"/>
        <v/>
      </c>
      <c r="AL185" s="11" t="str">
        <f t="shared" si="58"/>
        <v/>
      </c>
      <c r="AM185" s="11" t="str">
        <f t="shared" si="59"/>
        <v/>
      </c>
      <c r="AN185" s="11" t="str">
        <f t="shared" si="60"/>
        <v/>
      </c>
      <c r="AO185" s="11">
        <f t="shared" si="61"/>
        <v>1</v>
      </c>
      <c r="AP185" s="11" t="str">
        <f t="shared" si="62"/>
        <v/>
      </c>
      <c r="AQ185" s="11" t="str">
        <f t="shared" si="63"/>
        <v/>
      </c>
      <c r="AR185" s="11" t="str">
        <f t="shared" si="64"/>
        <v/>
      </c>
      <c r="AS185" s="11" t="str">
        <f t="shared" si="65"/>
        <v/>
      </c>
      <c r="AT185" s="12" t="str">
        <f t="shared" si="66"/>
        <v/>
      </c>
    </row>
    <row r="186" spans="1:46" ht="18.75" x14ac:dyDescent="0.25">
      <c r="A186" s="5" t="s">
        <v>26</v>
      </c>
      <c r="B186" t="str">
        <f>'Final list of total hauls pros'!M183</f>
        <v>POL (SD 25-32)</v>
      </c>
      <c r="C186">
        <v>182</v>
      </c>
      <c r="D186">
        <f>'Final list of total hauls pros'!A183</f>
        <v>26077</v>
      </c>
      <c r="E186" t="str">
        <f t="shared" si="69"/>
        <v>26</v>
      </c>
      <c r="F186" t="str">
        <f>'Final list of total hauls pros'!B183</f>
        <v>41G8</v>
      </c>
      <c r="G186" t="str">
        <f>'Final list of total hauls pros'!I183</f>
        <v>SWE</v>
      </c>
      <c r="H186" t="str">
        <f>'Final list of total hauls pros'!L183</f>
        <v>25-32</v>
      </c>
      <c r="I186" t="str">
        <f t="shared" si="67"/>
        <v>POL (SD 25-32)</v>
      </c>
      <c r="K186" s="20" t="str">
        <f t="shared" si="70"/>
        <v/>
      </c>
      <c r="L186" s="23"/>
      <c r="M186" s="21" t="str">
        <f t="shared" si="71"/>
        <v/>
      </c>
      <c r="N186" s="23"/>
      <c r="O186" s="21" t="str">
        <f t="shared" si="72"/>
        <v/>
      </c>
      <c r="P186" s="23"/>
      <c r="Q186" s="21" t="str">
        <f t="shared" si="73"/>
        <v/>
      </c>
      <c r="R186" s="23"/>
      <c r="S186" s="21">
        <f t="shared" si="74"/>
        <v>1</v>
      </c>
      <c r="T186" s="23"/>
      <c r="U186" s="21" t="str">
        <f t="shared" si="75"/>
        <v/>
      </c>
      <c r="V186" s="23"/>
      <c r="W186" s="21" t="str">
        <f t="shared" si="76"/>
        <v/>
      </c>
      <c r="X186" s="23"/>
      <c r="Y186" s="21" t="str">
        <f t="shared" si="77"/>
        <v/>
      </c>
      <c r="Z186" s="23"/>
      <c r="AA186" s="21" t="str">
        <f t="shared" si="78"/>
        <v/>
      </c>
      <c r="AB186" s="23"/>
      <c r="AC186" s="21" t="str">
        <f t="shared" si="79"/>
        <v/>
      </c>
      <c r="AD186" s="23"/>
      <c r="AG186" s="25" t="str">
        <f t="shared" si="68"/>
        <v/>
      </c>
      <c r="AK186" s="10" t="str">
        <f t="shared" si="57"/>
        <v/>
      </c>
      <c r="AL186" s="11" t="str">
        <f t="shared" si="58"/>
        <v/>
      </c>
      <c r="AM186" s="11" t="str">
        <f t="shared" si="59"/>
        <v/>
      </c>
      <c r="AN186" s="11" t="str">
        <f t="shared" si="60"/>
        <v/>
      </c>
      <c r="AO186" s="11">
        <f t="shared" si="61"/>
        <v>1</v>
      </c>
      <c r="AP186" s="11" t="str">
        <f t="shared" si="62"/>
        <v/>
      </c>
      <c r="AQ186" s="11" t="str">
        <f t="shared" si="63"/>
        <v/>
      </c>
      <c r="AR186" s="11" t="str">
        <f t="shared" si="64"/>
        <v/>
      </c>
      <c r="AS186" s="11" t="str">
        <f t="shared" si="65"/>
        <v/>
      </c>
      <c r="AT186" s="12" t="str">
        <f t="shared" si="66"/>
        <v/>
      </c>
    </row>
    <row r="187" spans="1:46" ht="18.75" x14ac:dyDescent="0.25">
      <c r="A187" s="5" t="s">
        <v>26</v>
      </c>
      <c r="B187" t="str">
        <f>'Final list of total hauls pros'!M184</f>
        <v>LAT (SD 25-32)</v>
      </c>
      <c r="C187">
        <v>183</v>
      </c>
      <c r="D187">
        <f>'Final list of total hauls pros'!A184</f>
        <v>26078</v>
      </c>
      <c r="E187" t="str">
        <f t="shared" si="69"/>
        <v>26</v>
      </c>
      <c r="F187" t="str">
        <f>'Final list of total hauls pros'!B184</f>
        <v>41H0</v>
      </c>
      <c r="G187" t="str">
        <f>'Final list of total hauls pros'!I184</f>
        <v>LAT</v>
      </c>
      <c r="H187" t="str">
        <f>'Final list of total hauls pros'!L184</f>
        <v>25-32</v>
      </c>
      <c r="I187" t="str">
        <f t="shared" si="67"/>
        <v>POL (SD 25-32)</v>
      </c>
      <c r="K187" s="20" t="str">
        <f t="shared" si="70"/>
        <v/>
      </c>
      <c r="L187" s="23"/>
      <c r="M187" s="21" t="str">
        <f t="shared" si="71"/>
        <v/>
      </c>
      <c r="N187" s="23"/>
      <c r="O187" s="21" t="str">
        <f t="shared" si="72"/>
        <v/>
      </c>
      <c r="P187" s="23"/>
      <c r="Q187" s="21" t="str">
        <f t="shared" si="73"/>
        <v/>
      </c>
      <c r="R187" s="23"/>
      <c r="S187" s="21">
        <f t="shared" si="74"/>
        <v>1</v>
      </c>
      <c r="T187" s="23" t="s">
        <v>138</v>
      </c>
      <c r="U187" s="21" t="str">
        <f t="shared" si="75"/>
        <v/>
      </c>
      <c r="V187" s="23" t="s">
        <v>132</v>
      </c>
      <c r="W187" s="21" t="str">
        <f t="shared" si="76"/>
        <v/>
      </c>
      <c r="X187" s="23"/>
      <c r="Y187" s="21" t="str">
        <f t="shared" si="77"/>
        <v/>
      </c>
      <c r="Z187" s="23"/>
      <c r="AA187" s="21" t="str">
        <f t="shared" si="78"/>
        <v/>
      </c>
      <c r="AB187" s="23"/>
      <c r="AC187" s="21" t="str">
        <f t="shared" si="79"/>
        <v/>
      </c>
      <c r="AD187" s="23"/>
      <c r="AG187" s="25" t="str">
        <f t="shared" si="68"/>
        <v/>
      </c>
      <c r="AK187" s="10" t="str">
        <f t="shared" si="57"/>
        <v/>
      </c>
      <c r="AL187" s="11" t="str">
        <f t="shared" si="58"/>
        <v/>
      </c>
      <c r="AM187" s="11" t="str">
        <f t="shared" si="59"/>
        <v/>
      </c>
      <c r="AN187" s="11" t="str">
        <f t="shared" si="60"/>
        <v/>
      </c>
      <c r="AO187" s="11" t="str">
        <f t="shared" si="61"/>
        <v/>
      </c>
      <c r="AP187" s="11">
        <f t="shared" si="62"/>
        <v>1</v>
      </c>
      <c r="AQ187" s="11" t="str">
        <f t="shared" si="63"/>
        <v/>
      </c>
      <c r="AR187" s="11" t="str">
        <f t="shared" si="64"/>
        <v/>
      </c>
      <c r="AS187" s="11" t="str">
        <f t="shared" si="65"/>
        <v/>
      </c>
      <c r="AT187" s="12" t="str">
        <f t="shared" si="66"/>
        <v/>
      </c>
    </row>
    <row r="188" spans="1:46" ht="18.75" x14ac:dyDescent="0.25">
      <c r="A188" s="5" t="s">
        <v>26</v>
      </c>
      <c r="B188" t="str">
        <f>'Final list of total hauls pros'!M185</f>
        <v>LAT (SD 25-32)</v>
      </c>
      <c r="C188">
        <v>184</v>
      </c>
      <c r="D188">
        <f>'Final list of total hauls pros'!A185</f>
        <v>26081</v>
      </c>
      <c r="E188" t="str">
        <f t="shared" si="69"/>
        <v>26</v>
      </c>
      <c r="F188" t="str">
        <f>'Final list of total hauls pros'!B185</f>
        <v>41H0</v>
      </c>
      <c r="G188" t="str">
        <f>'Final list of total hauls pros'!I185</f>
        <v>LAT</v>
      </c>
      <c r="H188" t="str">
        <f>'Final list of total hauls pros'!L185</f>
        <v>25-32</v>
      </c>
      <c r="I188" t="str">
        <f t="shared" si="67"/>
        <v>POL (SD 25-32)</v>
      </c>
      <c r="K188" s="20" t="str">
        <f t="shared" si="70"/>
        <v/>
      </c>
      <c r="L188" s="23"/>
      <c r="M188" s="21" t="str">
        <f t="shared" si="71"/>
        <v/>
      </c>
      <c r="N188" s="23"/>
      <c r="O188" s="21" t="str">
        <f t="shared" si="72"/>
        <v/>
      </c>
      <c r="P188" s="23"/>
      <c r="Q188" s="21" t="str">
        <f t="shared" si="73"/>
        <v/>
      </c>
      <c r="R188" s="23"/>
      <c r="S188" s="21">
        <f t="shared" si="74"/>
        <v>1</v>
      </c>
      <c r="T188" s="23" t="s">
        <v>138</v>
      </c>
      <c r="U188" s="21" t="str">
        <f t="shared" si="75"/>
        <v/>
      </c>
      <c r="V188" s="23" t="s">
        <v>132</v>
      </c>
      <c r="W188" s="21" t="str">
        <f t="shared" si="76"/>
        <v/>
      </c>
      <c r="X188" s="23"/>
      <c r="Y188" s="21" t="str">
        <f t="shared" si="77"/>
        <v/>
      </c>
      <c r="Z188" s="23"/>
      <c r="AA188" s="21" t="str">
        <f t="shared" si="78"/>
        <v/>
      </c>
      <c r="AB188" s="23"/>
      <c r="AC188" s="21" t="str">
        <f t="shared" si="79"/>
        <v/>
      </c>
      <c r="AD188" s="23"/>
      <c r="AG188" s="25" t="str">
        <f t="shared" si="68"/>
        <v/>
      </c>
      <c r="AK188" s="10" t="str">
        <f t="shared" si="57"/>
        <v/>
      </c>
      <c r="AL188" s="11" t="str">
        <f t="shared" si="58"/>
        <v/>
      </c>
      <c r="AM188" s="11" t="str">
        <f t="shared" si="59"/>
        <v/>
      </c>
      <c r="AN188" s="11" t="str">
        <f t="shared" si="60"/>
        <v/>
      </c>
      <c r="AO188" s="11" t="str">
        <f t="shared" si="61"/>
        <v/>
      </c>
      <c r="AP188" s="11">
        <f t="shared" si="62"/>
        <v>1</v>
      </c>
      <c r="AQ188" s="11" t="str">
        <f t="shared" si="63"/>
        <v/>
      </c>
      <c r="AR188" s="11" t="str">
        <f t="shared" si="64"/>
        <v/>
      </c>
      <c r="AS188" s="11" t="str">
        <f t="shared" si="65"/>
        <v/>
      </c>
      <c r="AT188" s="12" t="str">
        <f t="shared" si="66"/>
        <v/>
      </c>
    </row>
    <row r="189" spans="1:46" ht="18.75" x14ac:dyDescent="0.25">
      <c r="A189" s="5" t="s">
        <v>26</v>
      </c>
      <c r="B189" t="str">
        <f>'Final list of total hauls pros'!M186</f>
        <v>POL (SD 25-32)</v>
      </c>
      <c r="C189">
        <v>185</v>
      </c>
      <c r="D189">
        <f>'Final list of total hauls pros'!A186</f>
        <v>26091</v>
      </c>
      <c r="E189" t="str">
        <f t="shared" si="69"/>
        <v>26</v>
      </c>
      <c r="F189" t="str">
        <f>'Final list of total hauls pros'!B186</f>
        <v>39G9</v>
      </c>
      <c r="G189" t="str">
        <f>'Final list of total hauls pros'!I186</f>
        <v>POL</v>
      </c>
      <c r="H189" t="str">
        <f>'Final list of total hauls pros'!L186</f>
        <v>25-32</v>
      </c>
      <c r="I189" t="str">
        <f t="shared" si="67"/>
        <v>POL (SD 25-32)</v>
      </c>
      <c r="K189" s="20" t="str">
        <f t="shared" si="70"/>
        <v/>
      </c>
      <c r="L189" s="23"/>
      <c r="M189" s="21" t="str">
        <f t="shared" si="71"/>
        <v/>
      </c>
      <c r="N189" s="23"/>
      <c r="O189" s="21" t="str">
        <f t="shared" si="72"/>
        <v/>
      </c>
      <c r="P189" s="23"/>
      <c r="Q189" s="21" t="str">
        <f t="shared" si="73"/>
        <v/>
      </c>
      <c r="R189" s="23"/>
      <c r="S189" s="21">
        <f t="shared" si="74"/>
        <v>1</v>
      </c>
      <c r="T189" s="23"/>
      <c r="U189" s="21" t="str">
        <f t="shared" si="75"/>
        <v/>
      </c>
      <c r="V189" s="23"/>
      <c r="W189" s="21" t="str">
        <f t="shared" si="76"/>
        <v/>
      </c>
      <c r="X189" s="23"/>
      <c r="Y189" s="21" t="str">
        <f t="shared" si="77"/>
        <v/>
      </c>
      <c r="Z189" s="23"/>
      <c r="AA189" s="21" t="str">
        <f t="shared" si="78"/>
        <v/>
      </c>
      <c r="AB189" s="23"/>
      <c r="AC189" s="21" t="str">
        <f t="shared" si="79"/>
        <v/>
      </c>
      <c r="AD189" s="23"/>
      <c r="AG189" s="25" t="str">
        <f t="shared" si="68"/>
        <v/>
      </c>
      <c r="AK189" s="10" t="str">
        <f t="shared" si="57"/>
        <v/>
      </c>
      <c r="AL189" s="11" t="str">
        <f t="shared" si="58"/>
        <v/>
      </c>
      <c r="AM189" s="11" t="str">
        <f t="shared" si="59"/>
        <v/>
      </c>
      <c r="AN189" s="11" t="str">
        <f t="shared" si="60"/>
        <v/>
      </c>
      <c r="AO189" s="11">
        <f t="shared" si="61"/>
        <v>1</v>
      </c>
      <c r="AP189" s="11" t="str">
        <f t="shared" si="62"/>
        <v/>
      </c>
      <c r="AQ189" s="11" t="str">
        <f t="shared" si="63"/>
        <v/>
      </c>
      <c r="AR189" s="11" t="str">
        <f t="shared" si="64"/>
        <v/>
      </c>
      <c r="AS189" s="11" t="str">
        <f t="shared" si="65"/>
        <v/>
      </c>
      <c r="AT189" s="12" t="str">
        <f t="shared" si="66"/>
        <v/>
      </c>
    </row>
    <row r="190" spans="1:46" ht="18.75" x14ac:dyDescent="0.25">
      <c r="A190" s="5" t="s">
        <v>26</v>
      </c>
      <c r="B190" t="str">
        <f>'Final list of total hauls pros'!M187</f>
        <v>POL (SD 25-32)</v>
      </c>
      <c r="C190">
        <v>186</v>
      </c>
      <c r="D190">
        <f>'Final list of total hauls pros'!A187</f>
        <v>26093</v>
      </c>
      <c r="E190" t="str">
        <f t="shared" si="69"/>
        <v>26</v>
      </c>
      <c r="F190" t="str">
        <f>'Final list of total hauls pros'!B187</f>
        <v>39G8</v>
      </c>
      <c r="G190" t="str">
        <f>'Final list of total hauls pros'!I187</f>
        <v>POL</v>
      </c>
      <c r="H190" t="str">
        <f>'Final list of total hauls pros'!L187</f>
        <v>25-32</v>
      </c>
      <c r="I190" t="str">
        <f t="shared" si="67"/>
        <v>POL (SD 25-32)</v>
      </c>
      <c r="K190" s="20" t="str">
        <f t="shared" si="70"/>
        <v/>
      </c>
      <c r="L190" s="23"/>
      <c r="M190" s="21" t="str">
        <f t="shared" si="71"/>
        <v/>
      </c>
      <c r="N190" s="23"/>
      <c r="O190" s="21" t="str">
        <f t="shared" si="72"/>
        <v/>
      </c>
      <c r="P190" s="23"/>
      <c r="Q190" s="21" t="str">
        <f t="shared" si="73"/>
        <v/>
      </c>
      <c r="R190" s="23"/>
      <c r="S190" s="21">
        <f t="shared" si="74"/>
        <v>1</v>
      </c>
      <c r="T190" s="23"/>
      <c r="U190" s="21" t="str">
        <f t="shared" si="75"/>
        <v/>
      </c>
      <c r="V190" s="23"/>
      <c r="W190" s="21" t="str">
        <f t="shared" si="76"/>
        <v/>
      </c>
      <c r="X190" s="23"/>
      <c r="Y190" s="21" t="str">
        <f t="shared" si="77"/>
        <v/>
      </c>
      <c r="Z190" s="23"/>
      <c r="AA190" s="21" t="str">
        <f t="shared" si="78"/>
        <v/>
      </c>
      <c r="AB190" s="23"/>
      <c r="AC190" s="21" t="str">
        <f t="shared" si="79"/>
        <v/>
      </c>
      <c r="AD190" s="23"/>
      <c r="AG190" s="25" t="str">
        <f t="shared" si="68"/>
        <v/>
      </c>
      <c r="AK190" s="10" t="str">
        <f t="shared" si="57"/>
        <v/>
      </c>
      <c r="AL190" s="11" t="str">
        <f t="shared" si="58"/>
        <v/>
      </c>
      <c r="AM190" s="11" t="str">
        <f t="shared" si="59"/>
        <v/>
      </c>
      <c r="AN190" s="11" t="str">
        <f t="shared" si="60"/>
        <v/>
      </c>
      <c r="AO190" s="11">
        <f t="shared" si="61"/>
        <v>1</v>
      </c>
      <c r="AP190" s="11" t="str">
        <f t="shared" si="62"/>
        <v/>
      </c>
      <c r="AQ190" s="11" t="str">
        <f t="shared" si="63"/>
        <v/>
      </c>
      <c r="AR190" s="11" t="str">
        <f t="shared" si="64"/>
        <v/>
      </c>
      <c r="AS190" s="11" t="str">
        <f t="shared" si="65"/>
        <v/>
      </c>
      <c r="AT190" s="12" t="str">
        <f t="shared" si="66"/>
        <v/>
      </c>
    </row>
    <row r="191" spans="1:46" ht="18.75" x14ac:dyDescent="0.25">
      <c r="A191" s="5" t="s">
        <v>26</v>
      </c>
      <c r="B191" t="str">
        <f>'Final list of total hauls pros'!M188</f>
        <v>POL (SD 25-32)</v>
      </c>
      <c r="C191">
        <v>187</v>
      </c>
      <c r="D191">
        <f>'Final list of total hauls pros'!A188</f>
        <v>26094</v>
      </c>
      <c r="E191" t="str">
        <f t="shared" si="69"/>
        <v>26</v>
      </c>
      <c r="F191" t="str">
        <f>'Final list of total hauls pros'!B188</f>
        <v>39G8</v>
      </c>
      <c r="G191" t="str">
        <f>'Final list of total hauls pros'!I188</f>
        <v>POL</v>
      </c>
      <c r="H191" t="str">
        <f>'Final list of total hauls pros'!L188</f>
        <v>25-32</v>
      </c>
      <c r="I191" t="str">
        <f t="shared" si="67"/>
        <v>POL (SD 25-32)</v>
      </c>
      <c r="K191" s="20" t="str">
        <f t="shared" si="70"/>
        <v/>
      </c>
      <c r="L191" s="23"/>
      <c r="M191" s="21" t="str">
        <f t="shared" si="71"/>
        <v/>
      </c>
      <c r="N191" s="23"/>
      <c r="O191" s="21" t="str">
        <f t="shared" si="72"/>
        <v/>
      </c>
      <c r="P191" s="23"/>
      <c r="Q191" s="21" t="str">
        <f t="shared" si="73"/>
        <v/>
      </c>
      <c r="R191" s="23"/>
      <c r="S191" s="21">
        <f t="shared" si="74"/>
        <v>1</v>
      </c>
      <c r="T191" s="23"/>
      <c r="U191" s="21" t="str">
        <f t="shared" si="75"/>
        <v/>
      </c>
      <c r="V191" s="23"/>
      <c r="W191" s="21" t="str">
        <f t="shared" si="76"/>
        <v/>
      </c>
      <c r="X191" s="23"/>
      <c r="Y191" s="21" t="str">
        <f t="shared" si="77"/>
        <v/>
      </c>
      <c r="Z191" s="23"/>
      <c r="AA191" s="21" t="str">
        <f t="shared" si="78"/>
        <v/>
      </c>
      <c r="AB191" s="23"/>
      <c r="AC191" s="21" t="str">
        <f t="shared" si="79"/>
        <v/>
      </c>
      <c r="AD191" s="23"/>
      <c r="AG191" s="25" t="str">
        <f t="shared" si="68"/>
        <v/>
      </c>
      <c r="AK191" s="10" t="str">
        <f t="shared" si="57"/>
        <v/>
      </c>
      <c r="AL191" s="11" t="str">
        <f t="shared" si="58"/>
        <v/>
      </c>
      <c r="AM191" s="11" t="str">
        <f t="shared" si="59"/>
        <v/>
      </c>
      <c r="AN191" s="11" t="str">
        <f t="shared" si="60"/>
        <v/>
      </c>
      <c r="AO191" s="11">
        <f t="shared" si="61"/>
        <v>1</v>
      </c>
      <c r="AP191" s="11" t="str">
        <f t="shared" si="62"/>
        <v/>
      </c>
      <c r="AQ191" s="11" t="str">
        <f t="shared" si="63"/>
        <v/>
      </c>
      <c r="AR191" s="11" t="str">
        <f t="shared" si="64"/>
        <v/>
      </c>
      <c r="AS191" s="11" t="str">
        <f t="shared" si="65"/>
        <v/>
      </c>
      <c r="AT191" s="12" t="str">
        <f t="shared" si="66"/>
        <v/>
      </c>
    </row>
    <row r="192" spans="1:46" ht="18.75" x14ac:dyDescent="0.25">
      <c r="A192" s="5" t="s">
        <v>26</v>
      </c>
      <c r="B192" t="str">
        <f>'Final list of total hauls pros'!M189</f>
        <v>POL (SD 25-32)</v>
      </c>
      <c r="C192">
        <v>188</v>
      </c>
      <c r="D192">
        <f>'Final list of total hauls pros'!A189</f>
        <v>26099</v>
      </c>
      <c r="E192" t="str">
        <f t="shared" si="69"/>
        <v>26</v>
      </c>
      <c r="F192" t="str">
        <f>'Final list of total hauls pros'!B189</f>
        <v>39G8</v>
      </c>
      <c r="G192" t="str">
        <f>'Final list of total hauls pros'!I189</f>
        <v>POL</v>
      </c>
      <c r="H192" t="str">
        <f>'Final list of total hauls pros'!L189</f>
        <v>25-32</v>
      </c>
      <c r="I192" t="str">
        <f t="shared" si="67"/>
        <v>DEN (SD 25-32)</v>
      </c>
      <c r="K192" s="20" t="str">
        <f t="shared" si="70"/>
        <v/>
      </c>
      <c r="L192" s="23"/>
      <c r="M192" s="21">
        <f t="shared" si="71"/>
        <v>1</v>
      </c>
      <c r="N192" s="23" t="s">
        <v>138</v>
      </c>
      <c r="O192" s="21" t="str">
        <f t="shared" si="72"/>
        <v/>
      </c>
      <c r="P192" s="23"/>
      <c r="Q192" s="21" t="str">
        <f t="shared" si="73"/>
        <v/>
      </c>
      <c r="R192" s="23"/>
      <c r="S192" s="21" t="str">
        <f t="shared" si="74"/>
        <v/>
      </c>
      <c r="T192" s="23" t="s">
        <v>132</v>
      </c>
      <c r="U192" s="21" t="str">
        <f t="shared" si="75"/>
        <v/>
      </c>
      <c r="V192" s="23"/>
      <c r="W192" s="21" t="str">
        <f t="shared" si="76"/>
        <v/>
      </c>
      <c r="X192" s="23"/>
      <c r="Y192" s="21" t="str">
        <f t="shared" si="77"/>
        <v/>
      </c>
      <c r="Z192" s="23"/>
      <c r="AA192" s="21" t="str">
        <f t="shared" si="78"/>
        <v/>
      </c>
      <c r="AB192" s="23"/>
      <c r="AC192" s="21" t="str">
        <f t="shared" si="79"/>
        <v/>
      </c>
      <c r="AD192" s="23"/>
      <c r="AG192" s="25" t="str">
        <f t="shared" si="68"/>
        <v/>
      </c>
      <c r="AK192" s="10" t="str">
        <f t="shared" si="57"/>
        <v/>
      </c>
      <c r="AL192" s="11" t="str">
        <f t="shared" si="58"/>
        <v/>
      </c>
      <c r="AM192" s="11" t="str">
        <f t="shared" si="59"/>
        <v/>
      </c>
      <c r="AN192" s="11" t="str">
        <f t="shared" si="60"/>
        <v/>
      </c>
      <c r="AO192" s="11">
        <f t="shared" si="61"/>
        <v>1</v>
      </c>
      <c r="AP192" s="11" t="str">
        <f t="shared" si="62"/>
        <v/>
      </c>
      <c r="AQ192" s="11" t="str">
        <f t="shared" si="63"/>
        <v/>
      </c>
      <c r="AR192" s="11" t="str">
        <f t="shared" si="64"/>
        <v/>
      </c>
      <c r="AS192" s="11" t="str">
        <f t="shared" si="65"/>
        <v/>
      </c>
      <c r="AT192" s="12" t="str">
        <f t="shared" si="66"/>
        <v/>
      </c>
    </row>
    <row r="193" spans="1:46" ht="18.75" x14ac:dyDescent="0.25">
      <c r="A193" s="5" t="s">
        <v>26</v>
      </c>
      <c r="B193" t="str">
        <f>'Final list of total hauls pros'!M190</f>
        <v>POL (SD 25-32)</v>
      </c>
      <c r="C193">
        <v>189</v>
      </c>
      <c r="D193">
        <f>'Final list of total hauls pros'!A190</f>
        <v>26105</v>
      </c>
      <c r="E193" t="str">
        <f t="shared" si="69"/>
        <v>26</v>
      </c>
      <c r="F193" t="str">
        <f>'Final list of total hauls pros'!B190</f>
        <v>39G8</v>
      </c>
      <c r="G193" t="str">
        <f>'Final list of total hauls pros'!I190</f>
        <v>POL</v>
      </c>
      <c r="H193" t="str">
        <f>'Final list of total hauls pros'!L190</f>
        <v>25-32</v>
      </c>
      <c r="I193" t="str">
        <f t="shared" si="67"/>
        <v>DEN (SD 25-32)</v>
      </c>
      <c r="K193" s="20" t="str">
        <f t="shared" si="70"/>
        <v/>
      </c>
      <c r="L193" s="23"/>
      <c r="M193" s="21">
        <f t="shared" si="71"/>
        <v>1</v>
      </c>
      <c r="N193" s="23" t="s">
        <v>138</v>
      </c>
      <c r="O193" s="21" t="str">
        <f t="shared" si="72"/>
        <v/>
      </c>
      <c r="P193" s="23"/>
      <c r="Q193" s="21" t="str">
        <f t="shared" si="73"/>
        <v/>
      </c>
      <c r="R193" s="23"/>
      <c r="S193" s="21" t="str">
        <f t="shared" si="74"/>
        <v/>
      </c>
      <c r="T193" s="23" t="s">
        <v>132</v>
      </c>
      <c r="U193" s="21" t="str">
        <f t="shared" si="75"/>
        <v/>
      </c>
      <c r="V193" s="23"/>
      <c r="W193" s="21" t="str">
        <f t="shared" si="76"/>
        <v/>
      </c>
      <c r="X193" s="23"/>
      <c r="Y193" s="21" t="str">
        <f t="shared" si="77"/>
        <v/>
      </c>
      <c r="Z193" s="23"/>
      <c r="AA193" s="21" t="str">
        <f t="shared" si="78"/>
        <v/>
      </c>
      <c r="AB193" s="23"/>
      <c r="AC193" s="21" t="str">
        <f t="shared" si="79"/>
        <v/>
      </c>
      <c r="AD193" s="23"/>
      <c r="AG193" s="25" t="str">
        <f t="shared" si="68"/>
        <v/>
      </c>
      <c r="AK193" s="10" t="str">
        <f t="shared" si="57"/>
        <v/>
      </c>
      <c r="AL193" s="11" t="str">
        <f t="shared" si="58"/>
        <v/>
      </c>
      <c r="AM193" s="11" t="str">
        <f t="shared" si="59"/>
        <v/>
      </c>
      <c r="AN193" s="11" t="str">
        <f t="shared" si="60"/>
        <v/>
      </c>
      <c r="AO193" s="11">
        <f t="shared" si="61"/>
        <v>1</v>
      </c>
      <c r="AP193" s="11" t="str">
        <f t="shared" si="62"/>
        <v/>
      </c>
      <c r="AQ193" s="11" t="str">
        <f t="shared" si="63"/>
        <v/>
      </c>
      <c r="AR193" s="11" t="str">
        <f t="shared" si="64"/>
        <v/>
      </c>
      <c r="AS193" s="11" t="str">
        <f t="shared" si="65"/>
        <v/>
      </c>
      <c r="AT193" s="12" t="str">
        <f t="shared" si="66"/>
        <v/>
      </c>
    </row>
    <row r="194" spans="1:46" ht="18.75" x14ac:dyDescent="0.25">
      <c r="A194" s="5" t="s">
        <v>26</v>
      </c>
      <c r="B194" t="str">
        <f>'Final list of total hauls pros'!M191</f>
        <v>POL (SD 25-32)</v>
      </c>
      <c r="C194">
        <v>190</v>
      </c>
      <c r="D194">
        <f>'Final list of total hauls pros'!A191</f>
        <v>26107</v>
      </c>
      <c r="E194" t="str">
        <f t="shared" si="69"/>
        <v>26</v>
      </c>
      <c r="F194" t="str">
        <f>'Final list of total hauls pros'!B191</f>
        <v>39G9</v>
      </c>
      <c r="G194" t="str">
        <f>'Final list of total hauls pros'!I191</f>
        <v>POL</v>
      </c>
      <c r="H194" t="str">
        <f>'Final list of total hauls pros'!L191</f>
        <v>25-32</v>
      </c>
      <c r="I194" t="str">
        <f t="shared" si="67"/>
        <v>POL (SD 25-32)</v>
      </c>
      <c r="K194" s="20" t="str">
        <f t="shared" si="70"/>
        <v/>
      </c>
      <c r="L194" s="23"/>
      <c r="M194" s="21" t="str">
        <f t="shared" si="71"/>
        <v/>
      </c>
      <c r="N194" s="23"/>
      <c r="O194" s="21" t="str">
        <f t="shared" si="72"/>
        <v/>
      </c>
      <c r="P194" s="23"/>
      <c r="Q194" s="21" t="str">
        <f t="shared" si="73"/>
        <v/>
      </c>
      <c r="R194" s="23"/>
      <c r="S194" s="21">
        <f t="shared" si="74"/>
        <v>1</v>
      </c>
      <c r="T194" s="23"/>
      <c r="U194" s="21" t="str">
        <f t="shared" si="75"/>
        <v/>
      </c>
      <c r="V194" s="23"/>
      <c r="W194" s="21" t="str">
        <f t="shared" si="76"/>
        <v/>
      </c>
      <c r="X194" s="23"/>
      <c r="Y194" s="21" t="str">
        <f t="shared" si="77"/>
        <v/>
      </c>
      <c r="Z194" s="23"/>
      <c r="AA194" s="21" t="str">
        <f t="shared" si="78"/>
        <v/>
      </c>
      <c r="AB194" s="23"/>
      <c r="AC194" s="21" t="str">
        <f t="shared" si="79"/>
        <v/>
      </c>
      <c r="AD194" s="23"/>
      <c r="AG194" s="25" t="str">
        <f t="shared" si="68"/>
        <v/>
      </c>
      <c r="AK194" s="10" t="str">
        <f t="shared" si="57"/>
        <v/>
      </c>
      <c r="AL194" s="11" t="str">
        <f t="shared" si="58"/>
        <v/>
      </c>
      <c r="AM194" s="11" t="str">
        <f t="shared" si="59"/>
        <v/>
      </c>
      <c r="AN194" s="11" t="str">
        <f t="shared" si="60"/>
        <v/>
      </c>
      <c r="AO194" s="11">
        <f t="shared" si="61"/>
        <v>1</v>
      </c>
      <c r="AP194" s="11" t="str">
        <f t="shared" si="62"/>
        <v/>
      </c>
      <c r="AQ194" s="11" t="str">
        <f t="shared" si="63"/>
        <v/>
      </c>
      <c r="AR194" s="11" t="str">
        <f t="shared" si="64"/>
        <v/>
      </c>
      <c r="AS194" s="11" t="str">
        <f t="shared" si="65"/>
        <v/>
      </c>
      <c r="AT194" s="12" t="str">
        <f t="shared" si="66"/>
        <v/>
      </c>
    </row>
    <row r="195" spans="1:46" ht="18.75" x14ac:dyDescent="0.25">
      <c r="A195" s="5" t="s">
        <v>26</v>
      </c>
      <c r="B195" t="str">
        <f>'Final list of total hauls pros'!M192</f>
        <v>POL (SD 25-32)</v>
      </c>
      <c r="C195">
        <v>191</v>
      </c>
      <c r="D195">
        <f>'Final list of total hauls pros'!A192</f>
        <v>26110</v>
      </c>
      <c r="E195" t="str">
        <f t="shared" si="69"/>
        <v>26</v>
      </c>
      <c r="F195" t="str">
        <f>'Final list of total hauls pros'!B192</f>
        <v>40G8</v>
      </c>
      <c r="G195" t="str">
        <f>'Final list of total hauls pros'!I192</f>
        <v>POL</v>
      </c>
      <c r="H195" t="str">
        <f>'Final list of total hauls pros'!L192</f>
        <v>25-32</v>
      </c>
      <c r="I195" t="str">
        <f t="shared" si="67"/>
        <v>DEN (SD 25-32)</v>
      </c>
      <c r="K195" s="20" t="str">
        <f t="shared" si="70"/>
        <v/>
      </c>
      <c r="L195" s="23"/>
      <c r="M195" s="21">
        <f t="shared" si="71"/>
        <v>1</v>
      </c>
      <c r="N195" s="23" t="s">
        <v>138</v>
      </c>
      <c r="O195" s="21" t="str">
        <f t="shared" si="72"/>
        <v/>
      </c>
      <c r="P195" s="23"/>
      <c r="Q195" s="21" t="str">
        <f t="shared" si="73"/>
        <v/>
      </c>
      <c r="R195" s="23"/>
      <c r="S195" s="21" t="str">
        <f t="shared" si="74"/>
        <v/>
      </c>
      <c r="T195" s="23" t="s">
        <v>132</v>
      </c>
      <c r="U195" s="21" t="str">
        <f t="shared" si="75"/>
        <v/>
      </c>
      <c r="V195" s="23"/>
      <c r="W195" s="21" t="str">
        <f t="shared" si="76"/>
        <v/>
      </c>
      <c r="X195" s="23"/>
      <c r="Y195" s="21" t="str">
        <f t="shared" si="77"/>
        <v/>
      </c>
      <c r="Z195" s="23"/>
      <c r="AA195" s="21" t="str">
        <f t="shared" si="78"/>
        <v/>
      </c>
      <c r="AB195" s="23"/>
      <c r="AC195" s="21" t="str">
        <f t="shared" si="79"/>
        <v/>
      </c>
      <c r="AD195" s="23"/>
      <c r="AG195" s="25" t="str">
        <f t="shared" si="68"/>
        <v/>
      </c>
      <c r="AK195" s="10" t="str">
        <f t="shared" si="57"/>
        <v/>
      </c>
      <c r="AL195" s="11" t="str">
        <f t="shared" si="58"/>
        <v/>
      </c>
      <c r="AM195" s="11" t="str">
        <f t="shared" si="59"/>
        <v/>
      </c>
      <c r="AN195" s="11" t="str">
        <f t="shared" si="60"/>
        <v/>
      </c>
      <c r="AO195" s="11">
        <f t="shared" si="61"/>
        <v>1</v>
      </c>
      <c r="AP195" s="11" t="str">
        <f t="shared" si="62"/>
        <v/>
      </c>
      <c r="AQ195" s="11" t="str">
        <f t="shared" si="63"/>
        <v/>
      </c>
      <c r="AR195" s="11" t="str">
        <f t="shared" si="64"/>
        <v/>
      </c>
      <c r="AS195" s="11" t="str">
        <f t="shared" si="65"/>
        <v/>
      </c>
      <c r="AT195" s="12" t="str">
        <f t="shared" si="66"/>
        <v/>
      </c>
    </row>
    <row r="196" spans="1:46" ht="18.75" x14ac:dyDescent="0.25">
      <c r="A196" s="5" t="s">
        <v>26</v>
      </c>
      <c r="B196" t="str">
        <f>'Final list of total hauls pros'!M193</f>
        <v>LTU (SD 25-32)</v>
      </c>
      <c r="C196">
        <v>192</v>
      </c>
      <c r="D196">
        <f>'Final list of total hauls pros'!A193</f>
        <v>26122</v>
      </c>
      <c r="E196" t="str">
        <f t="shared" si="69"/>
        <v>26</v>
      </c>
      <c r="F196" t="str">
        <f>'Final list of total hauls pros'!B193</f>
        <v>40G9</v>
      </c>
      <c r="G196" t="str">
        <f>'Final list of total hauls pros'!I193</f>
        <v>LTU</v>
      </c>
      <c r="H196" t="str">
        <f>'Final list of total hauls pros'!L193</f>
        <v>25-32</v>
      </c>
      <c r="I196" t="str">
        <f t="shared" si="67"/>
        <v>POL (SD 25-32)</v>
      </c>
      <c r="K196" s="20" t="str">
        <f t="shared" si="70"/>
        <v/>
      </c>
      <c r="L196" s="23"/>
      <c r="M196" s="21" t="str">
        <f t="shared" si="71"/>
        <v/>
      </c>
      <c r="N196" s="23"/>
      <c r="O196" s="21" t="str">
        <f t="shared" si="72"/>
        <v/>
      </c>
      <c r="P196" s="23"/>
      <c r="Q196" s="21" t="str">
        <f t="shared" si="73"/>
        <v/>
      </c>
      <c r="R196" s="23"/>
      <c r="S196" s="21">
        <f t="shared" si="74"/>
        <v>1</v>
      </c>
      <c r="T196" s="23" t="s">
        <v>138</v>
      </c>
      <c r="U196" s="21" t="str">
        <f t="shared" si="75"/>
        <v/>
      </c>
      <c r="V196" s="23"/>
      <c r="W196" s="21" t="str">
        <f t="shared" si="76"/>
        <v/>
      </c>
      <c r="X196" s="23"/>
      <c r="Y196" s="21" t="str">
        <f t="shared" si="77"/>
        <v/>
      </c>
      <c r="Z196" s="23"/>
      <c r="AA196" s="21" t="str">
        <f t="shared" si="78"/>
        <v/>
      </c>
      <c r="AB196" s="23" t="s">
        <v>132</v>
      </c>
      <c r="AC196" s="21" t="str">
        <f t="shared" si="79"/>
        <v/>
      </c>
      <c r="AD196" s="23"/>
      <c r="AG196" s="25" t="str">
        <f t="shared" si="68"/>
        <v/>
      </c>
      <c r="AK196" s="10" t="str">
        <f t="shared" si="57"/>
        <v/>
      </c>
      <c r="AL196" s="11" t="str">
        <f t="shared" si="58"/>
        <v/>
      </c>
      <c r="AM196" s="11" t="str">
        <f t="shared" si="59"/>
        <v/>
      </c>
      <c r="AN196" s="11" t="str">
        <f t="shared" si="60"/>
        <v/>
      </c>
      <c r="AO196" s="11" t="str">
        <f t="shared" si="61"/>
        <v/>
      </c>
      <c r="AP196" s="11" t="str">
        <f t="shared" si="62"/>
        <v/>
      </c>
      <c r="AQ196" s="11" t="str">
        <f t="shared" si="63"/>
        <v/>
      </c>
      <c r="AR196" s="11" t="str">
        <f t="shared" si="64"/>
        <v/>
      </c>
      <c r="AS196" s="11">
        <f t="shared" si="65"/>
        <v>1</v>
      </c>
      <c r="AT196" s="12" t="str">
        <f t="shared" si="66"/>
        <v/>
      </c>
    </row>
    <row r="197" spans="1:46" ht="18.75" x14ac:dyDescent="0.25">
      <c r="A197" s="5" t="s">
        <v>26</v>
      </c>
      <c r="B197" t="str">
        <f>'Final list of total hauls pros'!M194</f>
        <v>POL (SD 25-32)</v>
      </c>
      <c r="C197">
        <v>193</v>
      </c>
      <c r="D197">
        <f>'Final list of total hauls pros'!A194</f>
        <v>26124</v>
      </c>
      <c r="E197" t="str">
        <f t="shared" si="69"/>
        <v>26</v>
      </c>
      <c r="F197" t="str">
        <f>'Final list of total hauls pros'!B194</f>
        <v>41G8</v>
      </c>
      <c r="G197" t="str">
        <f>'Final list of total hauls pros'!I194</f>
        <v>SWE</v>
      </c>
      <c r="H197" t="str">
        <f>'Final list of total hauls pros'!L194</f>
        <v>25-32</v>
      </c>
      <c r="I197" t="str">
        <f t="shared" si="67"/>
        <v>POL (SD 25-32)</v>
      </c>
      <c r="K197" s="20" t="str">
        <f t="shared" si="70"/>
        <v/>
      </c>
      <c r="L197" s="23"/>
      <c r="M197" s="21" t="str">
        <f t="shared" si="71"/>
        <v/>
      </c>
      <c r="N197" s="23"/>
      <c r="O197" s="21" t="str">
        <f t="shared" si="72"/>
        <v/>
      </c>
      <c r="P197" s="23"/>
      <c r="Q197" s="21" t="str">
        <f t="shared" si="73"/>
        <v/>
      </c>
      <c r="R197" s="23"/>
      <c r="S197" s="21">
        <f t="shared" si="74"/>
        <v>1</v>
      </c>
      <c r="T197" s="23"/>
      <c r="U197" s="21" t="str">
        <f t="shared" si="75"/>
        <v/>
      </c>
      <c r="V197" s="23"/>
      <c r="W197" s="21" t="str">
        <f t="shared" si="76"/>
        <v/>
      </c>
      <c r="X197" s="23"/>
      <c r="Y197" s="21" t="str">
        <f t="shared" si="77"/>
        <v/>
      </c>
      <c r="Z197" s="23"/>
      <c r="AA197" s="21" t="str">
        <f t="shared" si="78"/>
        <v/>
      </c>
      <c r="AB197" s="23"/>
      <c r="AC197" s="21" t="str">
        <f t="shared" si="79"/>
        <v/>
      </c>
      <c r="AD197" s="23"/>
      <c r="AG197" s="25" t="str">
        <f t="shared" si="68"/>
        <v/>
      </c>
      <c r="AK197" s="10" t="str">
        <f t="shared" ref="AK197:AK260" si="80">IF(B197="DEN (SD 21-24)",1,"")</f>
        <v/>
      </c>
      <c r="AL197" s="11" t="str">
        <f t="shared" ref="AL197:AL260" si="81">IF(B197="DEN (SD 25-32)",1,"")</f>
        <v/>
      </c>
      <c r="AM197" s="11" t="str">
        <f t="shared" ref="AM197:AM260" si="82">IF(B197="SWE (SD 25-32)",1,"")</f>
        <v/>
      </c>
      <c r="AN197" s="11" t="str">
        <f t="shared" ref="AN197:AN260" si="83">IF(B197="POL (SD 21-24)",1,"")</f>
        <v/>
      </c>
      <c r="AO197" s="11">
        <f t="shared" ref="AO197:AO260" si="84">IF(B197="POL (SD 25-32)",1,"")</f>
        <v>1</v>
      </c>
      <c r="AP197" s="11" t="str">
        <f t="shared" ref="AP197:AP260" si="85">IF(B197="LAT (SD 25-32)",1,"")</f>
        <v/>
      </c>
      <c r="AQ197" s="11" t="str">
        <f t="shared" ref="AQ197:AQ260" si="86">IF(B197="EST (SD 25-32)",1,"")</f>
        <v/>
      </c>
      <c r="AR197" s="11" t="str">
        <f t="shared" ref="AR197:AR260" si="87">IF(B197="GFR (SD 21-24)",1,"")</f>
        <v/>
      </c>
      <c r="AS197" s="11" t="str">
        <f t="shared" ref="AS197:AS260" si="88">IF(B197="LTU (SD 25-32)",1,"")</f>
        <v/>
      </c>
      <c r="AT197" s="12" t="str">
        <f t="shared" ref="AT197:AT260" si="89">IF(B197="RUS (SD 25-32)",1,"")</f>
        <v/>
      </c>
    </row>
    <row r="198" spans="1:46" ht="18.75" x14ac:dyDescent="0.25">
      <c r="A198" s="5" t="s">
        <v>26</v>
      </c>
      <c r="B198" t="str">
        <f>'Final list of total hauls pros'!M195</f>
        <v>SWE (SD 25-32)</v>
      </c>
      <c r="C198">
        <v>194</v>
      </c>
      <c r="D198">
        <f>'Final list of total hauls pros'!A195</f>
        <v>26125</v>
      </c>
      <c r="E198" t="str">
        <f t="shared" si="69"/>
        <v>26</v>
      </c>
      <c r="F198" t="str">
        <f>'Final list of total hauls pros'!B195</f>
        <v>42G8</v>
      </c>
      <c r="G198" t="str">
        <f>'Final list of total hauls pros'!I195</f>
        <v>SWE</v>
      </c>
      <c r="H198" t="str">
        <f>'Final list of total hauls pros'!L195</f>
        <v>25-32</v>
      </c>
      <c r="I198" t="str">
        <f t="shared" ref="I198:I261" si="90">IF(L198="+",$K$2,IF(N198="+",$M$2,IF(P198="+",$O$2,IF(R198="+",$Q$2,IF(T198="+",$S$2,IF(V198="+",$U$2,IF(X198="+",$W$2,IF(Z198="+",$Y$2,IF(AB198="+",$AA$2,IF(AD198="+",$AC$2,B198))))))))))</f>
        <v>POL (SD 25-32)</v>
      </c>
      <c r="K198" s="20" t="str">
        <f t="shared" si="70"/>
        <v/>
      </c>
      <c r="L198" s="23"/>
      <c r="M198" s="21" t="str">
        <f t="shared" si="71"/>
        <v/>
      </c>
      <c r="N198" s="23"/>
      <c r="O198" s="21" t="str">
        <f t="shared" si="72"/>
        <v/>
      </c>
      <c r="P198" s="23" t="s">
        <v>132</v>
      </c>
      <c r="Q198" s="21" t="str">
        <f t="shared" si="73"/>
        <v/>
      </c>
      <c r="R198" s="23"/>
      <c r="S198" s="21">
        <f t="shared" si="74"/>
        <v>1</v>
      </c>
      <c r="T198" s="23" t="s">
        <v>138</v>
      </c>
      <c r="U198" s="21" t="str">
        <f t="shared" si="75"/>
        <v/>
      </c>
      <c r="V198" s="23"/>
      <c r="W198" s="21" t="str">
        <f t="shared" si="76"/>
        <v/>
      </c>
      <c r="X198" s="23"/>
      <c r="Y198" s="21" t="str">
        <f t="shared" si="77"/>
        <v/>
      </c>
      <c r="Z198" s="23"/>
      <c r="AA198" s="21" t="str">
        <f t="shared" si="78"/>
        <v/>
      </c>
      <c r="AB198" s="23"/>
      <c r="AC198" s="21" t="str">
        <f t="shared" si="79"/>
        <v/>
      </c>
      <c r="AD198" s="23"/>
      <c r="AG198" s="25" t="str">
        <f t="shared" ref="AG198:AG261" si="91">IF(SUM(K198:AC198)&lt;&gt;1,"FEJL","")</f>
        <v/>
      </c>
      <c r="AK198" s="10" t="str">
        <f t="shared" si="80"/>
        <v/>
      </c>
      <c r="AL198" s="11" t="str">
        <f t="shared" si="81"/>
        <v/>
      </c>
      <c r="AM198" s="11">
        <f t="shared" si="82"/>
        <v>1</v>
      </c>
      <c r="AN198" s="11" t="str">
        <f t="shared" si="83"/>
        <v/>
      </c>
      <c r="AO198" s="11" t="str">
        <f t="shared" si="84"/>
        <v/>
      </c>
      <c r="AP198" s="11" t="str">
        <f t="shared" si="85"/>
        <v/>
      </c>
      <c r="AQ198" s="11" t="str">
        <f t="shared" si="86"/>
        <v/>
      </c>
      <c r="AR198" s="11" t="str">
        <f t="shared" si="87"/>
        <v/>
      </c>
      <c r="AS198" s="11" t="str">
        <f t="shared" si="88"/>
        <v/>
      </c>
      <c r="AT198" s="12" t="str">
        <f t="shared" si="89"/>
        <v/>
      </c>
    </row>
    <row r="199" spans="1:46" ht="18.75" x14ac:dyDescent="0.25">
      <c r="A199" s="5" t="s">
        <v>26</v>
      </c>
      <c r="B199" t="str">
        <f>'Final list of total hauls pros'!M196</f>
        <v>POL (SD 25-32)</v>
      </c>
      <c r="C199">
        <v>195</v>
      </c>
      <c r="D199">
        <f>'Final list of total hauls pros'!A196</f>
        <v>26131</v>
      </c>
      <c r="E199" t="str">
        <f t="shared" si="69"/>
        <v>26</v>
      </c>
      <c r="F199" t="str">
        <f>'Final list of total hauls pros'!B196</f>
        <v>37G9</v>
      </c>
      <c r="G199" t="str">
        <f>'Final list of total hauls pros'!I196</f>
        <v>POL</v>
      </c>
      <c r="H199" t="str">
        <f>'Final list of total hauls pros'!L196</f>
        <v>25-32</v>
      </c>
      <c r="I199" t="str">
        <f t="shared" si="90"/>
        <v>POL (SD 25-32)</v>
      </c>
      <c r="K199" s="20" t="str">
        <f t="shared" si="70"/>
        <v/>
      </c>
      <c r="L199" s="23"/>
      <c r="M199" s="21" t="str">
        <f t="shared" si="71"/>
        <v/>
      </c>
      <c r="N199" s="23"/>
      <c r="O199" s="21" t="str">
        <f t="shared" si="72"/>
        <v/>
      </c>
      <c r="P199" s="23"/>
      <c r="Q199" s="21" t="str">
        <f t="shared" si="73"/>
        <v/>
      </c>
      <c r="R199" s="23"/>
      <c r="S199" s="21">
        <f t="shared" si="74"/>
        <v>1</v>
      </c>
      <c r="T199" s="23"/>
      <c r="U199" s="21" t="str">
        <f t="shared" si="75"/>
        <v/>
      </c>
      <c r="V199" s="23"/>
      <c r="W199" s="21" t="str">
        <f t="shared" si="76"/>
        <v/>
      </c>
      <c r="X199" s="23"/>
      <c r="Y199" s="21" t="str">
        <f t="shared" si="77"/>
        <v/>
      </c>
      <c r="Z199" s="23"/>
      <c r="AA199" s="21" t="str">
        <f t="shared" si="78"/>
        <v/>
      </c>
      <c r="AB199" s="23"/>
      <c r="AC199" s="21" t="str">
        <f t="shared" si="79"/>
        <v/>
      </c>
      <c r="AD199" s="23"/>
      <c r="AG199" s="25" t="str">
        <f t="shared" si="91"/>
        <v/>
      </c>
      <c r="AK199" s="10" t="str">
        <f t="shared" si="80"/>
        <v/>
      </c>
      <c r="AL199" s="11" t="str">
        <f t="shared" si="81"/>
        <v/>
      </c>
      <c r="AM199" s="11" t="str">
        <f t="shared" si="82"/>
        <v/>
      </c>
      <c r="AN199" s="11" t="str">
        <f t="shared" si="83"/>
        <v/>
      </c>
      <c r="AO199" s="11">
        <f t="shared" si="84"/>
        <v>1</v>
      </c>
      <c r="AP199" s="11" t="str">
        <f t="shared" si="85"/>
        <v/>
      </c>
      <c r="AQ199" s="11" t="str">
        <f t="shared" si="86"/>
        <v/>
      </c>
      <c r="AR199" s="11" t="str">
        <f t="shared" si="87"/>
        <v/>
      </c>
      <c r="AS199" s="11" t="str">
        <f t="shared" si="88"/>
        <v/>
      </c>
      <c r="AT199" s="12" t="str">
        <f t="shared" si="89"/>
        <v/>
      </c>
    </row>
    <row r="200" spans="1:46" ht="18.75" x14ac:dyDescent="0.25">
      <c r="A200" s="5" t="s">
        <v>26</v>
      </c>
      <c r="B200" t="str">
        <f>'Final list of total hauls pros'!M197</f>
        <v>POL (SD 25-32)</v>
      </c>
      <c r="C200">
        <v>196</v>
      </c>
      <c r="D200">
        <f>'Final list of total hauls pros'!A197</f>
        <v>26133</v>
      </c>
      <c r="E200" t="str">
        <f t="shared" si="69"/>
        <v>26</v>
      </c>
      <c r="F200" t="str">
        <f>'Final list of total hauls pros'!B197</f>
        <v>38G8</v>
      </c>
      <c r="G200" t="str">
        <f>'Final list of total hauls pros'!I197</f>
        <v>POL</v>
      </c>
      <c r="H200" t="str">
        <f>'Final list of total hauls pros'!L197</f>
        <v>25-32</v>
      </c>
      <c r="I200" t="str">
        <f t="shared" si="90"/>
        <v>POL (SD 25-32)</v>
      </c>
      <c r="K200" s="20" t="str">
        <f t="shared" si="70"/>
        <v/>
      </c>
      <c r="L200" s="23"/>
      <c r="M200" s="21" t="str">
        <f t="shared" si="71"/>
        <v/>
      </c>
      <c r="N200" s="23"/>
      <c r="O200" s="21" t="str">
        <f t="shared" si="72"/>
        <v/>
      </c>
      <c r="P200" s="23"/>
      <c r="Q200" s="21" t="str">
        <f t="shared" si="73"/>
        <v/>
      </c>
      <c r="R200" s="23"/>
      <c r="S200" s="21">
        <f t="shared" si="74"/>
        <v>1</v>
      </c>
      <c r="T200" s="23"/>
      <c r="U200" s="21" t="str">
        <f t="shared" si="75"/>
        <v/>
      </c>
      <c r="V200" s="23"/>
      <c r="W200" s="21" t="str">
        <f t="shared" si="76"/>
        <v/>
      </c>
      <c r="X200" s="23"/>
      <c r="Y200" s="21" t="str">
        <f t="shared" si="77"/>
        <v/>
      </c>
      <c r="Z200" s="23"/>
      <c r="AA200" s="21" t="str">
        <f t="shared" si="78"/>
        <v/>
      </c>
      <c r="AB200" s="23"/>
      <c r="AC200" s="21" t="str">
        <f t="shared" si="79"/>
        <v/>
      </c>
      <c r="AD200" s="23"/>
      <c r="AG200" s="25" t="str">
        <f t="shared" si="91"/>
        <v/>
      </c>
      <c r="AK200" s="10" t="str">
        <f t="shared" si="80"/>
        <v/>
      </c>
      <c r="AL200" s="11" t="str">
        <f t="shared" si="81"/>
        <v/>
      </c>
      <c r="AM200" s="11" t="str">
        <f t="shared" si="82"/>
        <v/>
      </c>
      <c r="AN200" s="11" t="str">
        <f t="shared" si="83"/>
        <v/>
      </c>
      <c r="AO200" s="11">
        <f t="shared" si="84"/>
        <v>1</v>
      </c>
      <c r="AP200" s="11" t="str">
        <f t="shared" si="85"/>
        <v/>
      </c>
      <c r="AQ200" s="11" t="str">
        <f t="shared" si="86"/>
        <v/>
      </c>
      <c r="AR200" s="11" t="str">
        <f t="shared" si="87"/>
        <v/>
      </c>
      <c r="AS200" s="11" t="str">
        <f t="shared" si="88"/>
        <v/>
      </c>
      <c r="AT200" s="12" t="str">
        <f t="shared" si="89"/>
        <v/>
      </c>
    </row>
    <row r="201" spans="1:46" ht="18.75" x14ac:dyDescent="0.25">
      <c r="A201" s="5" t="s">
        <v>26</v>
      </c>
      <c r="B201" t="str">
        <f>'Final list of total hauls pros'!M198</f>
        <v>POL (SD 25-32)</v>
      </c>
      <c r="C201">
        <v>197</v>
      </c>
      <c r="D201">
        <f>'Final list of total hauls pros'!A198</f>
        <v>26138</v>
      </c>
      <c r="E201" t="str">
        <f t="shared" si="69"/>
        <v>26</v>
      </c>
      <c r="F201" t="str">
        <f>'Final list of total hauls pros'!B198</f>
        <v>40G8</v>
      </c>
      <c r="G201" t="str">
        <f>'Final list of total hauls pros'!I198</f>
        <v>POL</v>
      </c>
      <c r="H201" t="str">
        <f>'Final list of total hauls pros'!L198</f>
        <v>25-32</v>
      </c>
      <c r="I201" t="str">
        <f t="shared" si="90"/>
        <v>POL (SD 25-32)</v>
      </c>
      <c r="K201" s="20" t="str">
        <f t="shared" si="70"/>
        <v/>
      </c>
      <c r="L201" s="23"/>
      <c r="M201" s="21" t="str">
        <f t="shared" si="71"/>
        <v/>
      </c>
      <c r="N201" s="23"/>
      <c r="O201" s="21" t="str">
        <f t="shared" si="72"/>
        <v/>
      </c>
      <c r="P201" s="23"/>
      <c r="Q201" s="21" t="str">
        <f t="shared" si="73"/>
        <v/>
      </c>
      <c r="R201" s="23"/>
      <c r="S201" s="21">
        <f t="shared" si="74"/>
        <v>1</v>
      </c>
      <c r="T201" s="23"/>
      <c r="U201" s="21" t="str">
        <f t="shared" si="75"/>
        <v/>
      </c>
      <c r="V201" s="23"/>
      <c r="W201" s="21" t="str">
        <f t="shared" si="76"/>
        <v/>
      </c>
      <c r="X201" s="23"/>
      <c r="Y201" s="21" t="str">
        <f t="shared" si="77"/>
        <v/>
      </c>
      <c r="Z201" s="23"/>
      <c r="AA201" s="21" t="str">
        <f t="shared" si="78"/>
        <v/>
      </c>
      <c r="AB201" s="23"/>
      <c r="AC201" s="21" t="str">
        <f t="shared" si="79"/>
        <v/>
      </c>
      <c r="AD201" s="23"/>
      <c r="AG201" s="25" t="str">
        <f t="shared" si="91"/>
        <v/>
      </c>
      <c r="AK201" s="10" t="str">
        <f t="shared" si="80"/>
        <v/>
      </c>
      <c r="AL201" s="11" t="str">
        <f t="shared" si="81"/>
        <v/>
      </c>
      <c r="AM201" s="11" t="str">
        <f t="shared" si="82"/>
        <v/>
      </c>
      <c r="AN201" s="11" t="str">
        <f t="shared" si="83"/>
        <v/>
      </c>
      <c r="AO201" s="11">
        <f t="shared" si="84"/>
        <v>1</v>
      </c>
      <c r="AP201" s="11" t="str">
        <f t="shared" si="85"/>
        <v/>
      </c>
      <c r="AQ201" s="11" t="str">
        <f t="shared" si="86"/>
        <v/>
      </c>
      <c r="AR201" s="11" t="str">
        <f t="shared" si="87"/>
        <v/>
      </c>
      <c r="AS201" s="11" t="str">
        <f t="shared" si="88"/>
        <v/>
      </c>
      <c r="AT201" s="12" t="str">
        <f t="shared" si="89"/>
        <v/>
      </c>
    </row>
    <row r="202" spans="1:46" ht="18.75" x14ac:dyDescent="0.25">
      <c r="A202" s="5" t="s">
        <v>26</v>
      </c>
      <c r="B202" t="str">
        <f>'Final list of total hauls pros'!M199</f>
        <v>POL (SD 25-32)</v>
      </c>
      <c r="C202">
        <v>198</v>
      </c>
      <c r="D202">
        <f>'Final list of total hauls pros'!A199</f>
        <v>26140</v>
      </c>
      <c r="E202" t="str">
        <f t="shared" si="69"/>
        <v>26</v>
      </c>
      <c r="F202" t="str">
        <f>'Final list of total hauls pros'!B199</f>
        <v>41G8</v>
      </c>
      <c r="G202" t="str">
        <f>'Final list of total hauls pros'!I199</f>
        <v>SWE</v>
      </c>
      <c r="H202" t="str">
        <f>'Final list of total hauls pros'!L199</f>
        <v>25-32</v>
      </c>
      <c r="I202" t="str">
        <f t="shared" si="90"/>
        <v>POL (SD 25-32)</v>
      </c>
      <c r="K202" s="20" t="str">
        <f t="shared" si="70"/>
        <v/>
      </c>
      <c r="L202" s="23"/>
      <c r="M202" s="21" t="str">
        <f t="shared" si="71"/>
        <v/>
      </c>
      <c r="N202" s="23"/>
      <c r="O202" s="21" t="str">
        <f t="shared" si="72"/>
        <v/>
      </c>
      <c r="P202" s="23"/>
      <c r="Q202" s="21" t="str">
        <f t="shared" si="73"/>
        <v/>
      </c>
      <c r="R202" s="23"/>
      <c r="S202" s="21">
        <f t="shared" si="74"/>
        <v>1</v>
      </c>
      <c r="T202" s="23"/>
      <c r="U202" s="21" t="str">
        <f t="shared" si="75"/>
        <v/>
      </c>
      <c r="V202" s="23"/>
      <c r="W202" s="21" t="str">
        <f t="shared" si="76"/>
        <v/>
      </c>
      <c r="X202" s="23"/>
      <c r="Y202" s="21" t="str">
        <f t="shared" si="77"/>
        <v/>
      </c>
      <c r="Z202" s="23"/>
      <c r="AA202" s="21" t="str">
        <f t="shared" si="78"/>
        <v/>
      </c>
      <c r="AB202" s="23"/>
      <c r="AC202" s="21" t="str">
        <f t="shared" si="79"/>
        <v/>
      </c>
      <c r="AD202" s="23"/>
      <c r="AG202" s="25" t="str">
        <f t="shared" si="91"/>
        <v/>
      </c>
      <c r="AK202" s="10" t="str">
        <f t="shared" si="80"/>
        <v/>
      </c>
      <c r="AL202" s="11" t="str">
        <f t="shared" si="81"/>
        <v/>
      </c>
      <c r="AM202" s="11" t="str">
        <f t="shared" si="82"/>
        <v/>
      </c>
      <c r="AN202" s="11" t="str">
        <f t="shared" si="83"/>
        <v/>
      </c>
      <c r="AO202" s="11">
        <f t="shared" si="84"/>
        <v>1</v>
      </c>
      <c r="AP202" s="11" t="str">
        <f t="shared" si="85"/>
        <v/>
      </c>
      <c r="AQ202" s="11" t="str">
        <f t="shared" si="86"/>
        <v/>
      </c>
      <c r="AR202" s="11" t="str">
        <f t="shared" si="87"/>
        <v/>
      </c>
      <c r="AS202" s="11" t="str">
        <f t="shared" si="88"/>
        <v/>
      </c>
      <c r="AT202" s="12" t="str">
        <f t="shared" si="89"/>
        <v/>
      </c>
    </row>
    <row r="203" spans="1:46" ht="18.75" x14ac:dyDescent="0.25">
      <c r="A203" s="5" t="s">
        <v>26</v>
      </c>
      <c r="B203" t="str">
        <f>'Final list of total hauls pros'!M200</f>
        <v>POL (SD 25-32)</v>
      </c>
      <c r="C203">
        <v>199</v>
      </c>
      <c r="D203">
        <f>'Final list of total hauls pros'!A200</f>
        <v>26141</v>
      </c>
      <c r="E203" t="str">
        <f t="shared" si="69"/>
        <v>26</v>
      </c>
      <c r="F203" t="str">
        <f>'Final list of total hauls pros'!B200</f>
        <v>41G8</v>
      </c>
      <c r="G203" t="str">
        <f>'Final list of total hauls pros'!I200</f>
        <v>SWE</v>
      </c>
      <c r="H203" t="str">
        <f>'Final list of total hauls pros'!L200</f>
        <v>25-32</v>
      </c>
      <c r="I203" t="str">
        <f t="shared" si="90"/>
        <v>POL (SD 25-32)</v>
      </c>
      <c r="K203" s="20" t="str">
        <f t="shared" si="70"/>
        <v/>
      </c>
      <c r="L203" s="23"/>
      <c r="M203" s="21" t="str">
        <f t="shared" si="71"/>
        <v/>
      </c>
      <c r="N203" s="23"/>
      <c r="O203" s="21" t="str">
        <f t="shared" si="72"/>
        <v/>
      </c>
      <c r="P203" s="23"/>
      <c r="Q203" s="21" t="str">
        <f t="shared" si="73"/>
        <v/>
      </c>
      <c r="R203" s="23"/>
      <c r="S203" s="21">
        <f t="shared" si="74"/>
        <v>1</v>
      </c>
      <c r="T203" s="23"/>
      <c r="U203" s="21" t="str">
        <f t="shared" si="75"/>
        <v/>
      </c>
      <c r="V203" s="23"/>
      <c r="W203" s="21" t="str">
        <f t="shared" si="76"/>
        <v/>
      </c>
      <c r="X203" s="23"/>
      <c r="Y203" s="21" t="str">
        <f t="shared" si="77"/>
        <v/>
      </c>
      <c r="Z203" s="23"/>
      <c r="AA203" s="21" t="str">
        <f t="shared" si="78"/>
        <v/>
      </c>
      <c r="AB203" s="23"/>
      <c r="AC203" s="21" t="str">
        <f t="shared" si="79"/>
        <v/>
      </c>
      <c r="AD203" s="23"/>
      <c r="AG203" s="25" t="str">
        <f t="shared" si="91"/>
        <v/>
      </c>
      <c r="AK203" s="10" t="str">
        <f t="shared" si="80"/>
        <v/>
      </c>
      <c r="AL203" s="11" t="str">
        <f t="shared" si="81"/>
        <v/>
      </c>
      <c r="AM203" s="11" t="str">
        <f t="shared" si="82"/>
        <v/>
      </c>
      <c r="AN203" s="11" t="str">
        <f t="shared" si="83"/>
        <v/>
      </c>
      <c r="AO203" s="11">
        <f t="shared" si="84"/>
        <v>1</v>
      </c>
      <c r="AP203" s="11" t="str">
        <f t="shared" si="85"/>
        <v/>
      </c>
      <c r="AQ203" s="11" t="str">
        <f t="shared" si="86"/>
        <v/>
      </c>
      <c r="AR203" s="11" t="str">
        <f t="shared" si="87"/>
        <v/>
      </c>
      <c r="AS203" s="11" t="str">
        <f t="shared" si="88"/>
        <v/>
      </c>
      <c r="AT203" s="12" t="str">
        <f t="shared" si="89"/>
        <v/>
      </c>
    </row>
    <row r="204" spans="1:46" ht="18.75" x14ac:dyDescent="0.25">
      <c r="A204" s="5" t="s">
        <v>26</v>
      </c>
      <c r="B204" t="str">
        <f>'Final list of total hauls pros'!M201</f>
        <v>LAT (SD 25-32)</v>
      </c>
      <c r="C204">
        <v>200</v>
      </c>
      <c r="D204">
        <f>'Final list of total hauls pros'!A201</f>
        <v>26142</v>
      </c>
      <c r="E204" t="str">
        <f t="shared" si="69"/>
        <v>26</v>
      </c>
      <c r="F204" t="str">
        <f>'Final list of total hauls pros'!B201</f>
        <v>41G9</v>
      </c>
      <c r="G204" t="str">
        <f>'Final list of total hauls pros'!I201</f>
        <v>LAT</v>
      </c>
      <c r="H204" t="str">
        <f>'Final list of total hauls pros'!L201</f>
        <v>25-32</v>
      </c>
      <c r="I204" t="str">
        <f t="shared" si="90"/>
        <v>POL (SD 25-32)</v>
      </c>
      <c r="K204" s="20" t="str">
        <f t="shared" si="70"/>
        <v/>
      </c>
      <c r="L204" s="23"/>
      <c r="M204" s="21" t="str">
        <f t="shared" si="71"/>
        <v/>
      </c>
      <c r="N204" s="23"/>
      <c r="O204" s="21" t="str">
        <f t="shared" si="72"/>
        <v/>
      </c>
      <c r="P204" s="23"/>
      <c r="Q204" s="21" t="str">
        <f t="shared" si="73"/>
        <v/>
      </c>
      <c r="R204" s="23"/>
      <c r="S204" s="21">
        <f t="shared" si="74"/>
        <v>1</v>
      </c>
      <c r="T204" s="23" t="s">
        <v>138</v>
      </c>
      <c r="U204" s="21" t="str">
        <f t="shared" si="75"/>
        <v/>
      </c>
      <c r="V204" s="23" t="s">
        <v>132</v>
      </c>
      <c r="W204" s="21" t="str">
        <f t="shared" si="76"/>
        <v/>
      </c>
      <c r="X204" s="23"/>
      <c r="Y204" s="21" t="str">
        <f t="shared" si="77"/>
        <v/>
      </c>
      <c r="Z204" s="23"/>
      <c r="AA204" s="21" t="str">
        <f t="shared" si="78"/>
        <v/>
      </c>
      <c r="AB204" s="23"/>
      <c r="AC204" s="21" t="str">
        <f t="shared" si="79"/>
        <v/>
      </c>
      <c r="AD204" s="23"/>
      <c r="AG204" s="25" t="str">
        <f t="shared" si="91"/>
        <v/>
      </c>
      <c r="AK204" s="10" t="str">
        <f t="shared" si="80"/>
        <v/>
      </c>
      <c r="AL204" s="11" t="str">
        <f t="shared" si="81"/>
        <v/>
      </c>
      <c r="AM204" s="11" t="str">
        <f t="shared" si="82"/>
        <v/>
      </c>
      <c r="AN204" s="11" t="str">
        <f t="shared" si="83"/>
        <v/>
      </c>
      <c r="AO204" s="11" t="str">
        <f t="shared" si="84"/>
        <v/>
      </c>
      <c r="AP204" s="11">
        <f t="shared" si="85"/>
        <v>1</v>
      </c>
      <c r="AQ204" s="11" t="str">
        <f t="shared" si="86"/>
        <v/>
      </c>
      <c r="AR204" s="11" t="str">
        <f t="shared" si="87"/>
        <v/>
      </c>
      <c r="AS204" s="11" t="str">
        <f t="shared" si="88"/>
        <v/>
      </c>
      <c r="AT204" s="12" t="str">
        <f t="shared" si="89"/>
        <v/>
      </c>
    </row>
    <row r="205" spans="1:46" ht="18.75" x14ac:dyDescent="0.25">
      <c r="A205" s="5" t="s">
        <v>26</v>
      </c>
      <c r="B205" t="str">
        <f>'Final list of total hauls pros'!M202</f>
        <v>LAT (SD 25-32)</v>
      </c>
      <c r="C205">
        <v>201</v>
      </c>
      <c r="D205">
        <f>'Final list of total hauls pros'!A202</f>
        <v>26144</v>
      </c>
      <c r="E205" t="str">
        <f t="shared" si="69"/>
        <v>26</v>
      </c>
      <c r="F205" t="str">
        <f>'Final list of total hauls pros'!B202</f>
        <v>41G9</v>
      </c>
      <c r="G205" t="str">
        <f>'Final list of total hauls pros'!I202</f>
        <v>LAT</v>
      </c>
      <c r="H205" t="str">
        <f>'Final list of total hauls pros'!L202</f>
        <v>25-32</v>
      </c>
      <c r="I205" t="str">
        <f t="shared" si="90"/>
        <v>POL (SD 25-32)</v>
      </c>
      <c r="K205" s="20" t="str">
        <f t="shared" si="70"/>
        <v/>
      </c>
      <c r="L205" s="23"/>
      <c r="M205" s="21" t="str">
        <f t="shared" si="71"/>
        <v/>
      </c>
      <c r="N205" s="23"/>
      <c r="O205" s="21" t="str">
        <f t="shared" si="72"/>
        <v/>
      </c>
      <c r="P205" s="23"/>
      <c r="Q205" s="21" t="str">
        <f t="shared" si="73"/>
        <v/>
      </c>
      <c r="R205" s="23"/>
      <c r="S205" s="21">
        <f t="shared" si="74"/>
        <v>1</v>
      </c>
      <c r="T205" s="23" t="s">
        <v>138</v>
      </c>
      <c r="U205" s="21" t="str">
        <f t="shared" si="75"/>
        <v/>
      </c>
      <c r="V205" s="23" t="s">
        <v>132</v>
      </c>
      <c r="W205" s="21" t="str">
        <f t="shared" si="76"/>
        <v/>
      </c>
      <c r="X205" s="23"/>
      <c r="Y205" s="21" t="str">
        <f t="shared" si="77"/>
        <v/>
      </c>
      <c r="Z205" s="23"/>
      <c r="AA205" s="21" t="str">
        <f t="shared" si="78"/>
        <v/>
      </c>
      <c r="AB205" s="23"/>
      <c r="AC205" s="21" t="str">
        <f t="shared" si="79"/>
        <v/>
      </c>
      <c r="AD205" s="23"/>
      <c r="AG205" s="25" t="str">
        <f t="shared" si="91"/>
        <v/>
      </c>
      <c r="AK205" s="10" t="str">
        <f t="shared" si="80"/>
        <v/>
      </c>
      <c r="AL205" s="11" t="str">
        <f t="shared" si="81"/>
        <v/>
      </c>
      <c r="AM205" s="11" t="str">
        <f t="shared" si="82"/>
        <v/>
      </c>
      <c r="AN205" s="11" t="str">
        <f t="shared" si="83"/>
        <v/>
      </c>
      <c r="AO205" s="11" t="str">
        <f t="shared" si="84"/>
        <v/>
      </c>
      <c r="AP205" s="11">
        <f t="shared" si="85"/>
        <v>1</v>
      </c>
      <c r="AQ205" s="11" t="str">
        <f t="shared" si="86"/>
        <v/>
      </c>
      <c r="AR205" s="11" t="str">
        <f t="shared" si="87"/>
        <v/>
      </c>
      <c r="AS205" s="11" t="str">
        <f t="shared" si="88"/>
        <v/>
      </c>
      <c r="AT205" s="12" t="str">
        <f t="shared" si="89"/>
        <v/>
      </c>
    </row>
    <row r="206" spans="1:46" ht="18.75" x14ac:dyDescent="0.25">
      <c r="A206" s="5" t="s">
        <v>26</v>
      </c>
      <c r="B206" t="str">
        <f>'Final list of total hauls pros'!M203</f>
        <v>LAT (SD 25-32)</v>
      </c>
      <c r="C206">
        <v>202</v>
      </c>
      <c r="D206">
        <f>'Final list of total hauls pros'!A203</f>
        <v>26145</v>
      </c>
      <c r="E206" t="str">
        <f t="shared" si="69"/>
        <v>26</v>
      </c>
      <c r="F206" t="str">
        <f>'Final list of total hauls pros'!B203</f>
        <v>41G9</v>
      </c>
      <c r="G206" t="str">
        <f>'Final list of total hauls pros'!I203</f>
        <v>LAT</v>
      </c>
      <c r="H206" t="str">
        <f>'Final list of total hauls pros'!L203</f>
        <v>25-32</v>
      </c>
      <c r="I206" t="str">
        <f t="shared" si="90"/>
        <v>POL (SD 25-32)</v>
      </c>
      <c r="K206" s="20" t="str">
        <f t="shared" si="70"/>
        <v/>
      </c>
      <c r="L206" s="23"/>
      <c r="M206" s="21" t="str">
        <f t="shared" si="71"/>
        <v/>
      </c>
      <c r="N206" s="23"/>
      <c r="O206" s="21" t="str">
        <f t="shared" si="72"/>
        <v/>
      </c>
      <c r="P206" s="23"/>
      <c r="Q206" s="21" t="str">
        <f t="shared" si="73"/>
        <v/>
      </c>
      <c r="R206" s="23"/>
      <c r="S206" s="21">
        <f t="shared" si="74"/>
        <v>1</v>
      </c>
      <c r="T206" s="23" t="s">
        <v>138</v>
      </c>
      <c r="U206" s="21" t="str">
        <f t="shared" si="75"/>
        <v/>
      </c>
      <c r="V206" s="23" t="s">
        <v>132</v>
      </c>
      <c r="W206" s="21" t="str">
        <f t="shared" si="76"/>
        <v/>
      </c>
      <c r="X206" s="23"/>
      <c r="Y206" s="21" t="str">
        <f t="shared" si="77"/>
        <v/>
      </c>
      <c r="Z206" s="23"/>
      <c r="AA206" s="21" t="str">
        <f t="shared" si="78"/>
        <v/>
      </c>
      <c r="AB206" s="23"/>
      <c r="AC206" s="21" t="str">
        <f t="shared" si="79"/>
        <v/>
      </c>
      <c r="AD206" s="23"/>
      <c r="AG206" s="25" t="str">
        <f t="shared" si="91"/>
        <v/>
      </c>
      <c r="AK206" s="10" t="str">
        <f t="shared" si="80"/>
        <v/>
      </c>
      <c r="AL206" s="11" t="str">
        <f t="shared" si="81"/>
        <v/>
      </c>
      <c r="AM206" s="11" t="str">
        <f t="shared" si="82"/>
        <v/>
      </c>
      <c r="AN206" s="11" t="str">
        <f t="shared" si="83"/>
        <v/>
      </c>
      <c r="AO206" s="11" t="str">
        <f t="shared" si="84"/>
        <v/>
      </c>
      <c r="AP206" s="11">
        <f t="shared" si="85"/>
        <v>1</v>
      </c>
      <c r="AQ206" s="11" t="str">
        <f t="shared" si="86"/>
        <v/>
      </c>
      <c r="AR206" s="11" t="str">
        <f t="shared" si="87"/>
        <v/>
      </c>
      <c r="AS206" s="11" t="str">
        <f t="shared" si="88"/>
        <v/>
      </c>
      <c r="AT206" s="12" t="str">
        <f t="shared" si="89"/>
        <v/>
      </c>
    </row>
    <row r="207" spans="1:46" ht="18.75" x14ac:dyDescent="0.25">
      <c r="A207" s="5" t="s">
        <v>26</v>
      </c>
      <c r="B207" t="str">
        <f>'Final list of total hauls pros'!M204</f>
        <v>DEN (SD 25-32)</v>
      </c>
      <c r="C207">
        <v>203</v>
      </c>
      <c r="D207">
        <f>'Final list of total hauls pros'!A204</f>
        <v>26161</v>
      </c>
      <c r="E207" t="str">
        <f t="shared" si="69"/>
        <v>26</v>
      </c>
      <c r="F207" t="str">
        <f>'Final list of total hauls pros'!B204</f>
        <v>40G7</v>
      </c>
      <c r="G207" t="str">
        <f>'Final list of total hauls pros'!I204</f>
        <v>POL</v>
      </c>
      <c r="H207" t="str">
        <f>'Final list of total hauls pros'!L204</f>
        <v>25-32</v>
      </c>
      <c r="I207" t="str">
        <f t="shared" si="90"/>
        <v>DEN (SD 25-32)</v>
      </c>
      <c r="K207" s="20" t="str">
        <f t="shared" si="70"/>
        <v/>
      </c>
      <c r="L207" s="23"/>
      <c r="M207" s="21">
        <f t="shared" si="71"/>
        <v>1</v>
      </c>
      <c r="N207" s="23"/>
      <c r="O207" s="21" t="str">
        <f t="shared" si="72"/>
        <v/>
      </c>
      <c r="P207" s="23"/>
      <c r="Q207" s="21" t="str">
        <f t="shared" si="73"/>
        <v/>
      </c>
      <c r="R207" s="23"/>
      <c r="S207" s="21" t="str">
        <f t="shared" si="74"/>
        <v/>
      </c>
      <c r="T207" s="23"/>
      <c r="U207" s="21" t="str">
        <f t="shared" si="75"/>
        <v/>
      </c>
      <c r="V207" s="23"/>
      <c r="W207" s="21" t="str">
        <f t="shared" si="76"/>
        <v/>
      </c>
      <c r="X207" s="23"/>
      <c r="Y207" s="21" t="str">
        <f t="shared" si="77"/>
        <v/>
      </c>
      <c r="Z207" s="23"/>
      <c r="AA207" s="21" t="str">
        <f t="shared" si="78"/>
        <v/>
      </c>
      <c r="AB207" s="23"/>
      <c r="AC207" s="21" t="str">
        <f t="shared" si="79"/>
        <v/>
      </c>
      <c r="AD207" s="23"/>
      <c r="AG207" s="25" t="str">
        <f t="shared" si="91"/>
        <v/>
      </c>
      <c r="AK207" s="10" t="str">
        <f t="shared" si="80"/>
        <v/>
      </c>
      <c r="AL207" s="11">
        <f t="shared" si="81"/>
        <v>1</v>
      </c>
      <c r="AM207" s="11" t="str">
        <f t="shared" si="82"/>
        <v/>
      </c>
      <c r="AN207" s="11" t="str">
        <f t="shared" si="83"/>
        <v/>
      </c>
      <c r="AO207" s="11" t="str">
        <f t="shared" si="84"/>
        <v/>
      </c>
      <c r="AP207" s="11" t="str">
        <f t="shared" si="85"/>
        <v/>
      </c>
      <c r="AQ207" s="11" t="str">
        <f t="shared" si="86"/>
        <v/>
      </c>
      <c r="AR207" s="11" t="str">
        <f t="shared" si="87"/>
        <v/>
      </c>
      <c r="AS207" s="11" t="str">
        <f t="shared" si="88"/>
        <v/>
      </c>
      <c r="AT207" s="12" t="str">
        <f t="shared" si="89"/>
        <v/>
      </c>
    </row>
    <row r="208" spans="1:46" ht="18.75" x14ac:dyDescent="0.25">
      <c r="A208" s="5" t="s">
        <v>26</v>
      </c>
      <c r="B208" t="str">
        <f>'Final list of total hauls pros'!M205</f>
        <v>POL (SD 25-32)</v>
      </c>
      <c r="C208">
        <v>204</v>
      </c>
      <c r="D208">
        <f>'Final list of total hauls pros'!A205</f>
        <v>26165</v>
      </c>
      <c r="E208" t="str">
        <f t="shared" si="69"/>
        <v>26</v>
      </c>
      <c r="F208" t="str">
        <f>'Final list of total hauls pros'!B205</f>
        <v>39G8</v>
      </c>
      <c r="G208" t="str">
        <f>'Final list of total hauls pros'!I205</f>
        <v>POL</v>
      </c>
      <c r="H208" t="str">
        <f>'Final list of total hauls pros'!L205</f>
        <v>25-32</v>
      </c>
      <c r="I208" t="str">
        <f t="shared" si="90"/>
        <v>DEN (SD 25-32)</v>
      </c>
      <c r="K208" s="20" t="str">
        <f t="shared" si="70"/>
        <v/>
      </c>
      <c r="L208" s="23"/>
      <c r="M208" s="21">
        <f t="shared" si="71"/>
        <v>1</v>
      </c>
      <c r="N208" s="23" t="s">
        <v>138</v>
      </c>
      <c r="O208" s="21" t="str">
        <f t="shared" si="72"/>
        <v/>
      </c>
      <c r="P208" s="23"/>
      <c r="Q208" s="21" t="str">
        <f t="shared" si="73"/>
        <v/>
      </c>
      <c r="R208" s="23"/>
      <c r="S208" s="21" t="str">
        <f t="shared" si="74"/>
        <v/>
      </c>
      <c r="T208" s="23" t="s">
        <v>132</v>
      </c>
      <c r="U208" s="21" t="str">
        <f t="shared" si="75"/>
        <v/>
      </c>
      <c r="V208" s="23"/>
      <c r="W208" s="21" t="str">
        <f t="shared" si="76"/>
        <v/>
      </c>
      <c r="X208" s="23"/>
      <c r="Y208" s="21" t="str">
        <f t="shared" si="77"/>
        <v/>
      </c>
      <c r="Z208" s="23"/>
      <c r="AA208" s="21" t="str">
        <f t="shared" si="78"/>
        <v/>
      </c>
      <c r="AB208" s="23"/>
      <c r="AC208" s="21" t="str">
        <f t="shared" si="79"/>
        <v/>
      </c>
      <c r="AD208" s="23"/>
      <c r="AG208" s="25" t="str">
        <f t="shared" si="91"/>
        <v/>
      </c>
      <c r="AK208" s="10" t="str">
        <f t="shared" si="80"/>
        <v/>
      </c>
      <c r="AL208" s="11" t="str">
        <f t="shared" si="81"/>
        <v/>
      </c>
      <c r="AM208" s="11" t="str">
        <f t="shared" si="82"/>
        <v/>
      </c>
      <c r="AN208" s="11" t="str">
        <f t="shared" si="83"/>
        <v/>
      </c>
      <c r="AO208" s="11">
        <f t="shared" si="84"/>
        <v>1</v>
      </c>
      <c r="AP208" s="11" t="str">
        <f t="shared" si="85"/>
        <v/>
      </c>
      <c r="AQ208" s="11" t="str">
        <f t="shared" si="86"/>
        <v/>
      </c>
      <c r="AR208" s="11" t="str">
        <f t="shared" si="87"/>
        <v/>
      </c>
      <c r="AS208" s="11" t="str">
        <f t="shared" si="88"/>
        <v/>
      </c>
      <c r="AT208" s="12" t="str">
        <f t="shared" si="89"/>
        <v/>
      </c>
    </row>
    <row r="209" spans="1:46" ht="18.75" x14ac:dyDescent="0.25">
      <c r="A209" s="5" t="s">
        <v>26</v>
      </c>
      <c r="B209" t="str">
        <f>'Final list of total hauls pros'!M206</f>
        <v>POL (SD 25-32)</v>
      </c>
      <c r="C209">
        <v>205</v>
      </c>
      <c r="D209">
        <f>'Final list of total hauls pros'!A206</f>
        <v>26170</v>
      </c>
      <c r="E209" t="str">
        <f t="shared" si="69"/>
        <v>26</v>
      </c>
      <c r="F209" t="str">
        <f>'Final list of total hauls pros'!B206</f>
        <v>41G8</v>
      </c>
      <c r="G209" t="str">
        <f>'Final list of total hauls pros'!I206</f>
        <v>SWE</v>
      </c>
      <c r="H209" t="str">
        <f>'Final list of total hauls pros'!L206</f>
        <v>25-32</v>
      </c>
      <c r="I209" t="str">
        <f t="shared" si="90"/>
        <v>POL (SD 25-32)</v>
      </c>
      <c r="K209" s="20" t="str">
        <f t="shared" si="70"/>
        <v/>
      </c>
      <c r="L209" s="23"/>
      <c r="M209" s="21" t="str">
        <f t="shared" si="71"/>
        <v/>
      </c>
      <c r="N209" s="23"/>
      <c r="O209" s="21" t="str">
        <f t="shared" si="72"/>
        <v/>
      </c>
      <c r="P209" s="23"/>
      <c r="Q209" s="21" t="str">
        <f t="shared" si="73"/>
        <v/>
      </c>
      <c r="R209" s="23"/>
      <c r="S209" s="21">
        <f t="shared" si="74"/>
        <v>1</v>
      </c>
      <c r="T209" s="23"/>
      <c r="U209" s="21" t="str">
        <f t="shared" si="75"/>
        <v/>
      </c>
      <c r="V209" s="23"/>
      <c r="W209" s="21" t="str">
        <f t="shared" si="76"/>
        <v/>
      </c>
      <c r="X209" s="23"/>
      <c r="Y209" s="21" t="str">
        <f t="shared" si="77"/>
        <v/>
      </c>
      <c r="Z209" s="23"/>
      <c r="AA209" s="21" t="str">
        <f t="shared" si="78"/>
        <v/>
      </c>
      <c r="AB209" s="23"/>
      <c r="AC209" s="21" t="str">
        <f t="shared" si="79"/>
        <v/>
      </c>
      <c r="AD209" s="23"/>
      <c r="AG209" s="25" t="str">
        <f t="shared" si="91"/>
        <v/>
      </c>
      <c r="AK209" s="10" t="str">
        <f t="shared" si="80"/>
        <v/>
      </c>
      <c r="AL209" s="11" t="str">
        <f t="shared" si="81"/>
        <v/>
      </c>
      <c r="AM209" s="11" t="str">
        <f t="shared" si="82"/>
        <v/>
      </c>
      <c r="AN209" s="11" t="str">
        <f t="shared" si="83"/>
        <v/>
      </c>
      <c r="AO209" s="11">
        <f t="shared" si="84"/>
        <v>1</v>
      </c>
      <c r="AP209" s="11" t="str">
        <f t="shared" si="85"/>
        <v/>
      </c>
      <c r="AQ209" s="11" t="str">
        <f t="shared" si="86"/>
        <v/>
      </c>
      <c r="AR209" s="11" t="str">
        <f t="shared" si="87"/>
        <v/>
      </c>
      <c r="AS209" s="11" t="str">
        <f t="shared" si="88"/>
        <v/>
      </c>
      <c r="AT209" s="12" t="str">
        <f t="shared" si="89"/>
        <v/>
      </c>
    </row>
    <row r="210" spans="1:46" ht="18.75" x14ac:dyDescent="0.25">
      <c r="A210" s="5" t="s">
        <v>26</v>
      </c>
      <c r="B210" t="str">
        <f>'Final list of total hauls pros'!M207</f>
        <v>POL (SD 25-32)</v>
      </c>
      <c r="C210">
        <v>206</v>
      </c>
      <c r="D210">
        <f>'Final list of total hauls pros'!A207</f>
        <v>26172</v>
      </c>
      <c r="E210" t="str">
        <f t="shared" ref="E210:E273" si="92">IF(D210&lt;&gt;"",LEFT(D210,2),"")</f>
        <v>26</v>
      </c>
      <c r="F210" t="str">
        <f>'Final list of total hauls pros'!B207</f>
        <v>40G8</v>
      </c>
      <c r="G210" t="str">
        <f>'Final list of total hauls pros'!I207</f>
        <v>POL</v>
      </c>
      <c r="H210" t="str">
        <f>'Final list of total hauls pros'!L207</f>
        <v>25-32</v>
      </c>
      <c r="I210" t="str">
        <f t="shared" si="90"/>
        <v>DEN (SD 25-32)</v>
      </c>
      <c r="K210" s="20" t="str">
        <f t="shared" si="70"/>
        <v/>
      </c>
      <c r="L210" s="23"/>
      <c r="M210" s="21">
        <f t="shared" si="71"/>
        <v>1</v>
      </c>
      <c r="N210" s="23" t="s">
        <v>138</v>
      </c>
      <c r="O210" s="21" t="str">
        <f t="shared" si="72"/>
        <v/>
      </c>
      <c r="P210" s="23"/>
      <c r="Q210" s="21" t="str">
        <f t="shared" si="73"/>
        <v/>
      </c>
      <c r="R210" s="23"/>
      <c r="S210" s="21" t="str">
        <f t="shared" si="74"/>
        <v/>
      </c>
      <c r="T210" s="23" t="s">
        <v>132</v>
      </c>
      <c r="U210" s="21" t="str">
        <f t="shared" si="75"/>
        <v/>
      </c>
      <c r="V210" s="23"/>
      <c r="W210" s="21" t="str">
        <f t="shared" si="76"/>
        <v/>
      </c>
      <c r="X210" s="23"/>
      <c r="Y210" s="21" t="str">
        <f t="shared" si="77"/>
        <v/>
      </c>
      <c r="Z210" s="23"/>
      <c r="AA210" s="21" t="str">
        <f t="shared" si="78"/>
        <v/>
      </c>
      <c r="AB210" s="23"/>
      <c r="AC210" s="21" t="str">
        <f t="shared" si="79"/>
        <v/>
      </c>
      <c r="AD210" s="23"/>
      <c r="AG210" s="25" t="str">
        <f t="shared" si="91"/>
        <v/>
      </c>
      <c r="AK210" s="10" t="str">
        <f t="shared" si="80"/>
        <v/>
      </c>
      <c r="AL210" s="11" t="str">
        <f t="shared" si="81"/>
        <v/>
      </c>
      <c r="AM210" s="11" t="str">
        <f t="shared" si="82"/>
        <v/>
      </c>
      <c r="AN210" s="11" t="str">
        <f t="shared" si="83"/>
        <v/>
      </c>
      <c r="AO210" s="11">
        <f t="shared" si="84"/>
        <v>1</v>
      </c>
      <c r="AP210" s="11" t="str">
        <f t="shared" si="85"/>
        <v/>
      </c>
      <c r="AQ210" s="11" t="str">
        <f t="shared" si="86"/>
        <v/>
      </c>
      <c r="AR210" s="11" t="str">
        <f t="shared" si="87"/>
        <v/>
      </c>
      <c r="AS210" s="11" t="str">
        <f t="shared" si="88"/>
        <v/>
      </c>
      <c r="AT210" s="12" t="str">
        <f t="shared" si="89"/>
        <v/>
      </c>
    </row>
    <row r="211" spans="1:46" ht="18.75" x14ac:dyDescent="0.25">
      <c r="A211" s="5" t="s">
        <v>26</v>
      </c>
      <c r="B211" t="str">
        <f>'Final list of total hauls pros'!M208</f>
        <v>POL (SD 25-32)</v>
      </c>
      <c r="C211">
        <v>207</v>
      </c>
      <c r="D211">
        <f>'Final list of total hauls pros'!A208</f>
        <v>26177</v>
      </c>
      <c r="E211" t="str">
        <f t="shared" si="92"/>
        <v>26</v>
      </c>
      <c r="F211" t="str">
        <f>'Final list of total hauls pros'!B208</f>
        <v>38G8</v>
      </c>
      <c r="G211" t="str">
        <f>'Final list of total hauls pros'!I208</f>
        <v>POL</v>
      </c>
      <c r="H211" t="str">
        <f>'Final list of total hauls pros'!L208</f>
        <v>25-32</v>
      </c>
      <c r="I211" t="str">
        <f t="shared" si="90"/>
        <v>POL (SD 25-32)</v>
      </c>
      <c r="K211" s="20" t="str">
        <f t="shared" si="70"/>
        <v/>
      </c>
      <c r="L211" s="23"/>
      <c r="M211" s="21" t="str">
        <f t="shared" si="71"/>
        <v/>
      </c>
      <c r="N211" s="23"/>
      <c r="O211" s="21" t="str">
        <f t="shared" si="72"/>
        <v/>
      </c>
      <c r="P211" s="23"/>
      <c r="Q211" s="21" t="str">
        <f t="shared" si="73"/>
        <v/>
      </c>
      <c r="R211" s="23"/>
      <c r="S211" s="21">
        <f t="shared" si="74"/>
        <v>1</v>
      </c>
      <c r="T211" s="23"/>
      <c r="U211" s="21" t="str">
        <f t="shared" si="75"/>
        <v/>
      </c>
      <c r="V211" s="23"/>
      <c r="W211" s="21" t="str">
        <f t="shared" si="76"/>
        <v/>
      </c>
      <c r="X211" s="23"/>
      <c r="Y211" s="21" t="str">
        <f t="shared" si="77"/>
        <v/>
      </c>
      <c r="Z211" s="23"/>
      <c r="AA211" s="21" t="str">
        <f t="shared" si="78"/>
        <v/>
      </c>
      <c r="AB211" s="23"/>
      <c r="AC211" s="21" t="str">
        <f t="shared" si="79"/>
        <v/>
      </c>
      <c r="AD211" s="23"/>
      <c r="AG211" s="25" t="str">
        <f t="shared" si="91"/>
        <v/>
      </c>
      <c r="AK211" s="10" t="str">
        <f t="shared" si="80"/>
        <v/>
      </c>
      <c r="AL211" s="11" t="str">
        <f t="shared" si="81"/>
        <v/>
      </c>
      <c r="AM211" s="11" t="str">
        <f t="shared" si="82"/>
        <v/>
      </c>
      <c r="AN211" s="11" t="str">
        <f t="shared" si="83"/>
        <v/>
      </c>
      <c r="AO211" s="11">
        <f t="shared" si="84"/>
        <v>1</v>
      </c>
      <c r="AP211" s="11" t="str">
        <f t="shared" si="85"/>
        <v/>
      </c>
      <c r="AQ211" s="11" t="str">
        <f t="shared" si="86"/>
        <v/>
      </c>
      <c r="AR211" s="11" t="str">
        <f t="shared" si="87"/>
        <v/>
      </c>
      <c r="AS211" s="11" t="str">
        <f t="shared" si="88"/>
        <v/>
      </c>
      <c r="AT211" s="12" t="str">
        <f t="shared" si="89"/>
        <v/>
      </c>
    </row>
    <row r="212" spans="1:46" ht="18.75" x14ac:dyDescent="0.25">
      <c r="A212" s="5" t="s">
        <v>26</v>
      </c>
      <c r="B212" t="str">
        <f>'Final list of total hauls pros'!M209</f>
        <v>POL (SD 25-32)</v>
      </c>
      <c r="C212">
        <v>208</v>
      </c>
      <c r="D212">
        <f>'Final list of total hauls pros'!A209</f>
        <v>26182</v>
      </c>
      <c r="E212" t="str">
        <f t="shared" si="92"/>
        <v>26</v>
      </c>
      <c r="F212" t="str">
        <f>'Final list of total hauls pros'!B209</f>
        <v>41G8</v>
      </c>
      <c r="G212" t="str">
        <f>'Final list of total hauls pros'!I209</f>
        <v>POL</v>
      </c>
      <c r="H212" t="str">
        <f>'Final list of total hauls pros'!L209</f>
        <v>25-32</v>
      </c>
      <c r="I212" t="str">
        <f t="shared" si="90"/>
        <v>POL (SD 25-32)</v>
      </c>
      <c r="K212" s="20" t="str">
        <f t="shared" si="70"/>
        <v/>
      </c>
      <c r="L212" s="23"/>
      <c r="M212" s="21" t="str">
        <f t="shared" si="71"/>
        <v/>
      </c>
      <c r="N212" s="23"/>
      <c r="O212" s="21" t="str">
        <f t="shared" si="72"/>
        <v/>
      </c>
      <c r="P212" s="23"/>
      <c r="Q212" s="21" t="str">
        <f t="shared" si="73"/>
        <v/>
      </c>
      <c r="R212" s="23"/>
      <c r="S212" s="21">
        <f t="shared" si="74"/>
        <v>1</v>
      </c>
      <c r="T212" s="23"/>
      <c r="U212" s="21" t="str">
        <f t="shared" si="75"/>
        <v/>
      </c>
      <c r="V212" s="23"/>
      <c r="W212" s="21" t="str">
        <f t="shared" si="76"/>
        <v/>
      </c>
      <c r="X212" s="23"/>
      <c r="Y212" s="21" t="str">
        <f t="shared" si="77"/>
        <v/>
      </c>
      <c r="Z212" s="23"/>
      <c r="AA212" s="21" t="str">
        <f t="shared" si="78"/>
        <v/>
      </c>
      <c r="AB212" s="23"/>
      <c r="AC212" s="21" t="str">
        <f t="shared" si="79"/>
        <v/>
      </c>
      <c r="AD212" s="23"/>
      <c r="AG212" s="25" t="str">
        <f t="shared" si="91"/>
        <v/>
      </c>
      <c r="AK212" s="10" t="str">
        <f t="shared" si="80"/>
        <v/>
      </c>
      <c r="AL212" s="11" t="str">
        <f t="shared" si="81"/>
        <v/>
      </c>
      <c r="AM212" s="11" t="str">
        <f t="shared" si="82"/>
        <v/>
      </c>
      <c r="AN212" s="11" t="str">
        <f t="shared" si="83"/>
        <v/>
      </c>
      <c r="AO212" s="11">
        <f t="shared" si="84"/>
        <v>1</v>
      </c>
      <c r="AP212" s="11" t="str">
        <f t="shared" si="85"/>
        <v/>
      </c>
      <c r="AQ212" s="11" t="str">
        <f t="shared" si="86"/>
        <v/>
      </c>
      <c r="AR212" s="11" t="str">
        <f t="shared" si="87"/>
        <v/>
      </c>
      <c r="AS212" s="11" t="str">
        <f t="shared" si="88"/>
        <v/>
      </c>
      <c r="AT212" s="12" t="str">
        <f t="shared" si="89"/>
        <v/>
      </c>
    </row>
    <row r="213" spans="1:46" ht="18.75" x14ac:dyDescent="0.25">
      <c r="A213" s="5" t="s">
        <v>26</v>
      </c>
      <c r="B213" t="str">
        <f>'Final list of total hauls pros'!M210</f>
        <v>POL (SD 25-32)</v>
      </c>
      <c r="C213">
        <v>209</v>
      </c>
      <c r="D213">
        <f>'Final list of total hauls pros'!A210</f>
        <v>26191</v>
      </c>
      <c r="E213" t="str">
        <f t="shared" si="92"/>
        <v>26</v>
      </c>
      <c r="F213" t="str">
        <f>'Final list of total hauls pros'!B210</f>
        <v>40G9</v>
      </c>
      <c r="G213" t="str">
        <f>'Final list of total hauls pros'!I210</f>
        <v>POL</v>
      </c>
      <c r="H213" t="str">
        <f>'Final list of total hauls pros'!L210</f>
        <v>25-32</v>
      </c>
      <c r="I213" t="str">
        <f t="shared" si="90"/>
        <v>POL (SD 25-32)</v>
      </c>
      <c r="K213" s="20" t="str">
        <f t="shared" si="70"/>
        <v/>
      </c>
      <c r="L213" s="23"/>
      <c r="M213" s="21" t="str">
        <f t="shared" si="71"/>
        <v/>
      </c>
      <c r="N213" s="23"/>
      <c r="O213" s="21" t="str">
        <f t="shared" si="72"/>
        <v/>
      </c>
      <c r="P213" s="23"/>
      <c r="Q213" s="21" t="str">
        <f t="shared" si="73"/>
        <v/>
      </c>
      <c r="R213" s="23"/>
      <c r="S213" s="21">
        <f t="shared" si="74"/>
        <v>1</v>
      </c>
      <c r="T213" s="23"/>
      <c r="U213" s="21" t="str">
        <f t="shared" si="75"/>
        <v/>
      </c>
      <c r="V213" s="23"/>
      <c r="W213" s="21" t="str">
        <f t="shared" si="76"/>
        <v/>
      </c>
      <c r="X213" s="23"/>
      <c r="Y213" s="21" t="str">
        <f t="shared" si="77"/>
        <v/>
      </c>
      <c r="Z213" s="23"/>
      <c r="AA213" s="21" t="str">
        <f t="shared" si="78"/>
        <v/>
      </c>
      <c r="AB213" s="23"/>
      <c r="AC213" s="21" t="str">
        <f t="shared" si="79"/>
        <v/>
      </c>
      <c r="AD213" s="23"/>
      <c r="AG213" s="25" t="str">
        <f t="shared" si="91"/>
        <v/>
      </c>
      <c r="AK213" s="10" t="str">
        <f t="shared" si="80"/>
        <v/>
      </c>
      <c r="AL213" s="11" t="str">
        <f t="shared" si="81"/>
        <v/>
      </c>
      <c r="AM213" s="11" t="str">
        <f t="shared" si="82"/>
        <v/>
      </c>
      <c r="AN213" s="11" t="str">
        <f t="shared" si="83"/>
        <v/>
      </c>
      <c r="AO213" s="11">
        <f t="shared" si="84"/>
        <v>1</v>
      </c>
      <c r="AP213" s="11" t="str">
        <f t="shared" si="85"/>
        <v/>
      </c>
      <c r="AQ213" s="11" t="str">
        <f t="shared" si="86"/>
        <v/>
      </c>
      <c r="AR213" s="11" t="str">
        <f t="shared" si="87"/>
        <v/>
      </c>
      <c r="AS213" s="11" t="str">
        <f t="shared" si="88"/>
        <v/>
      </c>
      <c r="AT213" s="12" t="str">
        <f t="shared" si="89"/>
        <v/>
      </c>
    </row>
    <row r="214" spans="1:46" ht="18.75" x14ac:dyDescent="0.25">
      <c r="A214" s="5" t="s">
        <v>26</v>
      </c>
      <c r="B214" t="str">
        <f>'Final list of total hauls pros'!M211</f>
        <v>LAT (SD 25-32)</v>
      </c>
      <c r="C214">
        <v>210</v>
      </c>
      <c r="D214">
        <f>'Final list of total hauls pros'!A211</f>
        <v>26199</v>
      </c>
      <c r="E214" t="str">
        <f t="shared" si="92"/>
        <v>26</v>
      </c>
      <c r="F214" t="str">
        <f>'Final list of total hauls pros'!B211</f>
        <v>41G9</v>
      </c>
      <c r="G214" t="str">
        <f>'Final list of total hauls pros'!I211</f>
        <v>LAT</v>
      </c>
      <c r="H214" t="str">
        <f>'Final list of total hauls pros'!L211</f>
        <v>25-32</v>
      </c>
      <c r="I214" t="str">
        <f t="shared" si="90"/>
        <v>POL (SD 25-32)</v>
      </c>
      <c r="K214" s="20" t="str">
        <f t="shared" si="70"/>
        <v/>
      </c>
      <c r="L214" s="23"/>
      <c r="M214" s="21" t="str">
        <f t="shared" si="71"/>
        <v/>
      </c>
      <c r="N214" s="23"/>
      <c r="O214" s="21" t="str">
        <f t="shared" si="72"/>
        <v/>
      </c>
      <c r="P214" s="23"/>
      <c r="Q214" s="21" t="str">
        <f t="shared" si="73"/>
        <v/>
      </c>
      <c r="R214" s="23"/>
      <c r="S214" s="21">
        <f t="shared" si="74"/>
        <v>1</v>
      </c>
      <c r="T214" s="23" t="s">
        <v>138</v>
      </c>
      <c r="U214" s="21" t="str">
        <f t="shared" si="75"/>
        <v/>
      </c>
      <c r="V214" s="23" t="s">
        <v>132</v>
      </c>
      <c r="W214" s="21" t="str">
        <f t="shared" si="76"/>
        <v/>
      </c>
      <c r="X214" s="23"/>
      <c r="Y214" s="21" t="str">
        <f t="shared" si="77"/>
        <v/>
      </c>
      <c r="Z214" s="23"/>
      <c r="AA214" s="21" t="str">
        <f t="shared" si="78"/>
        <v/>
      </c>
      <c r="AB214" s="23"/>
      <c r="AC214" s="21" t="str">
        <f t="shared" si="79"/>
        <v/>
      </c>
      <c r="AD214" s="23"/>
      <c r="AG214" s="25" t="str">
        <f t="shared" si="91"/>
        <v/>
      </c>
      <c r="AK214" s="10" t="str">
        <f t="shared" si="80"/>
        <v/>
      </c>
      <c r="AL214" s="11" t="str">
        <f t="shared" si="81"/>
        <v/>
      </c>
      <c r="AM214" s="11" t="str">
        <f t="shared" si="82"/>
        <v/>
      </c>
      <c r="AN214" s="11" t="str">
        <f t="shared" si="83"/>
        <v/>
      </c>
      <c r="AO214" s="11" t="str">
        <f t="shared" si="84"/>
        <v/>
      </c>
      <c r="AP214" s="11">
        <f t="shared" si="85"/>
        <v>1</v>
      </c>
      <c r="AQ214" s="11" t="str">
        <f t="shared" si="86"/>
        <v/>
      </c>
      <c r="AR214" s="11" t="str">
        <f t="shared" si="87"/>
        <v/>
      </c>
      <c r="AS214" s="11" t="str">
        <f t="shared" si="88"/>
        <v/>
      </c>
      <c r="AT214" s="12" t="str">
        <f t="shared" si="89"/>
        <v/>
      </c>
    </row>
    <row r="215" spans="1:46" ht="18.75" x14ac:dyDescent="0.25">
      <c r="A215" s="5" t="s">
        <v>26</v>
      </c>
      <c r="B215" t="str">
        <f>'Final list of total hauls pros'!M212</f>
        <v>LTU (SD 25-32)</v>
      </c>
      <c r="C215">
        <v>211</v>
      </c>
      <c r="D215">
        <f>'Final list of total hauls pros'!A212</f>
        <v>26205</v>
      </c>
      <c r="E215" t="str">
        <f t="shared" si="92"/>
        <v>26</v>
      </c>
      <c r="F215" t="str">
        <f>'Final list of total hauls pros'!B212</f>
        <v>40H0</v>
      </c>
      <c r="G215" t="str">
        <f>'Final list of total hauls pros'!I212</f>
        <v>LTU</v>
      </c>
      <c r="H215" t="str">
        <f>'Final list of total hauls pros'!L212</f>
        <v>25-32</v>
      </c>
      <c r="I215" t="str">
        <f t="shared" si="90"/>
        <v>LTU (SD 25-32)</v>
      </c>
      <c r="K215" s="20" t="str">
        <f t="shared" si="70"/>
        <v/>
      </c>
      <c r="L215" s="23"/>
      <c r="M215" s="21" t="str">
        <f t="shared" si="71"/>
        <v/>
      </c>
      <c r="N215" s="23"/>
      <c r="O215" s="21" t="str">
        <f t="shared" si="72"/>
        <v/>
      </c>
      <c r="P215" s="23"/>
      <c r="Q215" s="21" t="str">
        <f t="shared" si="73"/>
        <v/>
      </c>
      <c r="R215" s="23"/>
      <c r="S215" s="21" t="str">
        <f t="shared" si="74"/>
        <v/>
      </c>
      <c r="T215" s="23"/>
      <c r="U215" s="21" t="str">
        <f t="shared" si="75"/>
        <v/>
      </c>
      <c r="V215" s="23"/>
      <c r="W215" s="21" t="str">
        <f t="shared" si="76"/>
        <v/>
      </c>
      <c r="X215" s="23"/>
      <c r="Y215" s="21" t="str">
        <f t="shared" si="77"/>
        <v/>
      </c>
      <c r="Z215" s="23"/>
      <c r="AA215" s="21">
        <f t="shared" si="78"/>
        <v>1</v>
      </c>
      <c r="AB215" s="23"/>
      <c r="AC215" s="21" t="str">
        <f t="shared" si="79"/>
        <v/>
      </c>
      <c r="AD215" s="23"/>
      <c r="AG215" s="25" t="str">
        <f t="shared" si="91"/>
        <v/>
      </c>
      <c r="AK215" s="10" t="str">
        <f t="shared" si="80"/>
        <v/>
      </c>
      <c r="AL215" s="11" t="str">
        <f t="shared" si="81"/>
        <v/>
      </c>
      <c r="AM215" s="11" t="str">
        <f t="shared" si="82"/>
        <v/>
      </c>
      <c r="AN215" s="11" t="str">
        <f t="shared" si="83"/>
        <v/>
      </c>
      <c r="AO215" s="11" t="str">
        <f t="shared" si="84"/>
        <v/>
      </c>
      <c r="AP215" s="11" t="str">
        <f t="shared" si="85"/>
        <v/>
      </c>
      <c r="AQ215" s="11" t="str">
        <f t="shared" si="86"/>
        <v/>
      </c>
      <c r="AR215" s="11" t="str">
        <f t="shared" si="87"/>
        <v/>
      </c>
      <c r="AS215" s="11">
        <f t="shared" si="88"/>
        <v>1</v>
      </c>
      <c r="AT215" s="12" t="str">
        <f t="shared" si="89"/>
        <v/>
      </c>
    </row>
    <row r="216" spans="1:46" ht="18.75" x14ac:dyDescent="0.25">
      <c r="A216" s="5" t="s">
        <v>26</v>
      </c>
      <c r="B216" t="str">
        <f>'Final list of total hauls pros'!M213</f>
        <v>LTU (SD 25-32)</v>
      </c>
      <c r="C216">
        <v>212</v>
      </c>
      <c r="D216">
        <f>'Final list of total hauls pros'!A213</f>
        <v>26206</v>
      </c>
      <c r="E216" t="str">
        <f t="shared" si="92"/>
        <v>26</v>
      </c>
      <c r="F216" t="str">
        <f>'Final list of total hauls pros'!B213</f>
        <v>40H0</v>
      </c>
      <c r="G216" t="str">
        <f>'Final list of total hauls pros'!I213</f>
        <v>LTU</v>
      </c>
      <c r="H216" t="str">
        <f>'Final list of total hauls pros'!L213</f>
        <v>25-32</v>
      </c>
      <c r="I216" t="str">
        <f t="shared" si="90"/>
        <v>LTU (SD 25-32)</v>
      </c>
      <c r="K216" s="20" t="str">
        <f t="shared" si="70"/>
        <v/>
      </c>
      <c r="L216" s="23"/>
      <c r="M216" s="21" t="str">
        <f t="shared" si="71"/>
        <v/>
      </c>
      <c r="N216" s="23"/>
      <c r="O216" s="21" t="str">
        <f t="shared" si="72"/>
        <v/>
      </c>
      <c r="P216" s="23"/>
      <c r="Q216" s="21" t="str">
        <f t="shared" si="73"/>
        <v/>
      </c>
      <c r="R216" s="23"/>
      <c r="S216" s="21" t="str">
        <f t="shared" si="74"/>
        <v/>
      </c>
      <c r="T216" s="23"/>
      <c r="U216" s="21" t="str">
        <f t="shared" si="75"/>
        <v/>
      </c>
      <c r="V216" s="23"/>
      <c r="W216" s="21" t="str">
        <f t="shared" si="76"/>
        <v/>
      </c>
      <c r="X216" s="23"/>
      <c r="Y216" s="21" t="str">
        <f t="shared" si="77"/>
        <v/>
      </c>
      <c r="Z216" s="23"/>
      <c r="AA216" s="21">
        <f t="shared" si="78"/>
        <v>1</v>
      </c>
      <c r="AB216" s="23"/>
      <c r="AC216" s="21" t="str">
        <f t="shared" si="79"/>
        <v/>
      </c>
      <c r="AD216" s="23"/>
      <c r="AG216" s="25" t="str">
        <f t="shared" si="91"/>
        <v/>
      </c>
      <c r="AK216" s="10" t="str">
        <f t="shared" si="80"/>
        <v/>
      </c>
      <c r="AL216" s="11" t="str">
        <f t="shared" si="81"/>
        <v/>
      </c>
      <c r="AM216" s="11" t="str">
        <f t="shared" si="82"/>
        <v/>
      </c>
      <c r="AN216" s="11" t="str">
        <f t="shared" si="83"/>
        <v/>
      </c>
      <c r="AO216" s="11" t="str">
        <f t="shared" si="84"/>
        <v/>
      </c>
      <c r="AP216" s="11" t="str">
        <f t="shared" si="85"/>
        <v/>
      </c>
      <c r="AQ216" s="11" t="str">
        <f t="shared" si="86"/>
        <v/>
      </c>
      <c r="AR216" s="11" t="str">
        <f t="shared" si="87"/>
        <v/>
      </c>
      <c r="AS216" s="11">
        <f t="shared" si="88"/>
        <v>1</v>
      </c>
      <c r="AT216" s="12" t="str">
        <f t="shared" si="89"/>
        <v/>
      </c>
    </row>
    <row r="217" spans="1:46" ht="18.75" x14ac:dyDescent="0.25">
      <c r="A217" s="5" t="s">
        <v>26</v>
      </c>
      <c r="B217" t="str">
        <f>'Final list of total hauls pros'!M214</f>
        <v>LAT (SD 25-32)</v>
      </c>
      <c r="C217">
        <v>213</v>
      </c>
      <c r="D217">
        <f>'Final list of total hauls pros'!A214</f>
        <v>26209</v>
      </c>
      <c r="E217" t="str">
        <f t="shared" si="92"/>
        <v>26</v>
      </c>
      <c r="F217" t="str">
        <f>'Final list of total hauls pros'!B214</f>
        <v>41G9</v>
      </c>
      <c r="G217" t="str">
        <f>'Final list of total hauls pros'!I214</f>
        <v>LAT</v>
      </c>
      <c r="H217" t="str">
        <f>'Final list of total hauls pros'!L214</f>
        <v>25-32</v>
      </c>
      <c r="I217" t="str">
        <f t="shared" si="90"/>
        <v>POL (SD 25-32)</v>
      </c>
      <c r="K217" s="20" t="str">
        <f t="shared" ref="K217:K277" si="93">IF(L217="+",1,IF(L217="-","",IF(L217="",AK217)))</f>
        <v/>
      </c>
      <c r="L217" s="23"/>
      <c r="M217" s="21" t="str">
        <f t="shared" ref="M217:M277" si="94">IF(N217="+",1,IF(N217="-","",IF(N217="",AL217)))</f>
        <v/>
      </c>
      <c r="N217" s="23"/>
      <c r="O217" s="21" t="str">
        <f t="shared" ref="O217:O277" si="95">IF(P217="+",1,IF(P217="-","",IF(P217="",AM217)))</f>
        <v/>
      </c>
      <c r="P217" s="23"/>
      <c r="Q217" s="21" t="str">
        <f t="shared" ref="Q217:Q277" si="96">IF(R217="+",1,IF(R217="-","",IF(R217="",AN217)))</f>
        <v/>
      </c>
      <c r="R217" s="23"/>
      <c r="S217" s="21">
        <f t="shared" ref="S217:S277" si="97">IF(T217="+",1,IF(T217="-","",IF(T217="",AO217)))</f>
        <v>1</v>
      </c>
      <c r="T217" s="23" t="s">
        <v>138</v>
      </c>
      <c r="U217" s="21" t="str">
        <f t="shared" ref="U217:U277" si="98">IF(V217="+",1,IF(V217="-","",IF(V217="",AP217)))</f>
        <v/>
      </c>
      <c r="V217" s="23" t="s">
        <v>132</v>
      </c>
      <c r="W217" s="21" t="str">
        <f t="shared" ref="W217:W277" si="99">IF(X217="+",1,IF(X217="-","",IF(X217="",AQ217)))</f>
        <v/>
      </c>
      <c r="X217" s="23"/>
      <c r="Y217" s="21" t="str">
        <f t="shared" ref="Y217:Y277" si="100">IF(Z217="+",1,IF(Z217="-","",IF(Z217="",AR217)))</f>
        <v/>
      </c>
      <c r="Z217" s="23"/>
      <c r="AA217" s="21" t="str">
        <f t="shared" ref="AA217:AA277" si="101">IF(AB217="+",1,IF(AB217="-","",IF(AB217="",AS217)))</f>
        <v/>
      </c>
      <c r="AB217" s="23"/>
      <c r="AC217" s="21" t="str">
        <f t="shared" ref="AC217:AC277" si="102">IF(AD217="+",1,IF(AD217="-","",IF(AD217="",AT217)))</f>
        <v/>
      </c>
      <c r="AD217" s="23"/>
      <c r="AG217" s="25" t="str">
        <f t="shared" si="91"/>
        <v/>
      </c>
      <c r="AK217" s="10" t="str">
        <f t="shared" si="80"/>
        <v/>
      </c>
      <c r="AL217" s="11" t="str">
        <f t="shared" si="81"/>
        <v/>
      </c>
      <c r="AM217" s="11" t="str">
        <f t="shared" si="82"/>
        <v/>
      </c>
      <c r="AN217" s="11" t="str">
        <f t="shared" si="83"/>
        <v/>
      </c>
      <c r="AO217" s="11" t="str">
        <f t="shared" si="84"/>
        <v/>
      </c>
      <c r="AP217" s="11">
        <f t="shared" si="85"/>
        <v>1</v>
      </c>
      <c r="AQ217" s="11" t="str">
        <f t="shared" si="86"/>
        <v/>
      </c>
      <c r="AR217" s="11" t="str">
        <f t="shared" si="87"/>
        <v/>
      </c>
      <c r="AS217" s="11" t="str">
        <f t="shared" si="88"/>
        <v/>
      </c>
      <c r="AT217" s="12" t="str">
        <f t="shared" si="89"/>
        <v/>
      </c>
    </row>
    <row r="218" spans="1:46" ht="18.75" x14ac:dyDescent="0.25">
      <c r="A218" s="5" t="s">
        <v>26</v>
      </c>
      <c r="B218" t="str">
        <f>'Final list of total hauls pros'!M215</f>
        <v>POL (SD 25-32)</v>
      </c>
      <c r="C218">
        <v>214</v>
      </c>
      <c r="D218">
        <f>'Final list of total hauls pros'!A215</f>
        <v>26211</v>
      </c>
      <c r="E218" t="str">
        <f t="shared" si="92"/>
        <v>26</v>
      </c>
      <c r="F218" t="str">
        <f>'Final list of total hauls pros'!B215</f>
        <v>38G9</v>
      </c>
      <c r="G218" t="str">
        <f>'Final list of total hauls pros'!I215</f>
        <v>POL</v>
      </c>
      <c r="H218" t="str">
        <f>'Final list of total hauls pros'!L215</f>
        <v>25-32</v>
      </c>
      <c r="I218" t="str">
        <f t="shared" si="90"/>
        <v>POL (SD 25-32)</v>
      </c>
      <c r="K218" s="20" t="str">
        <f t="shared" si="93"/>
        <v/>
      </c>
      <c r="L218" s="23"/>
      <c r="M218" s="21" t="str">
        <f t="shared" si="94"/>
        <v/>
      </c>
      <c r="N218" s="23"/>
      <c r="O218" s="21" t="str">
        <f t="shared" si="95"/>
        <v/>
      </c>
      <c r="P218" s="23"/>
      <c r="Q218" s="21" t="str">
        <f t="shared" si="96"/>
        <v/>
      </c>
      <c r="R218" s="23"/>
      <c r="S218" s="21">
        <f t="shared" si="97"/>
        <v>1</v>
      </c>
      <c r="T218" s="23"/>
      <c r="U218" s="21" t="str">
        <f t="shared" si="98"/>
        <v/>
      </c>
      <c r="V218" s="23"/>
      <c r="W218" s="21" t="str">
        <f t="shared" si="99"/>
        <v/>
      </c>
      <c r="X218" s="23"/>
      <c r="Y218" s="21" t="str">
        <f t="shared" si="100"/>
        <v/>
      </c>
      <c r="Z218" s="23"/>
      <c r="AA218" s="21" t="str">
        <f t="shared" si="101"/>
        <v/>
      </c>
      <c r="AB218" s="23"/>
      <c r="AC218" s="21" t="str">
        <f t="shared" si="102"/>
        <v/>
      </c>
      <c r="AD218" s="23"/>
      <c r="AG218" s="25" t="str">
        <f t="shared" si="91"/>
        <v/>
      </c>
      <c r="AK218" s="10" t="str">
        <f t="shared" si="80"/>
        <v/>
      </c>
      <c r="AL218" s="11" t="str">
        <f t="shared" si="81"/>
        <v/>
      </c>
      <c r="AM218" s="11" t="str">
        <f t="shared" si="82"/>
        <v/>
      </c>
      <c r="AN218" s="11" t="str">
        <f t="shared" si="83"/>
        <v/>
      </c>
      <c r="AO218" s="11">
        <f t="shared" si="84"/>
        <v>1</v>
      </c>
      <c r="AP218" s="11" t="str">
        <f t="shared" si="85"/>
        <v/>
      </c>
      <c r="AQ218" s="11" t="str">
        <f t="shared" si="86"/>
        <v/>
      </c>
      <c r="AR218" s="11" t="str">
        <f t="shared" si="87"/>
        <v/>
      </c>
      <c r="AS218" s="11" t="str">
        <f t="shared" si="88"/>
        <v/>
      </c>
      <c r="AT218" s="12" t="str">
        <f t="shared" si="89"/>
        <v/>
      </c>
    </row>
    <row r="219" spans="1:46" ht="18.75" x14ac:dyDescent="0.25">
      <c r="A219" s="5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26216</v>
      </c>
      <c r="E219" t="str">
        <f t="shared" si="92"/>
        <v>26</v>
      </c>
      <c r="F219" t="str">
        <f>'Final list of total hauls pros'!B216</f>
        <v>37G9</v>
      </c>
      <c r="G219" t="str">
        <f>'Final list of total hauls pros'!I216</f>
        <v>POL</v>
      </c>
      <c r="H219" t="str">
        <f>'Final list of total hauls pros'!L216</f>
        <v>25-32</v>
      </c>
      <c r="I219" t="str">
        <f t="shared" si="90"/>
        <v>POL (SD 25-32)</v>
      </c>
      <c r="K219" s="20" t="str">
        <f t="shared" si="93"/>
        <v/>
      </c>
      <c r="L219" s="23"/>
      <c r="M219" s="21" t="str">
        <f t="shared" si="94"/>
        <v/>
      </c>
      <c r="N219" s="23"/>
      <c r="O219" s="21" t="str">
        <f t="shared" si="95"/>
        <v/>
      </c>
      <c r="P219" s="23"/>
      <c r="Q219" s="21" t="str">
        <f t="shared" si="96"/>
        <v/>
      </c>
      <c r="R219" s="23"/>
      <c r="S219" s="21">
        <f t="shared" si="97"/>
        <v>1</v>
      </c>
      <c r="T219" s="23"/>
      <c r="U219" s="21" t="str">
        <f t="shared" si="98"/>
        <v/>
      </c>
      <c r="V219" s="23"/>
      <c r="W219" s="21" t="str">
        <f t="shared" si="99"/>
        <v/>
      </c>
      <c r="X219" s="23"/>
      <c r="Y219" s="21" t="str">
        <f t="shared" si="100"/>
        <v/>
      </c>
      <c r="Z219" s="23"/>
      <c r="AA219" s="21" t="str">
        <f t="shared" si="101"/>
        <v/>
      </c>
      <c r="AB219" s="23"/>
      <c r="AC219" s="21" t="str">
        <f t="shared" si="102"/>
        <v/>
      </c>
      <c r="AD219" s="23"/>
      <c r="AG219" s="25" t="str">
        <f t="shared" si="91"/>
        <v/>
      </c>
      <c r="AK219" s="10" t="str">
        <f t="shared" si="80"/>
        <v/>
      </c>
      <c r="AL219" s="11" t="str">
        <f t="shared" si="81"/>
        <v/>
      </c>
      <c r="AM219" s="11" t="str">
        <f t="shared" si="82"/>
        <v/>
      </c>
      <c r="AN219" s="11" t="str">
        <f t="shared" si="83"/>
        <v/>
      </c>
      <c r="AO219" s="11">
        <f t="shared" si="84"/>
        <v>1</v>
      </c>
      <c r="AP219" s="11" t="str">
        <f t="shared" si="85"/>
        <v/>
      </c>
      <c r="AQ219" s="11" t="str">
        <f t="shared" si="86"/>
        <v/>
      </c>
      <c r="AR219" s="11" t="str">
        <f t="shared" si="87"/>
        <v/>
      </c>
      <c r="AS219" s="11" t="str">
        <f t="shared" si="88"/>
        <v/>
      </c>
      <c r="AT219" s="12" t="str">
        <f t="shared" si="89"/>
        <v/>
      </c>
    </row>
    <row r="220" spans="1:46" ht="18.75" x14ac:dyDescent="0.25">
      <c r="A220" s="5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26219</v>
      </c>
      <c r="E220" t="str">
        <f t="shared" si="92"/>
        <v>26</v>
      </c>
      <c r="F220" t="str">
        <f>'Final list of total hauls pros'!B217</f>
        <v>37G8</v>
      </c>
      <c r="G220" t="str">
        <f>'Final list of total hauls pros'!I217</f>
        <v>POL</v>
      </c>
      <c r="H220" t="str">
        <f>'Final list of total hauls pros'!L217</f>
        <v>25-32</v>
      </c>
      <c r="I220" t="str">
        <f t="shared" si="90"/>
        <v>POL (SD 25-32)</v>
      </c>
      <c r="K220" s="20" t="str">
        <f t="shared" si="93"/>
        <v/>
      </c>
      <c r="L220" s="23"/>
      <c r="M220" s="21" t="str">
        <f t="shared" si="94"/>
        <v/>
      </c>
      <c r="N220" s="23"/>
      <c r="O220" s="21" t="str">
        <f t="shared" si="95"/>
        <v/>
      </c>
      <c r="P220" s="23"/>
      <c r="Q220" s="21" t="str">
        <f t="shared" si="96"/>
        <v/>
      </c>
      <c r="R220" s="23"/>
      <c r="S220" s="21">
        <f t="shared" si="97"/>
        <v>1</v>
      </c>
      <c r="T220" s="23"/>
      <c r="U220" s="21" t="str">
        <f t="shared" si="98"/>
        <v/>
      </c>
      <c r="V220" s="23"/>
      <c r="W220" s="21" t="str">
        <f t="shared" si="99"/>
        <v/>
      </c>
      <c r="X220" s="23"/>
      <c r="Y220" s="21" t="str">
        <f t="shared" si="100"/>
        <v/>
      </c>
      <c r="Z220" s="23"/>
      <c r="AA220" s="21" t="str">
        <f t="shared" si="101"/>
        <v/>
      </c>
      <c r="AB220" s="23"/>
      <c r="AC220" s="21" t="str">
        <f t="shared" si="102"/>
        <v/>
      </c>
      <c r="AD220" s="23"/>
      <c r="AG220" s="25" t="str">
        <f t="shared" si="91"/>
        <v/>
      </c>
      <c r="AK220" s="10" t="str">
        <f t="shared" si="80"/>
        <v/>
      </c>
      <c r="AL220" s="11" t="str">
        <f t="shared" si="81"/>
        <v/>
      </c>
      <c r="AM220" s="11" t="str">
        <f t="shared" si="82"/>
        <v/>
      </c>
      <c r="AN220" s="11" t="str">
        <f t="shared" si="83"/>
        <v/>
      </c>
      <c r="AO220" s="11">
        <f t="shared" si="84"/>
        <v>1</v>
      </c>
      <c r="AP220" s="11" t="str">
        <f t="shared" si="85"/>
        <v/>
      </c>
      <c r="AQ220" s="11" t="str">
        <f t="shared" si="86"/>
        <v/>
      </c>
      <c r="AR220" s="11" t="str">
        <f t="shared" si="87"/>
        <v/>
      </c>
      <c r="AS220" s="11" t="str">
        <f t="shared" si="88"/>
        <v/>
      </c>
      <c r="AT220" s="12" t="str">
        <f t="shared" si="89"/>
        <v/>
      </c>
    </row>
    <row r="221" spans="1:46" ht="18.75" x14ac:dyDescent="0.25">
      <c r="A221" s="5" t="s">
        <v>26</v>
      </c>
      <c r="B221" t="str">
        <f>'Final list of total hauls pros'!M218</f>
        <v>POL (SD 25-32)</v>
      </c>
      <c r="C221">
        <v>217</v>
      </c>
      <c r="D221">
        <f>'Final list of total hauls pros'!A218</f>
        <v>26220</v>
      </c>
      <c r="E221" t="str">
        <f t="shared" si="92"/>
        <v>26</v>
      </c>
      <c r="F221" t="str">
        <f>'Final list of total hauls pros'!B218</f>
        <v>37G9</v>
      </c>
      <c r="G221" t="str">
        <f>'Final list of total hauls pros'!I218</f>
        <v>POL</v>
      </c>
      <c r="H221" t="str">
        <f>'Final list of total hauls pros'!L218</f>
        <v>25-32</v>
      </c>
      <c r="I221" t="str">
        <f t="shared" si="90"/>
        <v>POL (SD 25-32)</v>
      </c>
      <c r="K221" s="20" t="str">
        <f t="shared" si="93"/>
        <v/>
      </c>
      <c r="L221" s="23"/>
      <c r="M221" s="21" t="str">
        <f t="shared" si="94"/>
        <v/>
      </c>
      <c r="N221" s="23"/>
      <c r="O221" s="21" t="str">
        <f t="shared" si="95"/>
        <v/>
      </c>
      <c r="P221" s="23"/>
      <c r="Q221" s="21" t="str">
        <f t="shared" si="96"/>
        <v/>
      </c>
      <c r="R221" s="23"/>
      <c r="S221" s="21">
        <f t="shared" si="97"/>
        <v>1</v>
      </c>
      <c r="T221" s="23"/>
      <c r="U221" s="21" t="str">
        <f t="shared" si="98"/>
        <v/>
      </c>
      <c r="V221" s="23"/>
      <c r="W221" s="21" t="str">
        <f t="shared" si="99"/>
        <v/>
      </c>
      <c r="X221" s="23"/>
      <c r="Y221" s="21" t="str">
        <f t="shared" si="100"/>
        <v/>
      </c>
      <c r="Z221" s="23"/>
      <c r="AA221" s="21" t="str">
        <f t="shared" si="101"/>
        <v/>
      </c>
      <c r="AB221" s="23"/>
      <c r="AC221" s="21" t="str">
        <f t="shared" si="102"/>
        <v/>
      </c>
      <c r="AD221" s="23"/>
      <c r="AG221" s="25" t="str">
        <f t="shared" si="91"/>
        <v/>
      </c>
      <c r="AK221" s="10" t="str">
        <f t="shared" si="80"/>
        <v/>
      </c>
      <c r="AL221" s="11" t="str">
        <f t="shared" si="81"/>
        <v/>
      </c>
      <c r="AM221" s="11" t="str">
        <f t="shared" si="82"/>
        <v/>
      </c>
      <c r="AN221" s="11" t="str">
        <f t="shared" si="83"/>
        <v/>
      </c>
      <c r="AO221" s="11">
        <f t="shared" si="84"/>
        <v>1</v>
      </c>
      <c r="AP221" s="11" t="str">
        <f t="shared" si="85"/>
        <v/>
      </c>
      <c r="AQ221" s="11" t="str">
        <f t="shared" si="86"/>
        <v/>
      </c>
      <c r="AR221" s="11" t="str">
        <f t="shared" si="87"/>
        <v/>
      </c>
      <c r="AS221" s="11" t="str">
        <f t="shared" si="88"/>
        <v/>
      </c>
      <c r="AT221" s="12" t="str">
        <f t="shared" si="89"/>
        <v/>
      </c>
    </row>
    <row r="222" spans="1:46" ht="18.75" x14ac:dyDescent="0.25">
      <c r="A222" s="5" t="s">
        <v>26</v>
      </c>
      <c r="B222" t="str">
        <f>'Final list of total hauls pros'!M219</f>
        <v>SWE (SD 25-32)</v>
      </c>
      <c r="C222">
        <v>218</v>
      </c>
      <c r="D222">
        <f>'Final list of total hauls pros'!A219</f>
        <v>26221</v>
      </c>
      <c r="E222" t="str">
        <f t="shared" si="92"/>
        <v>26</v>
      </c>
      <c r="F222" t="str">
        <f>'Final list of total hauls pros'!B219</f>
        <v>40G8</v>
      </c>
      <c r="G222" t="str">
        <f>'Final list of total hauls pros'!I219</f>
        <v>SWE</v>
      </c>
      <c r="H222" t="str">
        <f>'Final list of total hauls pros'!L219</f>
        <v>25-32</v>
      </c>
      <c r="I222" t="str">
        <f t="shared" si="90"/>
        <v>POL (SD 25-32)</v>
      </c>
      <c r="K222" s="20" t="str">
        <f t="shared" si="93"/>
        <v/>
      </c>
      <c r="L222" s="23"/>
      <c r="M222" s="21" t="str">
        <f t="shared" si="94"/>
        <v/>
      </c>
      <c r="N222" s="23"/>
      <c r="O222" s="21" t="str">
        <f t="shared" si="95"/>
        <v/>
      </c>
      <c r="P222" s="23" t="s">
        <v>132</v>
      </c>
      <c r="Q222" s="21" t="str">
        <f t="shared" si="96"/>
        <v/>
      </c>
      <c r="R222" s="23"/>
      <c r="S222" s="21">
        <f t="shared" si="97"/>
        <v>1</v>
      </c>
      <c r="T222" s="23" t="s">
        <v>138</v>
      </c>
      <c r="U222" s="21" t="str">
        <f t="shared" si="98"/>
        <v/>
      </c>
      <c r="V222" s="23"/>
      <c r="W222" s="21" t="str">
        <f t="shared" si="99"/>
        <v/>
      </c>
      <c r="X222" s="23"/>
      <c r="Y222" s="21" t="str">
        <f t="shared" si="100"/>
        <v/>
      </c>
      <c r="Z222" s="23"/>
      <c r="AA222" s="21" t="str">
        <f t="shared" si="101"/>
        <v/>
      </c>
      <c r="AB222" s="23"/>
      <c r="AC222" s="21" t="str">
        <f t="shared" si="102"/>
        <v/>
      </c>
      <c r="AD222" s="23"/>
      <c r="AG222" s="25" t="str">
        <f t="shared" si="91"/>
        <v/>
      </c>
      <c r="AK222" s="10" t="str">
        <f t="shared" si="80"/>
        <v/>
      </c>
      <c r="AL222" s="11" t="str">
        <f t="shared" si="81"/>
        <v/>
      </c>
      <c r="AM222" s="11">
        <f t="shared" si="82"/>
        <v>1</v>
      </c>
      <c r="AN222" s="11" t="str">
        <f t="shared" si="83"/>
        <v/>
      </c>
      <c r="AO222" s="11" t="str">
        <f t="shared" si="84"/>
        <v/>
      </c>
      <c r="AP222" s="11" t="str">
        <f t="shared" si="85"/>
        <v/>
      </c>
      <c r="AQ222" s="11" t="str">
        <f t="shared" si="86"/>
        <v/>
      </c>
      <c r="AR222" s="11" t="str">
        <f t="shared" si="87"/>
        <v/>
      </c>
      <c r="AS222" s="11" t="str">
        <f t="shared" si="88"/>
        <v/>
      </c>
      <c r="AT222" s="12" t="str">
        <f t="shared" si="89"/>
        <v/>
      </c>
    </row>
    <row r="223" spans="1:46" ht="18.75" x14ac:dyDescent="0.25">
      <c r="A223" s="5" t="s">
        <v>26</v>
      </c>
      <c r="B223" t="str">
        <f>'Final list of total hauls pros'!M220</f>
        <v>POL (SD 25-32)</v>
      </c>
      <c r="C223">
        <v>219</v>
      </c>
      <c r="D223">
        <f>'Final list of total hauls pros'!A220</f>
        <v>26224</v>
      </c>
      <c r="E223" t="str">
        <f t="shared" si="92"/>
        <v>26</v>
      </c>
      <c r="F223" t="str">
        <f>'Final list of total hauls pros'!B220</f>
        <v>41G8</v>
      </c>
      <c r="G223" t="str">
        <f>'Final list of total hauls pros'!I220</f>
        <v>SWE</v>
      </c>
      <c r="H223" t="str">
        <f>'Final list of total hauls pros'!L220</f>
        <v>25-32</v>
      </c>
      <c r="I223" t="str">
        <f t="shared" si="90"/>
        <v>POL (SD 25-32)</v>
      </c>
      <c r="K223" s="20" t="str">
        <f t="shared" si="93"/>
        <v/>
      </c>
      <c r="L223" s="23"/>
      <c r="M223" s="21" t="str">
        <f t="shared" si="94"/>
        <v/>
      </c>
      <c r="N223" s="23"/>
      <c r="O223" s="21" t="str">
        <f t="shared" si="95"/>
        <v/>
      </c>
      <c r="P223" s="23"/>
      <c r="Q223" s="21" t="str">
        <f t="shared" si="96"/>
        <v/>
      </c>
      <c r="R223" s="23"/>
      <c r="S223" s="21">
        <f t="shared" si="97"/>
        <v>1</v>
      </c>
      <c r="T223" s="23"/>
      <c r="U223" s="21" t="str">
        <f t="shared" si="98"/>
        <v/>
      </c>
      <c r="V223" s="23"/>
      <c r="W223" s="21" t="str">
        <f t="shared" si="99"/>
        <v/>
      </c>
      <c r="X223" s="23"/>
      <c r="Y223" s="21" t="str">
        <f t="shared" si="100"/>
        <v/>
      </c>
      <c r="Z223" s="23"/>
      <c r="AA223" s="21" t="str">
        <f t="shared" si="101"/>
        <v/>
      </c>
      <c r="AB223" s="23"/>
      <c r="AC223" s="21" t="str">
        <f t="shared" si="102"/>
        <v/>
      </c>
      <c r="AD223" s="23"/>
      <c r="AG223" s="25" t="str">
        <f t="shared" si="91"/>
        <v/>
      </c>
      <c r="AK223" s="10" t="str">
        <f t="shared" si="80"/>
        <v/>
      </c>
      <c r="AL223" s="11" t="str">
        <f t="shared" si="81"/>
        <v/>
      </c>
      <c r="AM223" s="11" t="str">
        <f t="shared" si="82"/>
        <v/>
      </c>
      <c r="AN223" s="11" t="str">
        <f t="shared" si="83"/>
        <v/>
      </c>
      <c r="AO223" s="11">
        <f t="shared" si="84"/>
        <v>1</v>
      </c>
      <c r="AP223" s="11" t="str">
        <f t="shared" si="85"/>
        <v/>
      </c>
      <c r="AQ223" s="11" t="str">
        <f t="shared" si="86"/>
        <v/>
      </c>
      <c r="AR223" s="11" t="str">
        <f t="shared" si="87"/>
        <v/>
      </c>
      <c r="AS223" s="11" t="str">
        <f t="shared" si="88"/>
        <v/>
      </c>
      <c r="AT223" s="12" t="str">
        <f t="shared" si="89"/>
        <v/>
      </c>
    </row>
    <row r="224" spans="1:46" ht="18.75" x14ac:dyDescent="0.25">
      <c r="A224" s="5" t="s">
        <v>26</v>
      </c>
      <c r="B224" t="str">
        <f>'Final list of total hauls pros'!M221</f>
        <v>POL (SD 25-32)</v>
      </c>
      <c r="C224">
        <v>220</v>
      </c>
      <c r="D224">
        <f>'Final list of total hauls pros'!A221</f>
        <v>26257</v>
      </c>
      <c r="E224" t="str">
        <f t="shared" si="92"/>
        <v>26</v>
      </c>
      <c r="F224" t="str">
        <f>'Final list of total hauls pros'!B221</f>
        <v>38G9</v>
      </c>
      <c r="G224" t="str">
        <f>'Final list of total hauls pros'!I221</f>
        <v>POL</v>
      </c>
      <c r="H224" t="str">
        <f>'Final list of total hauls pros'!L221</f>
        <v>25-32</v>
      </c>
      <c r="I224" t="str">
        <f t="shared" si="90"/>
        <v>POL (SD 25-32)</v>
      </c>
      <c r="K224" s="20" t="str">
        <f t="shared" si="93"/>
        <v/>
      </c>
      <c r="L224" s="23"/>
      <c r="M224" s="21" t="str">
        <f t="shared" si="94"/>
        <v/>
      </c>
      <c r="N224" s="23"/>
      <c r="O224" s="21" t="str">
        <f t="shared" si="95"/>
        <v/>
      </c>
      <c r="P224" s="23"/>
      <c r="Q224" s="21" t="str">
        <f t="shared" si="96"/>
        <v/>
      </c>
      <c r="R224" s="23"/>
      <c r="S224" s="21">
        <f t="shared" si="97"/>
        <v>1</v>
      </c>
      <c r="T224" s="23"/>
      <c r="U224" s="21" t="str">
        <f t="shared" si="98"/>
        <v/>
      </c>
      <c r="V224" s="23"/>
      <c r="W224" s="21" t="str">
        <f t="shared" si="99"/>
        <v/>
      </c>
      <c r="X224" s="23"/>
      <c r="Y224" s="21" t="str">
        <f t="shared" si="100"/>
        <v/>
      </c>
      <c r="Z224" s="23"/>
      <c r="AA224" s="21" t="str">
        <f t="shared" si="101"/>
        <v/>
      </c>
      <c r="AB224" s="23"/>
      <c r="AC224" s="21" t="str">
        <f t="shared" si="102"/>
        <v/>
      </c>
      <c r="AD224" s="23"/>
      <c r="AG224" s="25" t="str">
        <f t="shared" si="91"/>
        <v/>
      </c>
      <c r="AK224" s="10" t="str">
        <f t="shared" si="80"/>
        <v/>
      </c>
      <c r="AL224" s="11" t="str">
        <f t="shared" si="81"/>
        <v/>
      </c>
      <c r="AM224" s="11" t="str">
        <f t="shared" si="82"/>
        <v/>
      </c>
      <c r="AN224" s="11" t="str">
        <f t="shared" si="83"/>
        <v/>
      </c>
      <c r="AO224" s="11">
        <f t="shared" si="84"/>
        <v>1</v>
      </c>
      <c r="AP224" s="11" t="str">
        <f t="shared" si="85"/>
        <v/>
      </c>
      <c r="AQ224" s="11" t="str">
        <f t="shared" si="86"/>
        <v/>
      </c>
      <c r="AR224" s="11" t="str">
        <f t="shared" si="87"/>
        <v/>
      </c>
      <c r="AS224" s="11" t="str">
        <f t="shared" si="88"/>
        <v/>
      </c>
      <c r="AT224" s="12" t="str">
        <f t="shared" si="89"/>
        <v/>
      </c>
    </row>
    <row r="225" spans="1:46" ht="18.75" x14ac:dyDescent="0.25">
      <c r="A225" s="5" t="s">
        <v>26</v>
      </c>
      <c r="B225" t="str">
        <f>'Final list of total hauls pros'!M222</f>
        <v>POL (SD 25-32)</v>
      </c>
      <c r="C225">
        <v>221</v>
      </c>
      <c r="D225">
        <f>'Final list of total hauls pros'!A222</f>
        <v>26258</v>
      </c>
      <c r="E225" t="str">
        <f t="shared" si="92"/>
        <v>26</v>
      </c>
      <c r="F225" t="str">
        <f>'Final list of total hauls pros'!B222</f>
        <v>37G9</v>
      </c>
      <c r="G225" t="str">
        <f>'Final list of total hauls pros'!I222</f>
        <v>POL</v>
      </c>
      <c r="H225" t="str">
        <f>'Final list of total hauls pros'!L222</f>
        <v>25-32</v>
      </c>
      <c r="I225" t="str">
        <f t="shared" si="90"/>
        <v>POL (SD 25-32)</v>
      </c>
      <c r="K225" s="20" t="str">
        <f t="shared" si="93"/>
        <v/>
      </c>
      <c r="L225" s="23"/>
      <c r="M225" s="21" t="str">
        <f t="shared" si="94"/>
        <v/>
      </c>
      <c r="N225" s="23"/>
      <c r="O225" s="21" t="str">
        <f t="shared" si="95"/>
        <v/>
      </c>
      <c r="P225" s="23"/>
      <c r="Q225" s="21" t="str">
        <f t="shared" si="96"/>
        <v/>
      </c>
      <c r="R225" s="23"/>
      <c r="S225" s="21">
        <f t="shared" si="97"/>
        <v>1</v>
      </c>
      <c r="T225" s="23"/>
      <c r="U225" s="21" t="str">
        <f t="shared" si="98"/>
        <v/>
      </c>
      <c r="V225" s="23"/>
      <c r="W225" s="21" t="str">
        <f t="shared" si="99"/>
        <v/>
      </c>
      <c r="X225" s="23"/>
      <c r="Y225" s="21" t="str">
        <f t="shared" si="100"/>
        <v/>
      </c>
      <c r="Z225" s="23"/>
      <c r="AA225" s="21" t="str">
        <f t="shared" si="101"/>
        <v/>
      </c>
      <c r="AB225" s="23"/>
      <c r="AC225" s="21" t="str">
        <f t="shared" si="102"/>
        <v/>
      </c>
      <c r="AD225" s="23"/>
      <c r="AG225" s="25" t="str">
        <f t="shared" si="91"/>
        <v/>
      </c>
      <c r="AK225" s="10" t="str">
        <f t="shared" si="80"/>
        <v/>
      </c>
      <c r="AL225" s="11" t="str">
        <f t="shared" si="81"/>
        <v/>
      </c>
      <c r="AM225" s="11" t="str">
        <f t="shared" si="82"/>
        <v/>
      </c>
      <c r="AN225" s="11" t="str">
        <f t="shared" si="83"/>
        <v/>
      </c>
      <c r="AO225" s="11">
        <f t="shared" si="84"/>
        <v>1</v>
      </c>
      <c r="AP225" s="11" t="str">
        <f t="shared" si="85"/>
        <v/>
      </c>
      <c r="AQ225" s="11" t="str">
        <f t="shared" si="86"/>
        <v/>
      </c>
      <c r="AR225" s="11" t="str">
        <f t="shared" si="87"/>
        <v/>
      </c>
      <c r="AS225" s="11" t="str">
        <f t="shared" si="88"/>
        <v/>
      </c>
      <c r="AT225" s="12" t="str">
        <f t="shared" si="89"/>
        <v/>
      </c>
    </row>
    <row r="226" spans="1:46" ht="18.75" x14ac:dyDescent="0.25">
      <c r="A226" s="5" t="s">
        <v>26</v>
      </c>
      <c r="B226" t="str">
        <f>'Final list of total hauls pros'!M223</f>
        <v>LAT (SD 25-32)</v>
      </c>
      <c r="C226">
        <v>222</v>
      </c>
      <c r="D226">
        <f>'Final list of total hauls pros'!A223</f>
        <v>26259</v>
      </c>
      <c r="E226" t="str">
        <f t="shared" si="92"/>
        <v>26</v>
      </c>
      <c r="F226" t="str">
        <f>'Final list of total hauls pros'!B223</f>
        <v>41G9</v>
      </c>
      <c r="G226" t="str">
        <f>'Final list of total hauls pros'!I223</f>
        <v>LAT</v>
      </c>
      <c r="H226" t="str">
        <f>'Final list of total hauls pros'!L223</f>
        <v>25-32</v>
      </c>
      <c r="I226" t="str">
        <f t="shared" si="90"/>
        <v>POL (SD 25-32)</v>
      </c>
      <c r="K226" s="20" t="str">
        <f t="shared" si="93"/>
        <v/>
      </c>
      <c r="L226" s="23"/>
      <c r="M226" s="21" t="str">
        <f t="shared" si="94"/>
        <v/>
      </c>
      <c r="N226" s="23"/>
      <c r="O226" s="21" t="str">
        <f t="shared" si="95"/>
        <v/>
      </c>
      <c r="P226" s="23"/>
      <c r="Q226" s="21" t="str">
        <f t="shared" si="96"/>
        <v/>
      </c>
      <c r="R226" s="23"/>
      <c r="S226" s="21">
        <f t="shared" si="97"/>
        <v>1</v>
      </c>
      <c r="T226" s="23" t="s">
        <v>138</v>
      </c>
      <c r="U226" s="21" t="str">
        <f t="shared" si="98"/>
        <v/>
      </c>
      <c r="V226" s="23" t="s">
        <v>132</v>
      </c>
      <c r="W226" s="21" t="str">
        <f t="shared" si="99"/>
        <v/>
      </c>
      <c r="X226" s="23"/>
      <c r="Y226" s="21" t="str">
        <f t="shared" si="100"/>
        <v/>
      </c>
      <c r="Z226" s="23"/>
      <c r="AA226" s="21" t="str">
        <f t="shared" si="101"/>
        <v/>
      </c>
      <c r="AB226" s="23"/>
      <c r="AC226" s="21" t="str">
        <f t="shared" si="102"/>
        <v/>
      </c>
      <c r="AD226" s="23"/>
      <c r="AG226" s="25" t="str">
        <f t="shared" si="91"/>
        <v/>
      </c>
      <c r="AK226" s="10" t="str">
        <f t="shared" si="80"/>
        <v/>
      </c>
      <c r="AL226" s="11" t="str">
        <f t="shared" si="81"/>
        <v/>
      </c>
      <c r="AM226" s="11" t="str">
        <f t="shared" si="82"/>
        <v/>
      </c>
      <c r="AN226" s="11" t="str">
        <f t="shared" si="83"/>
        <v/>
      </c>
      <c r="AO226" s="11" t="str">
        <f t="shared" si="84"/>
        <v/>
      </c>
      <c r="AP226" s="11">
        <f t="shared" si="85"/>
        <v>1</v>
      </c>
      <c r="AQ226" s="11" t="str">
        <f t="shared" si="86"/>
        <v/>
      </c>
      <c r="AR226" s="11" t="str">
        <f t="shared" si="87"/>
        <v/>
      </c>
      <c r="AS226" s="11" t="str">
        <f t="shared" si="88"/>
        <v/>
      </c>
      <c r="AT226" s="12" t="str">
        <f t="shared" si="89"/>
        <v/>
      </c>
    </row>
    <row r="227" spans="1:46" ht="18.75" x14ac:dyDescent="0.25">
      <c r="A227" s="5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26263</v>
      </c>
      <c r="E227" t="str">
        <f t="shared" si="92"/>
        <v>26</v>
      </c>
      <c r="F227" t="str">
        <f>'Final list of total hauls pros'!B224</f>
        <v>37G8</v>
      </c>
      <c r="G227" t="str">
        <f>'Final list of total hauls pros'!I224</f>
        <v>POL</v>
      </c>
      <c r="H227" t="str">
        <f>'Final list of total hauls pros'!L224</f>
        <v>25-32</v>
      </c>
      <c r="I227" t="str">
        <f t="shared" si="90"/>
        <v>POL (SD 25-32)</v>
      </c>
      <c r="K227" s="20" t="str">
        <f t="shared" si="93"/>
        <v/>
      </c>
      <c r="L227" s="23"/>
      <c r="M227" s="21" t="str">
        <f t="shared" si="94"/>
        <v/>
      </c>
      <c r="N227" s="23"/>
      <c r="O227" s="21" t="str">
        <f t="shared" si="95"/>
        <v/>
      </c>
      <c r="P227" s="23"/>
      <c r="Q227" s="21" t="str">
        <f t="shared" si="96"/>
        <v/>
      </c>
      <c r="R227" s="23"/>
      <c r="S227" s="21">
        <f t="shared" si="97"/>
        <v>1</v>
      </c>
      <c r="T227" s="23"/>
      <c r="U227" s="21" t="str">
        <f t="shared" si="98"/>
        <v/>
      </c>
      <c r="V227" s="23"/>
      <c r="W227" s="21" t="str">
        <f t="shared" si="99"/>
        <v/>
      </c>
      <c r="X227" s="23"/>
      <c r="Y227" s="21" t="str">
        <f t="shared" si="100"/>
        <v/>
      </c>
      <c r="Z227" s="23"/>
      <c r="AA227" s="21" t="str">
        <f t="shared" si="101"/>
        <v/>
      </c>
      <c r="AB227" s="23"/>
      <c r="AC227" s="21" t="str">
        <f t="shared" si="102"/>
        <v/>
      </c>
      <c r="AD227" s="23"/>
      <c r="AG227" s="25" t="str">
        <f t="shared" si="91"/>
        <v/>
      </c>
      <c r="AK227" s="10" t="str">
        <f t="shared" si="80"/>
        <v/>
      </c>
      <c r="AL227" s="11" t="str">
        <f t="shared" si="81"/>
        <v/>
      </c>
      <c r="AM227" s="11" t="str">
        <f t="shared" si="82"/>
        <v/>
      </c>
      <c r="AN227" s="11" t="str">
        <f t="shared" si="83"/>
        <v/>
      </c>
      <c r="AO227" s="11">
        <f t="shared" si="84"/>
        <v>1</v>
      </c>
      <c r="AP227" s="11" t="str">
        <f t="shared" si="85"/>
        <v/>
      </c>
      <c r="AQ227" s="11" t="str">
        <f t="shared" si="86"/>
        <v/>
      </c>
      <c r="AR227" s="11" t="str">
        <f t="shared" si="87"/>
        <v/>
      </c>
      <c r="AS227" s="11" t="str">
        <f t="shared" si="88"/>
        <v/>
      </c>
      <c r="AT227" s="12" t="str">
        <f t="shared" si="89"/>
        <v/>
      </c>
    </row>
    <row r="228" spans="1:46" ht="18.75" x14ac:dyDescent="0.25">
      <c r="A228" s="5" t="s">
        <v>26</v>
      </c>
      <c r="B228" t="str">
        <f>'Final list of total hauls pros'!M225</f>
        <v>POL (SD 25-32)</v>
      </c>
      <c r="C228">
        <v>224</v>
      </c>
      <c r="D228">
        <f>'Final list of total hauls pros'!A225</f>
        <v>26264</v>
      </c>
      <c r="E228" t="str">
        <f t="shared" si="92"/>
        <v>26</v>
      </c>
      <c r="F228" t="str">
        <f>'Final list of total hauls pros'!B225</f>
        <v>37G9</v>
      </c>
      <c r="G228" t="str">
        <f>'Final list of total hauls pros'!I225</f>
        <v>POL</v>
      </c>
      <c r="H228" t="str">
        <f>'Final list of total hauls pros'!L225</f>
        <v>25-32</v>
      </c>
      <c r="I228" t="str">
        <f t="shared" si="90"/>
        <v>POL (SD 25-32)</v>
      </c>
      <c r="K228" s="20" t="str">
        <f t="shared" si="93"/>
        <v/>
      </c>
      <c r="L228" s="23"/>
      <c r="M228" s="21" t="str">
        <f t="shared" si="94"/>
        <v/>
      </c>
      <c r="N228" s="23"/>
      <c r="O228" s="21" t="str">
        <f t="shared" si="95"/>
        <v/>
      </c>
      <c r="P228" s="23"/>
      <c r="Q228" s="21" t="str">
        <f t="shared" si="96"/>
        <v/>
      </c>
      <c r="R228" s="23"/>
      <c r="S228" s="21">
        <f t="shared" si="97"/>
        <v>1</v>
      </c>
      <c r="T228" s="23"/>
      <c r="U228" s="21" t="str">
        <f t="shared" si="98"/>
        <v/>
      </c>
      <c r="V228" s="23"/>
      <c r="W228" s="21" t="str">
        <f t="shared" si="99"/>
        <v/>
      </c>
      <c r="X228" s="23"/>
      <c r="Y228" s="21" t="str">
        <f t="shared" si="100"/>
        <v/>
      </c>
      <c r="Z228" s="23"/>
      <c r="AA228" s="21" t="str">
        <f t="shared" si="101"/>
        <v/>
      </c>
      <c r="AB228" s="23"/>
      <c r="AC228" s="21" t="str">
        <f t="shared" si="102"/>
        <v/>
      </c>
      <c r="AD228" s="23"/>
      <c r="AG228" s="25" t="str">
        <f t="shared" si="91"/>
        <v/>
      </c>
      <c r="AK228" s="10" t="str">
        <f t="shared" si="80"/>
        <v/>
      </c>
      <c r="AL228" s="11" t="str">
        <f t="shared" si="81"/>
        <v/>
      </c>
      <c r="AM228" s="11" t="str">
        <f t="shared" si="82"/>
        <v/>
      </c>
      <c r="AN228" s="11" t="str">
        <f t="shared" si="83"/>
        <v/>
      </c>
      <c r="AO228" s="11">
        <f t="shared" si="84"/>
        <v>1</v>
      </c>
      <c r="AP228" s="11" t="str">
        <f t="shared" si="85"/>
        <v/>
      </c>
      <c r="AQ228" s="11" t="str">
        <f t="shared" si="86"/>
        <v/>
      </c>
      <c r="AR228" s="11" t="str">
        <f t="shared" si="87"/>
        <v/>
      </c>
      <c r="AS228" s="11" t="str">
        <f t="shared" si="88"/>
        <v/>
      </c>
      <c r="AT228" s="12" t="str">
        <f t="shared" si="89"/>
        <v/>
      </c>
    </row>
    <row r="229" spans="1:46" ht="18.75" x14ac:dyDescent="0.25">
      <c r="A229" s="5" t="s">
        <v>26</v>
      </c>
      <c r="B229" t="str">
        <f>'Final list of total hauls pros'!M226</f>
        <v>POL (SD 25-32)</v>
      </c>
      <c r="C229">
        <v>225</v>
      </c>
      <c r="D229">
        <f>'Final list of total hauls pros'!A226</f>
        <v>26265</v>
      </c>
      <c r="E229" t="str">
        <f t="shared" si="92"/>
        <v>26</v>
      </c>
      <c r="F229" t="str">
        <f>'Final list of total hauls pros'!B226</f>
        <v>37G9</v>
      </c>
      <c r="G229" t="str">
        <f>'Final list of total hauls pros'!I226</f>
        <v>POL</v>
      </c>
      <c r="H229" t="str">
        <f>'Final list of total hauls pros'!L226</f>
        <v>25-32</v>
      </c>
      <c r="I229" t="str">
        <f t="shared" si="90"/>
        <v>POL (SD 25-32)</v>
      </c>
      <c r="K229" s="20" t="str">
        <f t="shared" si="93"/>
        <v/>
      </c>
      <c r="L229" s="23"/>
      <c r="M229" s="21" t="str">
        <f t="shared" si="94"/>
        <v/>
      </c>
      <c r="N229" s="23"/>
      <c r="O229" s="21" t="str">
        <f t="shared" si="95"/>
        <v/>
      </c>
      <c r="P229" s="23"/>
      <c r="Q229" s="21" t="str">
        <f t="shared" si="96"/>
        <v/>
      </c>
      <c r="R229" s="23"/>
      <c r="S229" s="21">
        <f t="shared" si="97"/>
        <v>1</v>
      </c>
      <c r="T229" s="23"/>
      <c r="U229" s="21" t="str">
        <f t="shared" si="98"/>
        <v/>
      </c>
      <c r="V229" s="23"/>
      <c r="W229" s="21" t="str">
        <f t="shared" si="99"/>
        <v/>
      </c>
      <c r="X229" s="23"/>
      <c r="Y229" s="21" t="str">
        <f t="shared" si="100"/>
        <v/>
      </c>
      <c r="Z229" s="23"/>
      <c r="AA229" s="21" t="str">
        <f t="shared" si="101"/>
        <v/>
      </c>
      <c r="AB229" s="23"/>
      <c r="AC229" s="21" t="str">
        <f t="shared" si="102"/>
        <v/>
      </c>
      <c r="AD229" s="23"/>
      <c r="AG229" s="25" t="str">
        <f t="shared" si="91"/>
        <v/>
      </c>
      <c r="AK229" s="10" t="str">
        <f t="shared" si="80"/>
        <v/>
      </c>
      <c r="AL229" s="11" t="str">
        <f t="shared" si="81"/>
        <v/>
      </c>
      <c r="AM229" s="11" t="str">
        <f t="shared" si="82"/>
        <v/>
      </c>
      <c r="AN229" s="11" t="str">
        <f t="shared" si="83"/>
        <v/>
      </c>
      <c r="AO229" s="11">
        <f t="shared" si="84"/>
        <v>1</v>
      </c>
      <c r="AP229" s="11" t="str">
        <f t="shared" si="85"/>
        <v/>
      </c>
      <c r="AQ229" s="11" t="str">
        <f t="shared" si="86"/>
        <v/>
      </c>
      <c r="AR229" s="11" t="str">
        <f t="shared" si="87"/>
        <v/>
      </c>
      <c r="AS229" s="11" t="str">
        <f t="shared" si="88"/>
        <v/>
      </c>
      <c r="AT229" s="12" t="str">
        <f t="shared" si="89"/>
        <v/>
      </c>
    </row>
    <row r="230" spans="1:46" ht="18.75" x14ac:dyDescent="0.25">
      <c r="A230" s="5" t="s">
        <v>26</v>
      </c>
      <c r="B230" t="str">
        <f>'Final list of total hauls pros'!M227</f>
        <v>POL (SD 25-32)</v>
      </c>
      <c r="C230">
        <v>226</v>
      </c>
      <c r="D230">
        <f>'Final list of total hauls pros'!A227</f>
        <v>26266</v>
      </c>
      <c r="E230" t="str">
        <f t="shared" si="92"/>
        <v>26</v>
      </c>
      <c r="F230" t="str">
        <f>'Final list of total hauls pros'!B227</f>
        <v>38G8</v>
      </c>
      <c r="G230" t="str">
        <f>'Final list of total hauls pros'!I227</f>
        <v>POL</v>
      </c>
      <c r="H230" t="str">
        <f>'Final list of total hauls pros'!L227</f>
        <v>25-32</v>
      </c>
      <c r="I230" t="str">
        <f t="shared" si="90"/>
        <v>POL (SD 25-32)</v>
      </c>
      <c r="K230" s="20" t="str">
        <f t="shared" si="93"/>
        <v/>
      </c>
      <c r="L230" s="23"/>
      <c r="M230" s="21" t="str">
        <f t="shared" si="94"/>
        <v/>
      </c>
      <c r="N230" s="23"/>
      <c r="O230" s="21" t="str">
        <f t="shared" si="95"/>
        <v/>
      </c>
      <c r="P230" s="23"/>
      <c r="Q230" s="21" t="str">
        <f t="shared" si="96"/>
        <v/>
      </c>
      <c r="R230" s="23"/>
      <c r="S230" s="21">
        <f t="shared" si="97"/>
        <v>1</v>
      </c>
      <c r="T230" s="23"/>
      <c r="U230" s="21" t="str">
        <f t="shared" si="98"/>
        <v/>
      </c>
      <c r="V230" s="23"/>
      <c r="W230" s="21" t="str">
        <f t="shared" si="99"/>
        <v/>
      </c>
      <c r="X230" s="23"/>
      <c r="Y230" s="21" t="str">
        <f t="shared" si="100"/>
        <v/>
      </c>
      <c r="Z230" s="23"/>
      <c r="AA230" s="21" t="str">
        <f t="shared" si="101"/>
        <v/>
      </c>
      <c r="AB230" s="23"/>
      <c r="AC230" s="21" t="str">
        <f t="shared" si="102"/>
        <v/>
      </c>
      <c r="AD230" s="23"/>
      <c r="AG230" s="25" t="str">
        <f t="shared" si="91"/>
        <v/>
      </c>
      <c r="AK230" s="10" t="str">
        <f t="shared" si="80"/>
        <v/>
      </c>
      <c r="AL230" s="11" t="str">
        <f t="shared" si="81"/>
        <v/>
      </c>
      <c r="AM230" s="11" t="str">
        <f t="shared" si="82"/>
        <v/>
      </c>
      <c r="AN230" s="11" t="str">
        <f t="shared" si="83"/>
        <v/>
      </c>
      <c r="AO230" s="11">
        <f t="shared" si="84"/>
        <v>1</v>
      </c>
      <c r="AP230" s="11" t="str">
        <f t="shared" si="85"/>
        <v/>
      </c>
      <c r="AQ230" s="11" t="str">
        <f t="shared" si="86"/>
        <v/>
      </c>
      <c r="AR230" s="11" t="str">
        <f t="shared" si="87"/>
        <v/>
      </c>
      <c r="AS230" s="11" t="str">
        <f t="shared" si="88"/>
        <v/>
      </c>
      <c r="AT230" s="12" t="str">
        <f t="shared" si="89"/>
        <v/>
      </c>
    </row>
    <row r="231" spans="1:46" ht="18.75" x14ac:dyDescent="0.25">
      <c r="A231" s="5" t="s">
        <v>26</v>
      </c>
      <c r="B231" t="str">
        <f>'Final list of total hauls pros'!M228</f>
        <v>POL (SD 25-32)</v>
      </c>
      <c r="C231">
        <v>227</v>
      </c>
      <c r="D231">
        <f>'Final list of total hauls pros'!A228</f>
        <v>26267</v>
      </c>
      <c r="E231" t="str">
        <f t="shared" si="92"/>
        <v>26</v>
      </c>
      <c r="F231" t="str">
        <f>'Final list of total hauls pros'!B228</f>
        <v>38G8</v>
      </c>
      <c r="G231" t="str">
        <f>'Final list of total hauls pros'!I228</f>
        <v>POL</v>
      </c>
      <c r="H231" t="str">
        <f>'Final list of total hauls pros'!L228</f>
        <v>25-32</v>
      </c>
      <c r="I231" t="str">
        <f t="shared" si="90"/>
        <v>POL (SD 25-32)</v>
      </c>
      <c r="K231" s="20" t="str">
        <f t="shared" si="93"/>
        <v/>
      </c>
      <c r="L231" s="23"/>
      <c r="M231" s="21" t="str">
        <f t="shared" si="94"/>
        <v/>
      </c>
      <c r="N231" s="23"/>
      <c r="O231" s="21" t="str">
        <f t="shared" si="95"/>
        <v/>
      </c>
      <c r="P231" s="23"/>
      <c r="Q231" s="21" t="str">
        <f t="shared" si="96"/>
        <v/>
      </c>
      <c r="R231" s="23"/>
      <c r="S231" s="21">
        <f t="shared" si="97"/>
        <v>1</v>
      </c>
      <c r="T231" s="23"/>
      <c r="U231" s="21" t="str">
        <f t="shared" si="98"/>
        <v/>
      </c>
      <c r="V231" s="23"/>
      <c r="W231" s="21" t="str">
        <f t="shared" si="99"/>
        <v/>
      </c>
      <c r="X231" s="23"/>
      <c r="Y231" s="21" t="str">
        <f t="shared" si="100"/>
        <v/>
      </c>
      <c r="Z231" s="23"/>
      <c r="AA231" s="21" t="str">
        <f t="shared" si="101"/>
        <v/>
      </c>
      <c r="AB231" s="23"/>
      <c r="AC231" s="21" t="str">
        <f t="shared" si="102"/>
        <v/>
      </c>
      <c r="AD231" s="23"/>
      <c r="AG231" s="25" t="str">
        <f t="shared" si="91"/>
        <v/>
      </c>
      <c r="AK231" s="10" t="str">
        <f t="shared" si="80"/>
        <v/>
      </c>
      <c r="AL231" s="11" t="str">
        <f t="shared" si="81"/>
        <v/>
      </c>
      <c r="AM231" s="11" t="str">
        <f t="shared" si="82"/>
        <v/>
      </c>
      <c r="AN231" s="11" t="str">
        <f t="shared" si="83"/>
        <v/>
      </c>
      <c r="AO231" s="11">
        <f t="shared" si="84"/>
        <v>1</v>
      </c>
      <c r="AP231" s="11" t="str">
        <f t="shared" si="85"/>
        <v/>
      </c>
      <c r="AQ231" s="11" t="str">
        <f t="shared" si="86"/>
        <v/>
      </c>
      <c r="AR231" s="11" t="str">
        <f t="shared" si="87"/>
        <v/>
      </c>
      <c r="AS231" s="11" t="str">
        <f t="shared" si="88"/>
        <v/>
      </c>
      <c r="AT231" s="12" t="str">
        <f t="shared" si="89"/>
        <v/>
      </c>
    </row>
    <row r="232" spans="1:46" ht="18.75" x14ac:dyDescent="0.25">
      <c r="A232" s="5" t="s">
        <v>26</v>
      </c>
      <c r="B232" t="str">
        <f>'Final list of total hauls pros'!M229</f>
        <v>POL (SD 25-32)</v>
      </c>
      <c r="C232">
        <v>228</v>
      </c>
      <c r="D232">
        <f>'Final list of total hauls pros'!A229</f>
        <v>26268</v>
      </c>
      <c r="E232" t="str">
        <f t="shared" si="92"/>
        <v>26</v>
      </c>
      <c r="F232" t="str">
        <f>'Final list of total hauls pros'!B229</f>
        <v>38G8</v>
      </c>
      <c r="G232" t="str">
        <f>'Final list of total hauls pros'!I229</f>
        <v>POL</v>
      </c>
      <c r="H232" t="str">
        <f>'Final list of total hauls pros'!L229</f>
        <v>25-32</v>
      </c>
      <c r="I232" t="str">
        <f t="shared" si="90"/>
        <v>POL (SD 25-32)</v>
      </c>
      <c r="K232" s="20" t="str">
        <f t="shared" si="93"/>
        <v/>
      </c>
      <c r="L232" s="23"/>
      <c r="M232" s="21" t="str">
        <f t="shared" si="94"/>
        <v/>
      </c>
      <c r="N232" s="23"/>
      <c r="O232" s="21" t="str">
        <f t="shared" si="95"/>
        <v/>
      </c>
      <c r="P232" s="23"/>
      <c r="Q232" s="21" t="str">
        <f t="shared" si="96"/>
        <v/>
      </c>
      <c r="R232" s="23"/>
      <c r="S232" s="21">
        <f t="shared" si="97"/>
        <v>1</v>
      </c>
      <c r="T232" s="23"/>
      <c r="U232" s="21" t="str">
        <f t="shared" si="98"/>
        <v/>
      </c>
      <c r="V232" s="23"/>
      <c r="W232" s="21" t="str">
        <f t="shared" si="99"/>
        <v/>
      </c>
      <c r="X232" s="23"/>
      <c r="Y232" s="21" t="str">
        <f t="shared" si="100"/>
        <v/>
      </c>
      <c r="Z232" s="23"/>
      <c r="AA232" s="21" t="str">
        <f t="shared" si="101"/>
        <v/>
      </c>
      <c r="AB232" s="23"/>
      <c r="AC232" s="21" t="str">
        <f t="shared" si="102"/>
        <v/>
      </c>
      <c r="AD232" s="23"/>
      <c r="AG232" s="25" t="str">
        <f t="shared" si="91"/>
        <v/>
      </c>
      <c r="AK232" s="10" t="str">
        <f t="shared" si="80"/>
        <v/>
      </c>
      <c r="AL232" s="11" t="str">
        <f t="shared" si="81"/>
        <v/>
      </c>
      <c r="AM232" s="11" t="str">
        <f t="shared" si="82"/>
        <v/>
      </c>
      <c r="AN232" s="11" t="str">
        <f t="shared" si="83"/>
        <v/>
      </c>
      <c r="AO232" s="11">
        <f t="shared" si="84"/>
        <v>1</v>
      </c>
      <c r="AP232" s="11" t="str">
        <f t="shared" si="85"/>
        <v/>
      </c>
      <c r="AQ232" s="11" t="str">
        <f t="shared" si="86"/>
        <v/>
      </c>
      <c r="AR232" s="11" t="str">
        <f t="shared" si="87"/>
        <v/>
      </c>
      <c r="AS232" s="11" t="str">
        <f t="shared" si="88"/>
        <v/>
      </c>
      <c r="AT232" s="12" t="str">
        <f t="shared" si="89"/>
        <v/>
      </c>
    </row>
    <row r="233" spans="1:46" ht="18.75" x14ac:dyDescent="0.25">
      <c r="A233" s="5" t="s">
        <v>26</v>
      </c>
      <c r="B233" t="str">
        <f>'Final list of total hauls pros'!M230</f>
        <v>POL (SD 25-32)</v>
      </c>
      <c r="C233">
        <v>229</v>
      </c>
      <c r="D233">
        <f>'Final list of total hauls pros'!A230</f>
        <v>26269</v>
      </c>
      <c r="E233" t="str">
        <f t="shared" si="92"/>
        <v>26</v>
      </c>
      <c r="F233" t="str">
        <f>'Final list of total hauls pros'!B230</f>
        <v>38G9</v>
      </c>
      <c r="G233" t="str">
        <f>'Final list of total hauls pros'!I230</f>
        <v>POL</v>
      </c>
      <c r="H233" t="str">
        <f>'Final list of total hauls pros'!L230</f>
        <v>25-32</v>
      </c>
      <c r="I233" t="str">
        <f t="shared" si="90"/>
        <v>POL (SD 25-32)</v>
      </c>
      <c r="K233" s="20" t="str">
        <f t="shared" si="93"/>
        <v/>
      </c>
      <c r="L233" s="23"/>
      <c r="M233" s="21" t="str">
        <f t="shared" si="94"/>
        <v/>
      </c>
      <c r="N233" s="23"/>
      <c r="O233" s="21" t="str">
        <f t="shared" si="95"/>
        <v/>
      </c>
      <c r="P233" s="23"/>
      <c r="Q233" s="21" t="str">
        <f t="shared" si="96"/>
        <v/>
      </c>
      <c r="R233" s="23"/>
      <c r="S233" s="21">
        <f t="shared" si="97"/>
        <v>1</v>
      </c>
      <c r="T233" s="23"/>
      <c r="U233" s="21" t="str">
        <f t="shared" si="98"/>
        <v/>
      </c>
      <c r="V233" s="23"/>
      <c r="W233" s="21" t="str">
        <f t="shared" si="99"/>
        <v/>
      </c>
      <c r="X233" s="23"/>
      <c r="Y233" s="21" t="str">
        <f t="shared" si="100"/>
        <v/>
      </c>
      <c r="Z233" s="23"/>
      <c r="AA233" s="21" t="str">
        <f t="shared" si="101"/>
        <v/>
      </c>
      <c r="AB233" s="23"/>
      <c r="AC233" s="21" t="str">
        <f t="shared" si="102"/>
        <v/>
      </c>
      <c r="AD233" s="23"/>
      <c r="AG233" s="25" t="str">
        <f t="shared" si="91"/>
        <v/>
      </c>
      <c r="AK233" s="10" t="str">
        <f t="shared" si="80"/>
        <v/>
      </c>
      <c r="AL233" s="11" t="str">
        <f t="shared" si="81"/>
        <v/>
      </c>
      <c r="AM233" s="11" t="str">
        <f t="shared" si="82"/>
        <v/>
      </c>
      <c r="AN233" s="11" t="str">
        <f t="shared" si="83"/>
        <v/>
      </c>
      <c r="AO233" s="11">
        <f t="shared" si="84"/>
        <v>1</v>
      </c>
      <c r="AP233" s="11" t="str">
        <f t="shared" si="85"/>
        <v/>
      </c>
      <c r="AQ233" s="11" t="str">
        <f t="shared" si="86"/>
        <v/>
      </c>
      <c r="AR233" s="11" t="str">
        <f t="shared" si="87"/>
        <v/>
      </c>
      <c r="AS233" s="11" t="str">
        <f t="shared" si="88"/>
        <v/>
      </c>
      <c r="AT233" s="12" t="str">
        <f t="shared" si="89"/>
        <v/>
      </c>
    </row>
    <row r="234" spans="1:46" ht="18.75" x14ac:dyDescent="0.25">
      <c r="A234" s="5" t="s">
        <v>26</v>
      </c>
      <c r="B234" t="str">
        <f>'Final list of total hauls pros'!M231</f>
        <v>POL (SD 25-32)</v>
      </c>
      <c r="C234">
        <v>230</v>
      </c>
      <c r="D234">
        <f>'Final list of total hauls pros'!A231</f>
        <v>26273</v>
      </c>
      <c r="E234" t="str">
        <f t="shared" si="92"/>
        <v>26</v>
      </c>
      <c r="F234" t="str">
        <f>'Final list of total hauls pros'!B231</f>
        <v>39G8</v>
      </c>
      <c r="G234" t="str">
        <f>'Final list of total hauls pros'!I231</f>
        <v>POL</v>
      </c>
      <c r="H234" t="str">
        <f>'Final list of total hauls pros'!L231</f>
        <v>25-32</v>
      </c>
      <c r="I234" t="str">
        <f t="shared" si="90"/>
        <v>POL (SD 25-32)</v>
      </c>
      <c r="K234" s="20" t="str">
        <f t="shared" si="93"/>
        <v/>
      </c>
      <c r="L234" s="23"/>
      <c r="M234" s="21" t="str">
        <f t="shared" si="94"/>
        <v/>
      </c>
      <c r="N234" s="23"/>
      <c r="O234" s="21" t="str">
        <f t="shared" si="95"/>
        <v/>
      </c>
      <c r="P234" s="23"/>
      <c r="Q234" s="21" t="str">
        <f t="shared" si="96"/>
        <v/>
      </c>
      <c r="R234" s="23"/>
      <c r="S234" s="21">
        <f t="shared" si="97"/>
        <v>1</v>
      </c>
      <c r="T234" s="23"/>
      <c r="U234" s="21" t="str">
        <f t="shared" si="98"/>
        <v/>
      </c>
      <c r="V234" s="23"/>
      <c r="W234" s="21" t="str">
        <f t="shared" si="99"/>
        <v/>
      </c>
      <c r="X234" s="23"/>
      <c r="Y234" s="21" t="str">
        <f t="shared" si="100"/>
        <v/>
      </c>
      <c r="Z234" s="23"/>
      <c r="AA234" s="21" t="str">
        <f t="shared" si="101"/>
        <v/>
      </c>
      <c r="AB234" s="23"/>
      <c r="AC234" s="21" t="str">
        <f t="shared" si="102"/>
        <v/>
      </c>
      <c r="AD234" s="23"/>
      <c r="AG234" s="25" t="str">
        <f t="shared" si="91"/>
        <v/>
      </c>
      <c r="AK234" s="10" t="str">
        <f t="shared" si="80"/>
        <v/>
      </c>
      <c r="AL234" s="11" t="str">
        <f t="shared" si="81"/>
        <v/>
      </c>
      <c r="AM234" s="11" t="str">
        <f t="shared" si="82"/>
        <v/>
      </c>
      <c r="AN234" s="11" t="str">
        <f t="shared" si="83"/>
        <v/>
      </c>
      <c r="AO234" s="11">
        <f t="shared" si="84"/>
        <v>1</v>
      </c>
      <c r="AP234" s="11" t="str">
        <f t="shared" si="85"/>
        <v/>
      </c>
      <c r="AQ234" s="11" t="str">
        <f t="shared" si="86"/>
        <v/>
      </c>
      <c r="AR234" s="11" t="str">
        <f t="shared" si="87"/>
        <v/>
      </c>
      <c r="AS234" s="11" t="str">
        <f t="shared" si="88"/>
        <v/>
      </c>
      <c r="AT234" s="12" t="str">
        <f t="shared" si="89"/>
        <v/>
      </c>
    </row>
    <row r="235" spans="1:46" ht="18.75" x14ac:dyDescent="0.25">
      <c r="A235" s="5" t="s">
        <v>26</v>
      </c>
      <c r="B235" t="str">
        <f>'Final list of total hauls pros'!M232</f>
        <v>POL (SD 25-32)</v>
      </c>
      <c r="C235">
        <v>231</v>
      </c>
      <c r="D235">
        <f>'Final list of total hauls pros'!A232</f>
        <v>26274</v>
      </c>
      <c r="E235" t="str">
        <f t="shared" si="92"/>
        <v>26</v>
      </c>
      <c r="F235" t="str">
        <f>'Final list of total hauls pros'!B232</f>
        <v>38G8</v>
      </c>
      <c r="G235" t="str">
        <f>'Final list of total hauls pros'!I232</f>
        <v>POL</v>
      </c>
      <c r="H235" t="str">
        <f>'Final list of total hauls pros'!L232</f>
        <v>25-32</v>
      </c>
      <c r="I235" t="str">
        <f t="shared" si="90"/>
        <v>POL (SD 25-32)</v>
      </c>
      <c r="K235" s="20" t="str">
        <f t="shared" si="93"/>
        <v/>
      </c>
      <c r="L235" s="23"/>
      <c r="M235" s="21" t="str">
        <f t="shared" si="94"/>
        <v/>
      </c>
      <c r="N235" s="23"/>
      <c r="O235" s="21" t="str">
        <f t="shared" si="95"/>
        <v/>
      </c>
      <c r="P235" s="23"/>
      <c r="Q235" s="21" t="str">
        <f t="shared" si="96"/>
        <v/>
      </c>
      <c r="R235" s="23"/>
      <c r="S235" s="21">
        <f t="shared" si="97"/>
        <v>1</v>
      </c>
      <c r="T235" s="23"/>
      <c r="U235" s="21" t="str">
        <f t="shared" si="98"/>
        <v/>
      </c>
      <c r="V235" s="23"/>
      <c r="W235" s="21" t="str">
        <f t="shared" si="99"/>
        <v/>
      </c>
      <c r="X235" s="23"/>
      <c r="Y235" s="21" t="str">
        <f t="shared" si="100"/>
        <v/>
      </c>
      <c r="Z235" s="23"/>
      <c r="AA235" s="21" t="str">
        <f t="shared" si="101"/>
        <v/>
      </c>
      <c r="AB235" s="23"/>
      <c r="AC235" s="21" t="str">
        <f t="shared" si="102"/>
        <v/>
      </c>
      <c r="AD235" s="23"/>
      <c r="AG235" s="25" t="str">
        <f t="shared" si="91"/>
        <v/>
      </c>
      <c r="AK235" s="10" t="str">
        <f t="shared" si="80"/>
        <v/>
      </c>
      <c r="AL235" s="11" t="str">
        <f t="shared" si="81"/>
        <v/>
      </c>
      <c r="AM235" s="11" t="str">
        <f t="shared" si="82"/>
        <v/>
      </c>
      <c r="AN235" s="11" t="str">
        <f t="shared" si="83"/>
        <v/>
      </c>
      <c r="AO235" s="11">
        <f t="shared" si="84"/>
        <v>1</v>
      </c>
      <c r="AP235" s="11" t="str">
        <f t="shared" si="85"/>
        <v/>
      </c>
      <c r="AQ235" s="11" t="str">
        <f t="shared" si="86"/>
        <v/>
      </c>
      <c r="AR235" s="11" t="str">
        <f t="shared" si="87"/>
        <v/>
      </c>
      <c r="AS235" s="11" t="str">
        <f t="shared" si="88"/>
        <v/>
      </c>
      <c r="AT235" s="12" t="str">
        <f t="shared" si="89"/>
        <v/>
      </c>
    </row>
    <row r="236" spans="1:46" ht="18.75" x14ac:dyDescent="0.25">
      <c r="A236" s="5" t="s">
        <v>26</v>
      </c>
      <c r="B236" t="str">
        <f>'Final list of total hauls pros'!M233</f>
        <v>POL (SD 25-32)</v>
      </c>
      <c r="C236">
        <v>232</v>
      </c>
      <c r="D236">
        <f>'Final list of total hauls pros'!A233</f>
        <v>26278</v>
      </c>
      <c r="E236" t="str">
        <f t="shared" si="92"/>
        <v>26</v>
      </c>
      <c r="F236" t="str">
        <f>'Final list of total hauls pros'!B233</f>
        <v>38G8</v>
      </c>
      <c r="G236" t="str">
        <f>'Final list of total hauls pros'!I233</f>
        <v>POL</v>
      </c>
      <c r="H236" t="str">
        <f>'Final list of total hauls pros'!L233</f>
        <v>25-32</v>
      </c>
      <c r="I236" t="str">
        <f t="shared" si="90"/>
        <v>POL (SD 25-32)</v>
      </c>
      <c r="K236" s="20" t="str">
        <f t="shared" si="93"/>
        <v/>
      </c>
      <c r="L236" s="23"/>
      <c r="M236" s="21" t="str">
        <f t="shared" si="94"/>
        <v/>
      </c>
      <c r="N236" s="23"/>
      <c r="O236" s="21" t="str">
        <f t="shared" si="95"/>
        <v/>
      </c>
      <c r="P236" s="23"/>
      <c r="Q236" s="21" t="str">
        <f t="shared" si="96"/>
        <v/>
      </c>
      <c r="R236" s="23"/>
      <c r="S236" s="21">
        <f t="shared" si="97"/>
        <v>1</v>
      </c>
      <c r="T236" s="23"/>
      <c r="U236" s="21" t="str">
        <f t="shared" si="98"/>
        <v/>
      </c>
      <c r="V236" s="23"/>
      <c r="W236" s="21" t="str">
        <f t="shared" si="99"/>
        <v/>
      </c>
      <c r="X236" s="23"/>
      <c r="Y236" s="21" t="str">
        <f t="shared" si="100"/>
        <v/>
      </c>
      <c r="Z236" s="23"/>
      <c r="AA236" s="21" t="str">
        <f t="shared" si="101"/>
        <v/>
      </c>
      <c r="AB236" s="23"/>
      <c r="AC236" s="21" t="str">
        <f t="shared" si="102"/>
        <v/>
      </c>
      <c r="AD236" s="23"/>
      <c r="AG236" s="25" t="str">
        <f t="shared" si="91"/>
        <v/>
      </c>
      <c r="AK236" s="10" t="str">
        <f t="shared" si="80"/>
        <v/>
      </c>
      <c r="AL236" s="11" t="str">
        <f t="shared" si="81"/>
        <v/>
      </c>
      <c r="AM236" s="11" t="str">
        <f t="shared" si="82"/>
        <v/>
      </c>
      <c r="AN236" s="11" t="str">
        <f t="shared" si="83"/>
        <v/>
      </c>
      <c r="AO236" s="11">
        <f t="shared" si="84"/>
        <v>1</v>
      </c>
      <c r="AP236" s="11" t="str">
        <f t="shared" si="85"/>
        <v/>
      </c>
      <c r="AQ236" s="11" t="str">
        <f t="shared" si="86"/>
        <v/>
      </c>
      <c r="AR236" s="11" t="str">
        <f t="shared" si="87"/>
        <v/>
      </c>
      <c r="AS236" s="11" t="str">
        <f t="shared" si="88"/>
        <v/>
      </c>
      <c r="AT236" s="12" t="str">
        <f t="shared" si="89"/>
        <v/>
      </c>
    </row>
    <row r="237" spans="1:46" ht="18.75" x14ac:dyDescent="0.25">
      <c r="A237" s="5" t="s">
        <v>26</v>
      </c>
      <c r="B237" t="str">
        <f>'Final list of total hauls pros'!M234</f>
        <v>POL (SD 25-32)</v>
      </c>
      <c r="C237">
        <v>233</v>
      </c>
      <c r="D237">
        <f>'Final list of total hauls pros'!A234</f>
        <v>26279</v>
      </c>
      <c r="E237" t="str">
        <f t="shared" si="92"/>
        <v>26</v>
      </c>
      <c r="F237" t="str">
        <f>'Final list of total hauls pros'!B234</f>
        <v>38G8</v>
      </c>
      <c r="G237" t="str">
        <f>'Final list of total hauls pros'!I234</f>
        <v>POL</v>
      </c>
      <c r="H237" t="str">
        <f>'Final list of total hauls pros'!L234</f>
        <v>25-32</v>
      </c>
      <c r="I237" t="str">
        <f t="shared" si="90"/>
        <v>POL (SD 25-32)</v>
      </c>
      <c r="K237" s="20" t="str">
        <f t="shared" si="93"/>
        <v/>
      </c>
      <c r="L237" s="23"/>
      <c r="M237" s="21" t="str">
        <f t="shared" si="94"/>
        <v/>
      </c>
      <c r="N237" s="23"/>
      <c r="O237" s="21" t="str">
        <f t="shared" si="95"/>
        <v/>
      </c>
      <c r="P237" s="23"/>
      <c r="Q237" s="21" t="str">
        <f t="shared" si="96"/>
        <v/>
      </c>
      <c r="R237" s="23"/>
      <c r="S237" s="21">
        <f t="shared" si="97"/>
        <v>1</v>
      </c>
      <c r="T237" s="23"/>
      <c r="U237" s="21" t="str">
        <f t="shared" si="98"/>
        <v/>
      </c>
      <c r="V237" s="23"/>
      <c r="W237" s="21" t="str">
        <f t="shared" si="99"/>
        <v/>
      </c>
      <c r="X237" s="23"/>
      <c r="Y237" s="21" t="str">
        <f t="shared" si="100"/>
        <v/>
      </c>
      <c r="Z237" s="23"/>
      <c r="AA237" s="21" t="str">
        <f t="shared" si="101"/>
        <v/>
      </c>
      <c r="AB237" s="23"/>
      <c r="AC237" s="21" t="str">
        <f t="shared" si="102"/>
        <v/>
      </c>
      <c r="AD237" s="23"/>
      <c r="AG237" s="25" t="str">
        <f t="shared" si="91"/>
        <v/>
      </c>
      <c r="AK237" s="10" t="str">
        <f t="shared" si="80"/>
        <v/>
      </c>
      <c r="AL237" s="11" t="str">
        <f t="shared" si="81"/>
        <v/>
      </c>
      <c r="AM237" s="11" t="str">
        <f t="shared" si="82"/>
        <v/>
      </c>
      <c r="AN237" s="11" t="str">
        <f t="shared" si="83"/>
        <v/>
      </c>
      <c r="AO237" s="11">
        <f t="shared" si="84"/>
        <v>1</v>
      </c>
      <c r="AP237" s="11" t="str">
        <f t="shared" si="85"/>
        <v/>
      </c>
      <c r="AQ237" s="11" t="str">
        <f t="shared" si="86"/>
        <v/>
      </c>
      <c r="AR237" s="11" t="str">
        <f t="shared" si="87"/>
        <v/>
      </c>
      <c r="AS237" s="11" t="str">
        <f t="shared" si="88"/>
        <v/>
      </c>
      <c r="AT237" s="12" t="str">
        <f t="shared" si="89"/>
        <v/>
      </c>
    </row>
    <row r="238" spans="1:46" ht="18.75" x14ac:dyDescent="0.25">
      <c r="A238" s="5" t="s">
        <v>26</v>
      </c>
      <c r="B238" t="str">
        <f>'Final list of total hauls pros'!M235</f>
        <v>POL (SD 25-32)</v>
      </c>
      <c r="C238">
        <v>234</v>
      </c>
      <c r="D238">
        <f>'Final list of total hauls pros'!A235</f>
        <v>26280</v>
      </c>
      <c r="E238" t="str">
        <f t="shared" si="92"/>
        <v>26</v>
      </c>
      <c r="F238" t="str">
        <f>'Final list of total hauls pros'!B235</f>
        <v>38G8</v>
      </c>
      <c r="G238" t="str">
        <f>'Final list of total hauls pros'!I235</f>
        <v>POL</v>
      </c>
      <c r="H238" t="str">
        <f>'Final list of total hauls pros'!L235</f>
        <v>25-32</v>
      </c>
      <c r="I238" t="str">
        <f t="shared" si="90"/>
        <v>POL (SD 25-32)</v>
      </c>
      <c r="K238" s="20" t="str">
        <f t="shared" si="93"/>
        <v/>
      </c>
      <c r="L238" s="23"/>
      <c r="M238" s="21" t="str">
        <f t="shared" si="94"/>
        <v/>
      </c>
      <c r="N238" s="23"/>
      <c r="O238" s="21" t="str">
        <f t="shared" si="95"/>
        <v/>
      </c>
      <c r="P238" s="23"/>
      <c r="Q238" s="21" t="str">
        <f t="shared" si="96"/>
        <v/>
      </c>
      <c r="R238" s="23"/>
      <c r="S238" s="21">
        <f t="shared" si="97"/>
        <v>1</v>
      </c>
      <c r="T238" s="23"/>
      <c r="U238" s="21" t="str">
        <f t="shared" si="98"/>
        <v/>
      </c>
      <c r="V238" s="23"/>
      <c r="W238" s="21" t="str">
        <f t="shared" si="99"/>
        <v/>
      </c>
      <c r="X238" s="23"/>
      <c r="Y238" s="21" t="str">
        <f t="shared" si="100"/>
        <v/>
      </c>
      <c r="Z238" s="23"/>
      <c r="AA238" s="21" t="str">
        <f t="shared" si="101"/>
        <v/>
      </c>
      <c r="AB238" s="23"/>
      <c r="AC238" s="21" t="str">
        <f t="shared" si="102"/>
        <v/>
      </c>
      <c r="AD238" s="23"/>
      <c r="AG238" s="25" t="str">
        <f t="shared" si="91"/>
        <v/>
      </c>
      <c r="AK238" s="10" t="str">
        <f t="shared" si="80"/>
        <v/>
      </c>
      <c r="AL238" s="11" t="str">
        <f t="shared" si="81"/>
        <v/>
      </c>
      <c r="AM238" s="11" t="str">
        <f t="shared" si="82"/>
        <v/>
      </c>
      <c r="AN238" s="11" t="str">
        <f t="shared" si="83"/>
        <v/>
      </c>
      <c r="AO238" s="11">
        <f t="shared" si="84"/>
        <v>1</v>
      </c>
      <c r="AP238" s="11" t="str">
        <f t="shared" si="85"/>
        <v/>
      </c>
      <c r="AQ238" s="11" t="str">
        <f t="shared" si="86"/>
        <v/>
      </c>
      <c r="AR238" s="11" t="str">
        <f t="shared" si="87"/>
        <v/>
      </c>
      <c r="AS238" s="11" t="str">
        <f t="shared" si="88"/>
        <v/>
      </c>
      <c r="AT238" s="12" t="str">
        <f t="shared" si="89"/>
        <v/>
      </c>
    </row>
    <row r="239" spans="1:46" ht="18.75" x14ac:dyDescent="0.25">
      <c r="A239" s="5" t="s">
        <v>26</v>
      </c>
      <c r="B239" t="str">
        <f>'Final list of total hauls pros'!M236</f>
        <v>POL (SD 25-32)</v>
      </c>
      <c r="C239">
        <v>235</v>
      </c>
      <c r="D239">
        <f>'Final list of total hauls pros'!A236</f>
        <v>26281</v>
      </c>
      <c r="E239" t="str">
        <f t="shared" si="92"/>
        <v>26</v>
      </c>
      <c r="F239" t="str">
        <f>'Final list of total hauls pros'!B236</f>
        <v>37G9</v>
      </c>
      <c r="G239" t="str">
        <f>'Final list of total hauls pros'!I236</f>
        <v>POL</v>
      </c>
      <c r="H239" t="str">
        <f>'Final list of total hauls pros'!L236</f>
        <v>25-32</v>
      </c>
      <c r="I239" t="str">
        <f t="shared" si="90"/>
        <v>POL (SD 25-32)</v>
      </c>
      <c r="K239" s="20" t="str">
        <f t="shared" si="93"/>
        <v/>
      </c>
      <c r="L239" s="23"/>
      <c r="M239" s="21" t="str">
        <f t="shared" si="94"/>
        <v/>
      </c>
      <c r="N239" s="23"/>
      <c r="O239" s="21" t="str">
        <f t="shared" si="95"/>
        <v/>
      </c>
      <c r="P239" s="23"/>
      <c r="Q239" s="21" t="str">
        <f t="shared" si="96"/>
        <v/>
      </c>
      <c r="R239" s="23"/>
      <c r="S239" s="21">
        <f t="shared" si="97"/>
        <v>1</v>
      </c>
      <c r="T239" s="23"/>
      <c r="U239" s="21" t="str">
        <f t="shared" si="98"/>
        <v/>
      </c>
      <c r="V239" s="23"/>
      <c r="W239" s="21" t="str">
        <f t="shared" si="99"/>
        <v/>
      </c>
      <c r="X239" s="23"/>
      <c r="Y239" s="21" t="str">
        <f t="shared" si="100"/>
        <v/>
      </c>
      <c r="Z239" s="23"/>
      <c r="AA239" s="21" t="str">
        <f t="shared" si="101"/>
        <v/>
      </c>
      <c r="AB239" s="23"/>
      <c r="AC239" s="21" t="str">
        <f t="shared" si="102"/>
        <v/>
      </c>
      <c r="AD239" s="23"/>
      <c r="AG239" s="25" t="str">
        <f t="shared" si="91"/>
        <v/>
      </c>
      <c r="AK239" s="10" t="str">
        <f t="shared" si="80"/>
        <v/>
      </c>
      <c r="AL239" s="11" t="str">
        <f t="shared" si="81"/>
        <v/>
      </c>
      <c r="AM239" s="11" t="str">
        <f t="shared" si="82"/>
        <v/>
      </c>
      <c r="AN239" s="11" t="str">
        <f t="shared" si="83"/>
        <v/>
      </c>
      <c r="AO239" s="11">
        <f t="shared" si="84"/>
        <v>1</v>
      </c>
      <c r="AP239" s="11" t="str">
        <f t="shared" si="85"/>
        <v/>
      </c>
      <c r="AQ239" s="11" t="str">
        <f t="shared" si="86"/>
        <v/>
      </c>
      <c r="AR239" s="11" t="str">
        <f t="shared" si="87"/>
        <v/>
      </c>
      <c r="AS239" s="11" t="str">
        <f t="shared" si="88"/>
        <v/>
      </c>
      <c r="AT239" s="12" t="str">
        <f t="shared" si="89"/>
        <v/>
      </c>
    </row>
    <row r="240" spans="1:46" ht="18.75" x14ac:dyDescent="0.25">
      <c r="A240" s="5" t="s">
        <v>26</v>
      </c>
      <c r="B240" t="str">
        <f>'Final list of total hauls pros'!M237</f>
        <v>POL (SD 25-32)</v>
      </c>
      <c r="C240">
        <v>236</v>
      </c>
      <c r="D240">
        <f>'Final list of total hauls pros'!A237</f>
        <v>26282</v>
      </c>
      <c r="E240" t="str">
        <f t="shared" si="92"/>
        <v>26</v>
      </c>
      <c r="F240" t="str">
        <f>'Final list of total hauls pros'!B237</f>
        <v>37G9</v>
      </c>
      <c r="G240" t="str">
        <f>'Final list of total hauls pros'!I237</f>
        <v>POL</v>
      </c>
      <c r="H240" t="str">
        <f>'Final list of total hauls pros'!L237</f>
        <v>25-32</v>
      </c>
      <c r="I240" t="str">
        <f t="shared" si="90"/>
        <v>POL (SD 25-32)</v>
      </c>
      <c r="K240" s="20" t="str">
        <f t="shared" si="93"/>
        <v/>
      </c>
      <c r="L240" s="23"/>
      <c r="M240" s="21" t="str">
        <f t="shared" si="94"/>
        <v/>
      </c>
      <c r="N240" s="23"/>
      <c r="O240" s="21" t="str">
        <f t="shared" si="95"/>
        <v/>
      </c>
      <c r="P240" s="23"/>
      <c r="Q240" s="21" t="str">
        <f t="shared" si="96"/>
        <v/>
      </c>
      <c r="R240" s="23"/>
      <c r="S240" s="21">
        <f t="shared" si="97"/>
        <v>1</v>
      </c>
      <c r="T240" s="23"/>
      <c r="U240" s="21" t="str">
        <f t="shared" si="98"/>
        <v/>
      </c>
      <c r="V240" s="23"/>
      <c r="W240" s="21" t="str">
        <f t="shared" si="99"/>
        <v/>
      </c>
      <c r="X240" s="23"/>
      <c r="Y240" s="21" t="str">
        <f t="shared" si="100"/>
        <v/>
      </c>
      <c r="Z240" s="23"/>
      <c r="AA240" s="21" t="str">
        <f t="shared" si="101"/>
        <v/>
      </c>
      <c r="AB240" s="23"/>
      <c r="AC240" s="21" t="str">
        <f t="shared" si="102"/>
        <v/>
      </c>
      <c r="AD240" s="23"/>
      <c r="AG240" s="25" t="str">
        <f t="shared" si="91"/>
        <v/>
      </c>
      <c r="AK240" s="10" t="str">
        <f t="shared" si="80"/>
        <v/>
      </c>
      <c r="AL240" s="11" t="str">
        <f t="shared" si="81"/>
        <v/>
      </c>
      <c r="AM240" s="11" t="str">
        <f t="shared" si="82"/>
        <v/>
      </c>
      <c r="AN240" s="11" t="str">
        <f t="shared" si="83"/>
        <v/>
      </c>
      <c r="AO240" s="11">
        <f t="shared" si="84"/>
        <v>1</v>
      </c>
      <c r="AP240" s="11" t="str">
        <f t="shared" si="85"/>
        <v/>
      </c>
      <c r="AQ240" s="11" t="str">
        <f t="shared" si="86"/>
        <v/>
      </c>
      <c r="AR240" s="11" t="str">
        <f t="shared" si="87"/>
        <v/>
      </c>
      <c r="AS240" s="11" t="str">
        <f t="shared" si="88"/>
        <v/>
      </c>
      <c r="AT240" s="12" t="str">
        <f t="shared" si="89"/>
        <v/>
      </c>
    </row>
    <row r="241" spans="1:46" ht="18.75" x14ac:dyDescent="0.25">
      <c r="A241" s="5" t="s">
        <v>26</v>
      </c>
      <c r="B241" t="str">
        <f>'Final list of total hauls pros'!M238</f>
        <v>POL (SD 25-32)</v>
      </c>
      <c r="C241">
        <v>237</v>
      </c>
      <c r="D241">
        <f>'Final list of total hauls pros'!A238</f>
        <v>26289</v>
      </c>
      <c r="E241" t="str">
        <f t="shared" si="92"/>
        <v>26</v>
      </c>
      <c r="F241" t="str">
        <f>'Final list of total hauls pros'!B238</f>
        <v>37G9</v>
      </c>
      <c r="G241" t="str">
        <f>'Final list of total hauls pros'!I238</f>
        <v>POL</v>
      </c>
      <c r="H241" t="str">
        <f>'Final list of total hauls pros'!L238</f>
        <v>25-32</v>
      </c>
      <c r="I241" t="str">
        <f t="shared" si="90"/>
        <v>POL (SD 25-32)</v>
      </c>
      <c r="K241" s="20" t="str">
        <f t="shared" si="93"/>
        <v/>
      </c>
      <c r="L241" s="23"/>
      <c r="M241" s="21" t="str">
        <f t="shared" si="94"/>
        <v/>
      </c>
      <c r="N241" s="23"/>
      <c r="O241" s="21" t="str">
        <f t="shared" si="95"/>
        <v/>
      </c>
      <c r="P241" s="23"/>
      <c r="Q241" s="21" t="str">
        <f t="shared" si="96"/>
        <v/>
      </c>
      <c r="R241" s="23"/>
      <c r="S241" s="21">
        <f t="shared" si="97"/>
        <v>1</v>
      </c>
      <c r="T241" s="23"/>
      <c r="U241" s="21" t="str">
        <f t="shared" si="98"/>
        <v/>
      </c>
      <c r="V241" s="23"/>
      <c r="W241" s="21" t="str">
        <f t="shared" si="99"/>
        <v/>
      </c>
      <c r="X241" s="23"/>
      <c r="Y241" s="21" t="str">
        <f t="shared" si="100"/>
        <v/>
      </c>
      <c r="Z241" s="23"/>
      <c r="AA241" s="21" t="str">
        <f t="shared" si="101"/>
        <v/>
      </c>
      <c r="AB241" s="23"/>
      <c r="AC241" s="21" t="str">
        <f t="shared" si="102"/>
        <v/>
      </c>
      <c r="AD241" s="23"/>
      <c r="AG241" s="25" t="str">
        <f t="shared" si="91"/>
        <v/>
      </c>
      <c r="AK241" s="10" t="str">
        <f t="shared" si="80"/>
        <v/>
      </c>
      <c r="AL241" s="11" t="str">
        <f t="shared" si="81"/>
        <v/>
      </c>
      <c r="AM241" s="11" t="str">
        <f t="shared" si="82"/>
        <v/>
      </c>
      <c r="AN241" s="11" t="str">
        <f t="shared" si="83"/>
        <v/>
      </c>
      <c r="AO241" s="11">
        <f t="shared" si="84"/>
        <v>1</v>
      </c>
      <c r="AP241" s="11" t="str">
        <f t="shared" si="85"/>
        <v/>
      </c>
      <c r="AQ241" s="11" t="str">
        <f t="shared" si="86"/>
        <v/>
      </c>
      <c r="AR241" s="11" t="str">
        <f t="shared" si="87"/>
        <v/>
      </c>
      <c r="AS241" s="11" t="str">
        <f t="shared" si="88"/>
        <v/>
      </c>
      <c r="AT241" s="12" t="str">
        <f t="shared" si="89"/>
        <v/>
      </c>
    </row>
    <row r="242" spans="1:46" ht="18.75" x14ac:dyDescent="0.25">
      <c r="A242" s="5" t="s">
        <v>26</v>
      </c>
      <c r="B242" t="str">
        <f>'Final list of total hauls pros'!M239</f>
        <v>SWE (SD 25-32)</v>
      </c>
      <c r="C242">
        <v>238</v>
      </c>
      <c r="D242">
        <f>'Final list of total hauls pros'!A239</f>
        <v>27003</v>
      </c>
      <c r="E242" t="str">
        <f t="shared" si="92"/>
        <v>27</v>
      </c>
      <c r="F242" t="str">
        <f>'Final list of total hauls pros'!B239</f>
        <v>43G7</v>
      </c>
      <c r="G242" t="str">
        <f>'Final list of total hauls pros'!I239</f>
        <v>SWE</v>
      </c>
      <c r="H242" t="str">
        <f>'Final list of total hauls pros'!L239</f>
        <v>25-32</v>
      </c>
      <c r="I242" t="str">
        <f t="shared" si="90"/>
        <v>SWE (SD 25-32)</v>
      </c>
      <c r="K242" s="20" t="str">
        <f t="shared" si="93"/>
        <v/>
      </c>
      <c r="L242" s="23"/>
      <c r="M242" s="21" t="str">
        <f t="shared" si="94"/>
        <v/>
      </c>
      <c r="N242" s="23"/>
      <c r="O242" s="21">
        <f t="shared" si="95"/>
        <v>1</v>
      </c>
      <c r="P242" s="23"/>
      <c r="Q242" s="21" t="str">
        <f t="shared" si="96"/>
        <v/>
      </c>
      <c r="R242" s="23"/>
      <c r="S242" s="21" t="str">
        <f t="shared" si="97"/>
        <v/>
      </c>
      <c r="T242" s="23"/>
      <c r="U242" s="21" t="str">
        <f t="shared" si="98"/>
        <v/>
      </c>
      <c r="V242" s="23"/>
      <c r="W242" s="21" t="str">
        <f t="shared" si="99"/>
        <v/>
      </c>
      <c r="X242" s="23"/>
      <c r="Y242" s="21" t="str">
        <f t="shared" si="100"/>
        <v/>
      </c>
      <c r="Z242" s="23"/>
      <c r="AA242" s="21" t="str">
        <f t="shared" si="101"/>
        <v/>
      </c>
      <c r="AB242" s="23"/>
      <c r="AC242" s="21" t="str">
        <f t="shared" si="102"/>
        <v/>
      </c>
      <c r="AD242" s="23"/>
      <c r="AG242" s="25" t="str">
        <f t="shared" si="91"/>
        <v/>
      </c>
      <c r="AK242" s="10" t="str">
        <f t="shared" si="80"/>
        <v/>
      </c>
      <c r="AL242" s="11" t="str">
        <f t="shared" si="81"/>
        <v/>
      </c>
      <c r="AM242" s="11">
        <f t="shared" si="82"/>
        <v>1</v>
      </c>
      <c r="AN242" s="11" t="str">
        <f t="shared" si="83"/>
        <v/>
      </c>
      <c r="AO242" s="11" t="str">
        <f t="shared" si="84"/>
        <v/>
      </c>
      <c r="AP242" s="11" t="str">
        <f t="shared" si="85"/>
        <v/>
      </c>
      <c r="AQ242" s="11" t="str">
        <f t="shared" si="86"/>
        <v/>
      </c>
      <c r="AR242" s="11" t="str">
        <f t="shared" si="87"/>
        <v/>
      </c>
      <c r="AS242" s="11" t="str">
        <f t="shared" si="88"/>
        <v/>
      </c>
      <c r="AT242" s="12" t="str">
        <f t="shared" si="89"/>
        <v/>
      </c>
    </row>
    <row r="243" spans="1:46" ht="18.75" x14ac:dyDescent="0.25">
      <c r="A243" s="5" t="s">
        <v>26</v>
      </c>
      <c r="B243" t="str">
        <f>'Final list of total hauls pros'!M240</f>
        <v>SWE (SD 25-32)</v>
      </c>
      <c r="C243">
        <v>239</v>
      </c>
      <c r="D243">
        <f>'Final list of total hauls pros'!A240</f>
        <v>27005</v>
      </c>
      <c r="E243" t="str">
        <f t="shared" si="92"/>
        <v>27</v>
      </c>
      <c r="F243" t="str">
        <f>'Final list of total hauls pros'!B240</f>
        <v>42G7</v>
      </c>
      <c r="G243" t="str">
        <f>'Final list of total hauls pros'!I240</f>
        <v>SWE</v>
      </c>
      <c r="H243" t="str">
        <f>'Final list of total hauls pros'!L240</f>
        <v>25-32</v>
      </c>
      <c r="I243" t="str">
        <f t="shared" si="90"/>
        <v>SWE (SD 25-32)</v>
      </c>
      <c r="K243" s="20" t="str">
        <f t="shared" si="93"/>
        <v/>
      </c>
      <c r="L243" s="23"/>
      <c r="M243" s="21" t="str">
        <f t="shared" si="94"/>
        <v/>
      </c>
      <c r="N243" s="23"/>
      <c r="O243" s="21">
        <f t="shared" si="95"/>
        <v>1</v>
      </c>
      <c r="P243" s="23"/>
      <c r="Q243" s="21" t="str">
        <f t="shared" si="96"/>
        <v/>
      </c>
      <c r="R243" s="23"/>
      <c r="S243" s="21" t="str">
        <f t="shared" si="97"/>
        <v/>
      </c>
      <c r="T243" s="23"/>
      <c r="U243" s="21" t="str">
        <f t="shared" si="98"/>
        <v/>
      </c>
      <c r="V243" s="23"/>
      <c r="W243" s="21" t="str">
        <f t="shared" si="99"/>
        <v/>
      </c>
      <c r="X243" s="23"/>
      <c r="Y243" s="21" t="str">
        <f t="shared" si="100"/>
        <v/>
      </c>
      <c r="Z243" s="23"/>
      <c r="AA243" s="21" t="str">
        <f t="shared" si="101"/>
        <v/>
      </c>
      <c r="AB243" s="23"/>
      <c r="AC243" s="21" t="str">
        <f t="shared" si="102"/>
        <v/>
      </c>
      <c r="AD243" s="23"/>
      <c r="AG243" s="25" t="str">
        <f t="shared" si="91"/>
        <v/>
      </c>
      <c r="AK243" s="10" t="str">
        <f t="shared" si="80"/>
        <v/>
      </c>
      <c r="AL243" s="11" t="str">
        <f t="shared" si="81"/>
        <v/>
      </c>
      <c r="AM243" s="11">
        <f t="shared" si="82"/>
        <v>1</v>
      </c>
      <c r="AN243" s="11" t="str">
        <f t="shared" si="83"/>
        <v/>
      </c>
      <c r="AO243" s="11" t="str">
        <f t="shared" si="84"/>
        <v/>
      </c>
      <c r="AP243" s="11" t="str">
        <f t="shared" si="85"/>
        <v/>
      </c>
      <c r="AQ243" s="11" t="str">
        <f t="shared" si="86"/>
        <v/>
      </c>
      <c r="AR243" s="11" t="str">
        <f t="shared" si="87"/>
        <v/>
      </c>
      <c r="AS243" s="11" t="str">
        <f t="shared" si="88"/>
        <v/>
      </c>
      <c r="AT243" s="12" t="str">
        <f t="shared" si="89"/>
        <v/>
      </c>
    </row>
    <row r="244" spans="1:46" ht="18.75" x14ac:dyDescent="0.25">
      <c r="A244" s="5" t="s">
        <v>26</v>
      </c>
      <c r="B244" t="str">
        <f>'Final list of total hauls pros'!M241</f>
        <v>SWE (SD 25-32)</v>
      </c>
      <c r="C244">
        <v>240</v>
      </c>
      <c r="D244">
        <f>'Final list of total hauls pros'!A241</f>
        <v>27007</v>
      </c>
      <c r="E244" t="str">
        <f t="shared" si="92"/>
        <v>27</v>
      </c>
      <c r="F244" t="str">
        <f>'Final list of total hauls pros'!B241</f>
        <v>43G7</v>
      </c>
      <c r="G244" t="str">
        <f>'Final list of total hauls pros'!I241</f>
        <v>SWE</v>
      </c>
      <c r="H244" t="str">
        <f>'Final list of total hauls pros'!L241</f>
        <v>25-32</v>
      </c>
      <c r="I244" t="str">
        <f t="shared" si="90"/>
        <v>SWE (SD 25-32)</v>
      </c>
      <c r="K244" s="20" t="str">
        <f t="shared" si="93"/>
        <v/>
      </c>
      <c r="L244" s="23"/>
      <c r="M244" s="21" t="str">
        <f t="shared" si="94"/>
        <v/>
      </c>
      <c r="N244" s="23"/>
      <c r="O244" s="21">
        <f t="shared" si="95"/>
        <v>1</v>
      </c>
      <c r="P244" s="23"/>
      <c r="Q244" s="21" t="str">
        <f t="shared" si="96"/>
        <v/>
      </c>
      <c r="R244" s="23"/>
      <c r="S244" s="21" t="str">
        <f t="shared" si="97"/>
        <v/>
      </c>
      <c r="T244" s="23"/>
      <c r="U244" s="21" t="str">
        <f t="shared" si="98"/>
        <v/>
      </c>
      <c r="V244" s="23"/>
      <c r="W244" s="21" t="str">
        <f t="shared" si="99"/>
        <v/>
      </c>
      <c r="X244" s="23"/>
      <c r="Y244" s="21" t="str">
        <f t="shared" si="100"/>
        <v/>
      </c>
      <c r="Z244" s="23"/>
      <c r="AA244" s="21" t="str">
        <f t="shared" si="101"/>
        <v/>
      </c>
      <c r="AB244" s="23"/>
      <c r="AC244" s="21" t="str">
        <f t="shared" si="102"/>
        <v/>
      </c>
      <c r="AD244" s="23"/>
      <c r="AG244" s="25" t="str">
        <f t="shared" si="91"/>
        <v/>
      </c>
      <c r="AK244" s="10" t="str">
        <f t="shared" si="80"/>
        <v/>
      </c>
      <c r="AL244" s="11" t="str">
        <f t="shared" si="81"/>
        <v/>
      </c>
      <c r="AM244" s="11">
        <f t="shared" si="82"/>
        <v>1</v>
      </c>
      <c r="AN244" s="11" t="str">
        <f t="shared" si="83"/>
        <v/>
      </c>
      <c r="AO244" s="11" t="str">
        <f t="shared" si="84"/>
        <v/>
      </c>
      <c r="AP244" s="11" t="str">
        <f t="shared" si="85"/>
        <v/>
      </c>
      <c r="AQ244" s="11" t="str">
        <f t="shared" si="86"/>
        <v/>
      </c>
      <c r="AR244" s="11" t="str">
        <f t="shared" si="87"/>
        <v/>
      </c>
      <c r="AS244" s="11" t="str">
        <f t="shared" si="88"/>
        <v/>
      </c>
      <c r="AT244" s="12" t="str">
        <f t="shared" si="89"/>
        <v/>
      </c>
    </row>
    <row r="245" spans="1:46" ht="18.75" x14ac:dyDescent="0.25">
      <c r="A245" s="5" t="s">
        <v>26</v>
      </c>
      <c r="B245" t="str">
        <f>'Final list of total hauls pros'!M242</f>
        <v>SWE (SD 25-32)</v>
      </c>
      <c r="C245">
        <v>241</v>
      </c>
      <c r="D245">
        <f>'Final list of total hauls pros'!A242</f>
        <v>27009</v>
      </c>
      <c r="E245" t="str">
        <f t="shared" si="92"/>
        <v>27</v>
      </c>
      <c r="F245" t="str">
        <f>'Final list of total hauls pros'!B242</f>
        <v>43G7</v>
      </c>
      <c r="G245" t="str">
        <f>'Final list of total hauls pros'!I242</f>
        <v>SWE</v>
      </c>
      <c r="H245" t="str">
        <f>'Final list of total hauls pros'!L242</f>
        <v>25-32</v>
      </c>
      <c r="I245" t="str">
        <f t="shared" si="90"/>
        <v>SWE (SD 25-32)</v>
      </c>
      <c r="K245" s="20" t="str">
        <f t="shared" si="93"/>
        <v/>
      </c>
      <c r="L245" s="23"/>
      <c r="M245" s="21" t="str">
        <f t="shared" si="94"/>
        <v/>
      </c>
      <c r="N245" s="23"/>
      <c r="O245" s="21">
        <f t="shared" si="95"/>
        <v>1</v>
      </c>
      <c r="P245" s="23"/>
      <c r="Q245" s="21" t="str">
        <f t="shared" si="96"/>
        <v/>
      </c>
      <c r="R245" s="23"/>
      <c r="S245" s="21" t="str">
        <f t="shared" si="97"/>
        <v/>
      </c>
      <c r="T245" s="23"/>
      <c r="U245" s="21" t="str">
        <f t="shared" si="98"/>
        <v/>
      </c>
      <c r="V245" s="23"/>
      <c r="W245" s="21" t="str">
        <f t="shared" si="99"/>
        <v/>
      </c>
      <c r="X245" s="23"/>
      <c r="Y245" s="21" t="str">
        <f t="shared" si="100"/>
        <v/>
      </c>
      <c r="Z245" s="23"/>
      <c r="AA245" s="21" t="str">
        <f t="shared" si="101"/>
        <v/>
      </c>
      <c r="AB245" s="23"/>
      <c r="AC245" s="21" t="str">
        <f t="shared" si="102"/>
        <v/>
      </c>
      <c r="AD245" s="23"/>
      <c r="AG245" s="25" t="str">
        <f t="shared" si="91"/>
        <v/>
      </c>
      <c r="AK245" s="10" t="str">
        <f t="shared" si="80"/>
        <v/>
      </c>
      <c r="AL245" s="11" t="str">
        <f t="shared" si="81"/>
        <v/>
      </c>
      <c r="AM245" s="11">
        <f t="shared" si="82"/>
        <v>1</v>
      </c>
      <c r="AN245" s="11" t="str">
        <f t="shared" si="83"/>
        <v/>
      </c>
      <c r="AO245" s="11" t="str">
        <f t="shared" si="84"/>
        <v/>
      </c>
      <c r="AP245" s="11" t="str">
        <f t="shared" si="85"/>
        <v/>
      </c>
      <c r="AQ245" s="11" t="str">
        <f t="shared" si="86"/>
        <v/>
      </c>
      <c r="AR245" s="11" t="str">
        <f t="shared" si="87"/>
        <v/>
      </c>
      <c r="AS245" s="11" t="str">
        <f t="shared" si="88"/>
        <v/>
      </c>
      <c r="AT245" s="12" t="str">
        <f t="shared" si="89"/>
        <v/>
      </c>
    </row>
    <row r="246" spans="1:46" ht="18.75" x14ac:dyDescent="0.25">
      <c r="A246" s="5" t="s">
        <v>26</v>
      </c>
      <c r="B246" t="str">
        <f>'Final list of total hauls pros'!M243</f>
        <v>SWE (SD 25-32)</v>
      </c>
      <c r="C246">
        <v>242</v>
      </c>
      <c r="D246">
        <f>'Final list of total hauls pros'!A243</f>
        <v>27011</v>
      </c>
      <c r="E246" t="str">
        <f t="shared" si="92"/>
        <v>27</v>
      </c>
      <c r="F246" t="str">
        <f>'Final list of total hauls pros'!B243</f>
        <v>43G7</v>
      </c>
      <c r="G246" t="str">
        <f>'Final list of total hauls pros'!I243</f>
        <v>SWE</v>
      </c>
      <c r="H246" t="str">
        <f>'Final list of total hauls pros'!L243</f>
        <v>25-32</v>
      </c>
      <c r="I246" t="str">
        <f t="shared" si="90"/>
        <v>SWE (SD 25-32)</v>
      </c>
      <c r="K246" s="20" t="str">
        <f t="shared" si="93"/>
        <v/>
      </c>
      <c r="L246" s="23"/>
      <c r="M246" s="21" t="str">
        <f t="shared" si="94"/>
        <v/>
      </c>
      <c r="N246" s="23"/>
      <c r="O246" s="21">
        <f t="shared" si="95"/>
        <v>1</v>
      </c>
      <c r="P246" s="23"/>
      <c r="Q246" s="21" t="str">
        <f t="shared" si="96"/>
        <v/>
      </c>
      <c r="R246" s="23"/>
      <c r="S246" s="21" t="str">
        <f t="shared" si="97"/>
        <v/>
      </c>
      <c r="T246" s="23"/>
      <c r="U246" s="21" t="str">
        <f t="shared" si="98"/>
        <v/>
      </c>
      <c r="V246" s="23"/>
      <c r="W246" s="21" t="str">
        <f t="shared" si="99"/>
        <v/>
      </c>
      <c r="X246" s="23"/>
      <c r="Y246" s="21" t="str">
        <f t="shared" si="100"/>
        <v/>
      </c>
      <c r="Z246" s="23"/>
      <c r="AA246" s="21" t="str">
        <f t="shared" si="101"/>
        <v/>
      </c>
      <c r="AB246" s="23"/>
      <c r="AC246" s="21" t="str">
        <f t="shared" si="102"/>
        <v/>
      </c>
      <c r="AD246" s="23"/>
      <c r="AG246" s="25" t="str">
        <f t="shared" si="91"/>
        <v/>
      </c>
      <c r="AK246" s="10" t="str">
        <f t="shared" si="80"/>
        <v/>
      </c>
      <c r="AL246" s="11" t="str">
        <f t="shared" si="81"/>
        <v/>
      </c>
      <c r="AM246" s="11">
        <f t="shared" si="82"/>
        <v>1</v>
      </c>
      <c r="AN246" s="11" t="str">
        <f t="shared" si="83"/>
        <v/>
      </c>
      <c r="AO246" s="11" t="str">
        <f t="shared" si="84"/>
        <v/>
      </c>
      <c r="AP246" s="11" t="str">
        <f t="shared" si="85"/>
        <v/>
      </c>
      <c r="AQ246" s="11" t="str">
        <f t="shared" si="86"/>
        <v/>
      </c>
      <c r="AR246" s="11" t="str">
        <f t="shared" si="87"/>
        <v/>
      </c>
      <c r="AS246" s="11" t="str">
        <f t="shared" si="88"/>
        <v/>
      </c>
      <c r="AT246" s="12" t="str">
        <f t="shared" si="89"/>
        <v/>
      </c>
    </row>
    <row r="247" spans="1:46" ht="18.75" x14ac:dyDescent="0.25">
      <c r="A247" s="5" t="s">
        <v>26</v>
      </c>
      <c r="B247" t="str">
        <f>'Final list of total hauls pros'!M244</f>
        <v>SWE (SD 25-32)</v>
      </c>
      <c r="C247">
        <v>243</v>
      </c>
      <c r="D247">
        <f>'Final list of total hauls pros'!A244</f>
        <v>27017</v>
      </c>
      <c r="E247" t="str">
        <f t="shared" si="92"/>
        <v>27</v>
      </c>
      <c r="F247" t="str">
        <f>'Final list of total hauls pros'!B244</f>
        <v>43G7</v>
      </c>
      <c r="G247" t="str">
        <f>'Final list of total hauls pros'!I244</f>
        <v>SWE</v>
      </c>
      <c r="H247" t="str">
        <f>'Final list of total hauls pros'!L244</f>
        <v>25-32</v>
      </c>
      <c r="I247" t="str">
        <f t="shared" si="90"/>
        <v>SWE (SD 25-32)</v>
      </c>
      <c r="K247" s="20" t="str">
        <f t="shared" si="93"/>
        <v/>
      </c>
      <c r="L247" s="23"/>
      <c r="M247" s="21" t="str">
        <f t="shared" si="94"/>
        <v/>
      </c>
      <c r="N247" s="23"/>
      <c r="O247" s="21">
        <f t="shared" si="95"/>
        <v>1</v>
      </c>
      <c r="P247" s="23"/>
      <c r="Q247" s="21" t="str">
        <f t="shared" si="96"/>
        <v/>
      </c>
      <c r="R247" s="23"/>
      <c r="S247" s="21" t="str">
        <f t="shared" si="97"/>
        <v/>
      </c>
      <c r="T247" s="23"/>
      <c r="U247" s="21" t="str">
        <f t="shared" si="98"/>
        <v/>
      </c>
      <c r="V247" s="23"/>
      <c r="W247" s="21" t="str">
        <f t="shared" si="99"/>
        <v/>
      </c>
      <c r="X247" s="23"/>
      <c r="Y247" s="21" t="str">
        <f t="shared" si="100"/>
        <v/>
      </c>
      <c r="Z247" s="23"/>
      <c r="AA247" s="21" t="str">
        <f t="shared" si="101"/>
        <v/>
      </c>
      <c r="AB247" s="23"/>
      <c r="AC247" s="21" t="str">
        <f t="shared" si="102"/>
        <v/>
      </c>
      <c r="AD247" s="23"/>
      <c r="AG247" s="25" t="str">
        <f t="shared" si="91"/>
        <v/>
      </c>
      <c r="AK247" s="10" t="str">
        <f t="shared" si="80"/>
        <v/>
      </c>
      <c r="AL247" s="11" t="str">
        <f t="shared" si="81"/>
        <v/>
      </c>
      <c r="AM247" s="11">
        <f t="shared" si="82"/>
        <v>1</v>
      </c>
      <c r="AN247" s="11" t="str">
        <f t="shared" si="83"/>
        <v/>
      </c>
      <c r="AO247" s="11" t="str">
        <f t="shared" si="84"/>
        <v/>
      </c>
      <c r="AP247" s="11" t="str">
        <f t="shared" si="85"/>
        <v/>
      </c>
      <c r="AQ247" s="11" t="str">
        <f t="shared" si="86"/>
        <v/>
      </c>
      <c r="AR247" s="11" t="str">
        <f t="shared" si="87"/>
        <v/>
      </c>
      <c r="AS247" s="11" t="str">
        <f t="shared" si="88"/>
        <v/>
      </c>
      <c r="AT247" s="12" t="str">
        <f t="shared" si="89"/>
        <v/>
      </c>
    </row>
    <row r="248" spans="1:46" ht="18.75" x14ac:dyDescent="0.25">
      <c r="A248" s="5" t="s">
        <v>26</v>
      </c>
      <c r="B248" t="str">
        <f>'Final list of total hauls pros'!M245</f>
        <v>SWE (SD 25-32)</v>
      </c>
      <c r="C248">
        <v>244</v>
      </c>
      <c r="D248">
        <f>'Final list of total hauls pros'!A245</f>
        <v>27019</v>
      </c>
      <c r="E248" t="str">
        <f t="shared" si="92"/>
        <v>27</v>
      </c>
      <c r="F248" t="str">
        <f>'Final list of total hauls pros'!B245</f>
        <v>44G8</v>
      </c>
      <c r="G248" t="str">
        <f>'Final list of total hauls pros'!I245</f>
        <v>SWE</v>
      </c>
      <c r="H248" t="str">
        <f>'Final list of total hauls pros'!L245</f>
        <v>25-32</v>
      </c>
      <c r="I248" t="str">
        <f t="shared" si="90"/>
        <v>SWE (SD 25-32)</v>
      </c>
      <c r="K248" s="20" t="str">
        <f t="shared" si="93"/>
        <v/>
      </c>
      <c r="L248" s="23"/>
      <c r="M248" s="21" t="str">
        <f t="shared" si="94"/>
        <v/>
      </c>
      <c r="N248" s="23"/>
      <c r="O248" s="21">
        <f t="shared" si="95"/>
        <v>1</v>
      </c>
      <c r="P248" s="23"/>
      <c r="Q248" s="21" t="str">
        <f t="shared" si="96"/>
        <v/>
      </c>
      <c r="R248" s="23"/>
      <c r="S248" s="21" t="str">
        <f t="shared" si="97"/>
        <v/>
      </c>
      <c r="T248" s="23"/>
      <c r="U248" s="21" t="str">
        <f t="shared" si="98"/>
        <v/>
      </c>
      <c r="V248" s="23"/>
      <c r="W248" s="21" t="str">
        <f t="shared" si="99"/>
        <v/>
      </c>
      <c r="X248" s="23"/>
      <c r="Y248" s="21" t="str">
        <f t="shared" si="100"/>
        <v/>
      </c>
      <c r="Z248" s="23"/>
      <c r="AA248" s="21" t="str">
        <f t="shared" si="101"/>
        <v/>
      </c>
      <c r="AB248" s="23"/>
      <c r="AC248" s="21" t="str">
        <f t="shared" si="102"/>
        <v/>
      </c>
      <c r="AD248" s="23"/>
      <c r="AG248" s="25" t="str">
        <f t="shared" si="91"/>
        <v/>
      </c>
      <c r="AK248" s="10" t="str">
        <f t="shared" si="80"/>
        <v/>
      </c>
      <c r="AL248" s="11" t="str">
        <f t="shared" si="81"/>
        <v/>
      </c>
      <c r="AM248" s="11">
        <f t="shared" si="82"/>
        <v>1</v>
      </c>
      <c r="AN248" s="11" t="str">
        <f t="shared" si="83"/>
        <v/>
      </c>
      <c r="AO248" s="11" t="str">
        <f t="shared" si="84"/>
        <v/>
      </c>
      <c r="AP248" s="11" t="str">
        <f t="shared" si="85"/>
        <v/>
      </c>
      <c r="AQ248" s="11" t="str">
        <f t="shared" si="86"/>
        <v/>
      </c>
      <c r="AR248" s="11" t="str">
        <f t="shared" si="87"/>
        <v/>
      </c>
      <c r="AS248" s="11" t="str">
        <f t="shared" si="88"/>
        <v/>
      </c>
      <c r="AT248" s="12" t="str">
        <f t="shared" si="89"/>
        <v/>
      </c>
    </row>
    <row r="249" spans="1:46" ht="18.75" x14ac:dyDescent="0.25">
      <c r="A249" s="5" t="s">
        <v>26</v>
      </c>
      <c r="B249" t="str">
        <f>'Final list of total hauls pros'!M246</f>
        <v>SWE (SD 25-32)</v>
      </c>
      <c r="C249">
        <v>245</v>
      </c>
      <c r="D249">
        <f>'Final list of total hauls pros'!A246</f>
        <v>27020</v>
      </c>
      <c r="E249" t="str">
        <f t="shared" si="92"/>
        <v>27</v>
      </c>
      <c r="F249" t="str">
        <f>'Final list of total hauls pros'!B246</f>
        <v>43G6</v>
      </c>
      <c r="G249" t="str">
        <f>'Final list of total hauls pros'!I246</f>
        <v>SWE</v>
      </c>
      <c r="H249" t="str">
        <f>'Final list of total hauls pros'!L246</f>
        <v>25-32</v>
      </c>
      <c r="I249" t="str">
        <f t="shared" si="90"/>
        <v>SWE (SD 25-32)</v>
      </c>
      <c r="K249" s="20" t="str">
        <f t="shared" si="93"/>
        <v/>
      </c>
      <c r="L249" s="23"/>
      <c r="M249" s="21" t="str">
        <f t="shared" si="94"/>
        <v/>
      </c>
      <c r="N249" s="23"/>
      <c r="O249" s="21">
        <f t="shared" si="95"/>
        <v>1</v>
      </c>
      <c r="P249" s="23"/>
      <c r="Q249" s="21" t="str">
        <f t="shared" si="96"/>
        <v/>
      </c>
      <c r="R249" s="23"/>
      <c r="S249" s="21" t="str">
        <f t="shared" si="97"/>
        <v/>
      </c>
      <c r="T249" s="23"/>
      <c r="U249" s="21" t="str">
        <f t="shared" si="98"/>
        <v/>
      </c>
      <c r="V249" s="23"/>
      <c r="W249" s="21" t="str">
        <f t="shared" si="99"/>
        <v/>
      </c>
      <c r="X249" s="23"/>
      <c r="Y249" s="21" t="str">
        <f t="shared" si="100"/>
        <v/>
      </c>
      <c r="Z249" s="23"/>
      <c r="AA249" s="21" t="str">
        <f t="shared" si="101"/>
        <v/>
      </c>
      <c r="AB249" s="23"/>
      <c r="AC249" s="21" t="str">
        <f t="shared" si="102"/>
        <v/>
      </c>
      <c r="AD249" s="23"/>
      <c r="AG249" s="25" t="str">
        <f t="shared" si="91"/>
        <v/>
      </c>
      <c r="AK249" s="10" t="str">
        <f t="shared" si="80"/>
        <v/>
      </c>
      <c r="AL249" s="11" t="str">
        <f t="shared" si="81"/>
        <v/>
      </c>
      <c r="AM249" s="11">
        <f t="shared" si="82"/>
        <v>1</v>
      </c>
      <c r="AN249" s="11" t="str">
        <f t="shared" si="83"/>
        <v/>
      </c>
      <c r="AO249" s="11" t="str">
        <f t="shared" si="84"/>
        <v/>
      </c>
      <c r="AP249" s="11" t="str">
        <f t="shared" si="85"/>
        <v/>
      </c>
      <c r="AQ249" s="11" t="str">
        <f t="shared" si="86"/>
        <v/>
      </c>
      <c r="AR249" s="11" t="str">
        <f t="shared" si="87"/>
        <v/>
      </c>
      <c r="AS249" s="11" t="str">
        <f t="shared" si="88"/>
        <v/>
      </c>
      <c r="AT249" s="12" t="str">
        <f t="shared" si="89"/>
        <v/>
      </c>
    </row>
    <row r="250" spans="1:46" ht="18.75" x14ac:dyDescent="0.25">
      <c r="A250" s="5" t="s">
        <v>26</v>
      </c>
      <c r="B250" t="str">
        <f>'Final list of total hauls pros'!M247</f>
        <v>SWE (SD 25-32)</v>
      </c>
      <c r="C250">
        <v>246</v>
      </c>
      <c r="D250">
        <f>'Final list of total hauls pros'!A247</f>
        <v>27022</v>
      </c>
      <c r="E250" t="str">
        <f t="shared" si="92"/>
        <v>27</v>
      </c>
      <c r="F250" t="str">
        <f>'Final list of total hauls pros'!B247</f>
        <v>42G6</v>
      </c>
      <c r="G250" t="str">
        <f>'Final list of total hauls pros'!I247</f>
        <v>SWE</v>
      </c>
      <c r="H250" t="str">
        <f>'Final list of total hauls pros'!L247</f>
        <v>25-32</v>
      </c>
      <c r="I250" t="str">
        <f t="shared" si="90"/>
        <v>SWE (SD 25-32)</v>
      </c>
      <c r="K250" s="20" t="str">
        <f t="shared" si="93"/>
        <v/>
      </c>
      <c r="L250" s="23"/>
      <c r="M250" s="21" t="str">
        <f t="shared" si="94"/>
        <v/>
      </c>
      <c r="N250" s="23"/>
      <c r="O250" s="21">
        <f t="shared" si="95"/>
        <v>1</v>
      </c>
      <c r="P250" s="23"/>
      <c r="Q250" s="21" t="str">
        <f t="shared" si="96"/>
        <v/>
      </c>
      <c r="R250" s="23"/>
      <c r="S250" s="21" t="str">
        <f t="shared" si="97"/>
        <v/>
      </c>
      <c r="T250" s="23"/>
      <c r="U250" s="21" t="str">
        <f t="shared" si="98"/>
        <v/>
      </c>
      <c r="V250" s="23"/>
      <c r="W250" s="21" t="str">
        <f t="shared" si="99"/>
        <v/>
      </c>
      <c r="X250" s="23"/>
      <c r="Y250" s="21" t="str">
        <f t="shared" si="100"/>
        <v/>
      </c>
      <c r="Z250" s="23"/>
      <c r="AA250" s="21" t="str">
        <f t="shared" si="101"/>
        <v/>
      </c>
      <c r="AB250" s="23"/>
      <c r="AC250" s="21" t="str">
        <f t="shared" si="102"/>
        <v/>
      </c>
      <c r="AD250" s="23"/>
      <c r="AG250" s="25" t="str">
        <f t="shared" si="91"/>
        <v/>
      </c>
      <c r="AK250" s="10" t="str">
        <f t="shared" si="80"/>
        <v/>
      </c>
      <c r="AL250" s="11" t="str">
        <f t="shared" si="81"/>
        <v/>
      </c>
      <c r="AM250" s="11">
        <f t="shared" si="82"/>
        <v>1</v>
      </c>
      <c r="AN250" s="11" t="str">
        <f t="shared" si="83"/>
        <v/>
      </c>
      <c r="AO250" s="11" t="str">
        <f t="shared" si="84"/>
        <v/>
      </c>
      <c r="AP250" s="11" t="str">
        <f t="shared" si="85"/>
        <v/>
      </c>
      <c r="AQ250" s="11" t="str">
        <f t="shared" si="86"/>
        <v/>
      </c>
      <c r="AR250" s="11" t="str">
        <f t="shared" si="87"/>
        <v/>
      </c>
      <c r="AS250" s="11" t="str">
        <f t="shared" si="88"/>
        <v/>
      </c>
      <c r="AT250" s="12" t="str">
        <f t="shared" si="89"/>
        <v/>
      </c>
    </row>
    <row r="251" spans="1:46" ht="18.75" x14ac:dyDescent="0.25">
      <c r="A251" s="5" t="s">
        <v>26</v>
      </c>
      <c r="B251" t="str">
        <f>'Final list of total hauls pros'!M248</f>
        <v>SWE (SD 25-32)</v>
      </c>
      <c r="C251">
        <v>247</v>
      </c>
      <c r="D251">
        <f>'Final list of total hauls pros'!A248</f>
        <v>27029</v>
      </c>
      <c r="E251" t="str">
        <f t="shared" si="92"/>
        <v>27</v>
      </c>
      <c r="F251" t="str">
        <f>'Final list of total hauls pros'!B248</f>
        <v>43G7</v>
      </c>
      <c r="G251" t="str">
        <f>'Final list of total hauls pros'!I248</f>
        <v>SWE</v>
      </c>
      <c r="H251" t="str">
        <f>'Final list of total hauls pros'!L248</f>
        <v>25-32</v>
      </c>
      <c r="I251" t="str">
        <f t="shared" si="90"/>
        <v>SWE (SD 25-32)</v>
      </c>
      <c r="K251" s="20" t="str">
        <f t="shared" si="93"/>
        <v/>
      </c>
      <c r="L251" s="23"/>
      <c r="M251" s="21" t="str">
        <f t="shared" si="94"/>
        <v/>
      </c>
      <c r="N251" s="23"/>
      <c r="O251" s="21">
        <f t="shared" si="95"/>
        <v>1</v>
      </c>
      <c r="P251" s="23"/>
      <c r="Q251" s="21" t="str">
        <f t="shared" si="96"/>
        <v/>
      </c>
      <c r="R251" s="23"/>
      <c r="S251" s="21" t="str">
        <f t="shared" si="97"/>
        <v/>
      </c>
      <c r="T251" s="23"/>
      <c r="U251" s="21" t="str">
        <f t="shared" si="98"/>
        <v/>
      </c>
      <c r="V251" s="23"/>
      <c r="W251" s="21" t="str">
        <f t="shared" si="99"/>
        <v/>
      </c>
      <c r="X251" s="23"/>
      <c r="Y251" s="21" t="str">
        <f t="shared" si="100"/>
        <v/>
      </c>
      <c r="Z251" s="23"/>
      <c r="AA251" s="21" t="str">
        <f t="shared" si="101"/>
        <v/>
      </c>
      <c r="AB251" s="23"/>
      <c r="AC251" s="21" t="str">
        <f t="shared" si="102"/>
        <v/>
      </c>
      <c r="AD251" s="23"/>
      <c r="AG251" s="25" t="str">
        <f t="shared" si="91"/>
        <v/>
      </c>
      <c r="AK251" s="10" t="str">
        <f t="shared" si="80"/>
        <v/>
      </c>
      <c r="AL251" s="11" t="str">
        <f t="shared" si="81"/>
        <v/>
      </c>
      <c r="AM251" s="11">
        <f t="shared" si="82"/>
        <v>1</v>
      </c>
      <c r="AN251" s="11" t="str">
        <f t="shared" si="83"/>
        <v/>
      </c>
      <c r="AO251" s="11" t="str">
        <f t="shared" si="84"/>
        <v/>
      </c>
      <c r="AP251" s="11" t="str">
        <f t="shared" si="85"/>
        <v/>
      </c>
      <c r="AQ251" s="11" t="str">
        <f t="shared" si="86"/>
        <v/>
      </c>
      <c r="AR251" s="11" t="str">
        <f t="shared" si="87"/>
        <v/>
      </c>
      <c r="AS251" s="11" t="str">
        <f t="shared" si="88"/>
        <v/>
      </c>
      <c r="AT251" s="12" t="str">
        <f t="shared" si="89"/>
        <v/>
      </c>
    </row>
    <row r="252" spans="1:46" ht="18.75" x14ac:dyDescent="0.25">
      <c r="A252" s="5" t="s">
        <v>26</v>
      </c>
      <c r="B252" t="str">
        <f>'Final list of total hauls pros'!M249</f>
        <v>LAT (SD 25-32)</v>
      </c>
      <c r="C252">
        <v>248</v>
      </c>
      <c r="D252">
        <f>'Final list of total hauls pros'!A249</f>
        <v>28002</v>
      </c>
      <c r="E252" t="str">
        <f t="shared" si="92"/>
        <v>28</v>
      </c>
      <c r="F252" t="str">
        <f>'Final list of total hauls pros'!B249</f>
        <v>42H0</v>
      </c>
      <c r="G252" t="str">
        <f>'Final list of total hauls pros'!I249</f>
        <v>LAT</v>
      </c>
      <c r="H252" t="str">
        <f>'Final list of total hauls pros'!L249</f>
        <v>25-32</v>
      </c>
      <c r="I252" t="str">
        <f t="shared" si="90"/>
        <v>LAT (SD 25-32)</v>
      </c>
      <c r="K252" s="20" t="str">
        <f t="shared" si="93"/>
        <v/>
      </c>
      <c r="L252" s="23"/>
      <c r="M252" s="21" t="str">
        <f t="shared" si="94"/>
        <v/>
      </c>
      <c r="N252" s="23"/>
      <c r="O252" s="21" t="str">
        <f t="shared" si="95"/>
        <v/>
      </c>
      <c r="P252" s="23"/>
      <c r="Q252" s="21" t="str">
        <f t="shared" si="96"/>
        <v/>
      </c>
      <c r="R252" s="23"/>
      <c r="S252" s="21" t="str">
        <f t="shared" si="97"/>
        <v/>
      </c>
      <c r="T252" s="23"/>
      <c r="U252" s="21">
        <f t="shared" si="98"/>
        <v>1</v>
      </c>
      <c r="V252" s="23"/>
      <c r="W252" s="21" t="str">
        <f t="shared" si="99"/>
        <v/>
      </c>
      <c r="X252" s="23"/>
      <c r="Y252" s="21" t="str">
        <f t="shared" si="100"/>
        <v/>
      </c>
      <c r="Z252" s="23"/>
      <c r="AA252" s="21" t="str">
        <f t="shared" si="101"/>
        <v/>
      </c>
      <c r="AB252" s="23"/>
      <c r="AC252" s="21" t="str">
        <f t="shared" si="102"/>
        <v/>
      </c>
      <c r="AD252" s="23"/>
      <c r="AG252" s="25" t="str">
        <f t="shared" si="91"/>
        <v/>
      </c>
      <c r="AK252" s="10" t="str">
        <f t="shared" si="80"/>
        <v/>
      </c>
      <c r="AL252" s="11" t="str">
        <f t="shared" si="81"/>
        <v/>
      </c>
      <c r="AM252" s="11" t="str">
        <f t="shared" si="82"/>
        <v/>
      </c>
      <c r="AN252" s="11" t="str">
        <f t="shared" si="83"/>
        <v/>
      </c>
      <c r="AO252" s="11" t="str">
        <f t="shared" si="84"/>
        <v/>
      </c>
      <c r="AP252" s="11">
        <f t="shared" si="85"/>
        <v>1</v>
      </c>
      <c r="AQ252" s="11" t="str">
        <f t="shared" si="86"/>
        <v/>
      </c>
      <c r="AR252" s="11" t="str">
        <f t="shared" si="87"/>
        <v/>
      </c>
      <c r="AS252" s="11" t="str">
        <f t="shared" si="88"/>
        <v/>
      </c>
      <c r="AT252" s="12" t="str">
        <f t="shared" si="89"/>
        <v/>
      </c>
    </row>
    <row r="253" spans="1:46" ht="18.75" x14ac:dyDescent="0.25">
      <c r="A253" s="5" t="s">
        <v>26</v>
      </c>
      <c r="B253" t="str">
        <f>'Final list of total hauls pros'!M250</f>
        <v>LAT (SD 25-32)</v>
      </c>
      <c r="C253">
        <v>249</v>
      </c>
      <c r="D253">
        <f>'Final list of total hauls pros'!A250</f>
        <v>28009</v>
      </c>
      <c r="E253" t="str">
        <f t="shared" si="92"/>
        <v>28</v>
      </c>
      <c r="F253" t="str">
        <f>'Final list of total hauls pros'!B250</f>
        <v>43H1</v>
      </c>
      <c r="G253" t="str">
        <f>'Final list of total hauls pros'!I250</f>
        <v>LAT</v>
      </c>
      <c r="H253" t="str">
        <f>'Final list of total hauls pros'!L250</f>
        <v>25-32</v>
      </c>
      <c r="I253" t="str">
        <f t="shared" si="90"/>
        <v>LAT (SD 25-32)</v>
      </c>
      <c r="K253" s="20" t="str">
        <f t="shared" si="93"/>
        <v/>
      </c>
      <c r="L253" s="23"/>
      <c r="M253" s="21" t="str">
        <f t="shared" si="94"/>
        <v/>
      </c>
      <c r="N253" s="23"/>
      <c r="O253" s="21" t="str">
        <f t="shared" si="95"/>
        <v/>
      </c>
      <c r="P253" s="23"/>
      <c r="Q253" s="21" t="str">
        <f t="shared" si="96"/>
        <v/>
      </c>
      <c r="R253" s="23"/>
      <c r="S253" s="21" t="str">
        <f t="shared" si="97"/>
        <v/>
      </c>
      <c r="T253" s="23"/>
      <c r="U253" s="21">
        <f t="shared" si="98"/>
        <v>1</v>
      </c>
      <c r="V253" s="23"/>
      <c r="W253" s="21" t="str">
        <f t="shared" si="99"/>
        <v/>
      </c>
      <c r="X253" s="23"/>
      <c r="Y253" s="21" t="str">
        <f t="shared" si="100"/>
        <v/>
      </c>
      <c r="Z253" s="23"/>
      <c r="AA253" s="21" t="str">
        <f t="shared" si="101"/>
        <v/>
      </c>
      <c r="AB253" s="23"/>
      <c r="AC253" s="21" t="str">
        <f t="shared" si="102"/>
        <v/>
      </c>
      <c r="AD253" s="23"/>
      <c r="AG253" s="25" t="str">
        <f t="shared" si="91"/>
        <v/>
      </c>
      <c r="AK253" s="10" t="str">
        <f t="shared" si="80"/>
        <v/>
      </c>
      <c r="AL253" s="11" t="str">
        <f t="shared" si="81"/>
        <v/>
      </c>
      <c r="AM253" s="11" t="str">
        <f t="shared" si="82"/>
        <v/>
      </c>
      <c r="AN253" s="11" t="str">
        <f t="shared" si="83"/>
        <v/>
      </c>
      <c r="AO253" s="11" t="str">
        <f t="shared" si="84"/>
        <v/>
      </c>
      <c r="AP253" s="11">
        <f t="shared" si="85"/>
        <v>1</v>
      </c>
      <c r="AQ253" s="11" t="str">
        <f t="shared" si="86"/>
        <v/>
      </c>
      <c r="AR253" s="11" t="str">
        <f t="shared" si="87"/>
        <v/>
      </c>
      <c r="AS253" s="11" t="str">
        <f t="shared" si="88"/>
        <v/>
      </c>
      <c r="AT253" s="12" t="str">
        <f t="shared" si="89"/>
        <v/>
      </c>
    </row>
    <row r="254" spans="1:46" ht="18.75" x14ac:dyDescent="0.25">
      <c r="A254" s="5" t="s">
        <v>26</v>
      </c>
      <c r="B254" t="str">
        <f>'Final list of total hauls pros'!M251</f>
        <v>SWE (SD 25-32)</v>
      </c>
      <c r="C254">
        <v>250</v>
      </c>
      <c r="D254">
        <f>'Final list of total hauls pros'!A251</f>
        <v>28016</v>
      </c>
      <c r="E254" t="str">
        <f t="shared" si="92"/>
        <v>28</v>
      </c>
      <c r="F254" t="str">
        <f>'Final list of total hauls pros'!B251</f>
        <v>43G8</v>
      </c>
      <c r="G254" t="str">
        <f>'Final list of total hauls pros'!I251</f>
        <v>SWE</v>
      </c>
      <c r="H254" t="str">
        <f>'Final list of total hauls pros'!L251</f>
        <v>25-32</v>
      </c>
      <c r="I254" t="str">
        <f t="shared" si="90"/>
        <v>SWE (SD 25-32)</v>
      </c>
      <c r="K254" s="20" t="str">
        <f t="shared" si="93"/>
        <v/>
      </c>
      <c r="L254" s="23"/>
      <c r="M254" s="21" t="str">
        <f t="shared" si="94"/>
        <v/>
      </c>
      <c r="N254" s="23"/>
      <c r="O254" s="21">
        <f t="shared" si="95"/>
        <v>1</v>
      </c>
      <c r="P254" s="23"/>
      <c r="Q254" s="21" t="str">
        <f t="shared" si="96"/>
        <v/>
      </c>
      <c r="R254" s="23"/>
      <c r="S254" s="21" t="str">
        <f t="shared" si="97"/>
        <v/>
      </c>
      <c r="T254" s="23"/>
      <c r="U254" s="21" t="str">
        <f t="shared" si="98"/>
        <v/>
      </c>
      <c r="V254" s="23"/>
      <c r="W254" s="21" t="str">
        <f t="shared" si="99"/>
        <v/>
      </c>
      <c r="X254" s="23"/>
      <c r="Y254" s="21" t="str">
        <f t="shared" si="100"/>
        <v/>
      </c>
      <c r="Z254" s="23"/>
      <c r="AA254" s="21" t="str">
        <f t="shared" si="101"/>
        <v/>
      </c>
      <c r="AB254" s="23"/>
      <c r="AC254" s="21" t="str">
        <f t="shared" si="102"/>
        <v/>
      </c>
      <c r="AD254" s="23"/>
      <c r="AG254" s="25" t="str">
        <f t="shared" si="91"/>
        <v/>
      </c>
      <c r="AK254" s="10" t="str">
        <f t="shared" si="80"/>
        <v/>
      </c>
      <c r="AL254" s="11" t="str">
        <f t="shared" si="81"/>
        <v/>
      </c>
      <c r="AM254" s="11">
        <f t="shared" si="82"/>
        <v>1</v>
      </c>
      <c r="AN254" s="11" t="str">
        <f t="shared" si="83"/>
        <v/>
      </c>
      <c r="AO254" s="11" t="str">
        <f t="shared" si="84"/>
        <v/>
      </c>
      <c r="AP254" s="11" t="str">
        <f t="shared" si="85"/>
        <v/>
      </c>
      <c r="AQ254" s="11" t="str">
        <f t="shared" si="86"/>
        <v/>
      </c>
      <c r="AR254" s="11" t="str">
        <f t="shared" si="87"/>
        <v/>
      </c>
      <c r="AS254" s="11" t="str">
        <f t="shared" si="88"/>
        <v/>
      </c>
      <c r="AT254" s="12" t="str">
        <f t="shared" si="89"/>
        <v/>
      </c>
    </row>
    <row r="255" spans="1:46" ht="18.75" x14ac:dyDescent="0.25">
      <c r="A255" s="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28017</v>
      </c>
      <c r="E255" t="str">
        <f t="shared" si="92"/>
        <v>28</v>
      </c>
      <c r="F255" t="str">
        <f>'Final list of total hauls pros'!B252</f>
        <v>43H0</v>
      </c>
      <c r="G255" t="str">
        <f>'Final list of total hauls pros'!I252</f>
        <v>LAT</v>
      </c>
      <c r="H255" t="str">
        <f>'Final list of total hauls pros'!L252</f>
        <v>25-32</v>
      </c>
      <c r="I255" t="str">
        <f t="shared" si="90"/>
        <v>LAT (SD 25-32)</v>
      </c>
      <c r="K255" s="20" t="str">
        <f t="shared" si="93"/>
        <v/>
      </c>
      <c r="L255" s="23"/>
      <c r="M255" s="21" t="str">
        <f t="shared" si="94"/>
        <v/>
      </c>
      <c r="N255" s="23"/>
      <c r="O255" s="21" t="str">
        <f t="shared" si="95"/>
        <v/>
      </c>
      <c r="P255" s="23"/>
      <c r="Q255" s="21" t="str">
        <f t="shared" si="96"/>
        <v/>
      </c>
      <c r="R255" s="23"/>
      <c r="S255" s="21" t="str">
        <f t="shared" si="97"/>
        <v/>
      </c>
      <c r="T255" s="23"/>
      <c r="U255" s="21">
        <f t="shared" si="98"/>
        <v>1</v>
      </c>
      <c r="V255" s="23"/>
      <c r="W255" s="21" t="str">
        <f t="shared" si="99"/>
        <v/>
      </c>
      <c r="X255" s="23"/>
      <c r="Y255" s="21" t="str">
        <f t="shared" si="100"/>
        <v/>
      </c>
      <c r="Z255" s="23"/>
      <c r="AA255" s="21" t="str">
        <f t="shared" si="101"/>
        <v/>
      </c>
      <c r="AB255" s="23"/>
      <c r="AC255" s="21" t="str">
        <f t="shared" si="102"/>
        <v/>
      </c>
      <c r="AD255" s="23"/>
      <c r="AG255" s="25" t="str">
        <f t="shared" si="91"/>
        <v/>
      </c>
      <c r="AK255" s="10" t="str">
        <f t="shared" si="80"/>
        <v/>
      </c>
      <c r="AL255" s="11" t="str">
        <f t="shared" si="81"/>
        <v/>
      </c>
      <c r="AM255" s="11" t="str">
        <f t="shared" si="82"/>
        <v/>
      </c>
      <c r="AN255" s="11" t="str">
        <f t="shared" si="83"/>
        <v/>
      </c>
      <c r="AO255" s="11" t="str">
        <f t="shared" si="84"/>
        <v/>
      </c>
      <c r="AP255" s="11">
        <f t="shared" si="85"/>
        <v>1</v>
      </c>
      <c r="AQ255" s="11" t="str">
        <f t="shared" si="86"/>
        <v/>
      </c>
      <c r="AR255" s="11" t="str">
        <f t="shared" si="87"/>
        <v/>
      </c>
      <c r="AS255" s="11" t="str">
        <f t="shared" si="88"/>
        <v/>
      </c>
      <c r="AT255" s="12" t="str">
        <f t="shared" si="89"/>
        <v/>
      </c>
    </row>
    <row r="256" spans="1:46" ht="18.75" x14ac:dyDescent="0.25">
      <c r="A256" s="5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28023</v>
      </c>
      <c r="E256" t="str">
        <f t="shared" si="92"/>
        <v>28</v>
      </c>
      <c r="F256" t="str">
        <f>'Final list of total hauls pros'!B253</f>
        <v>43H1</v>
      </c>
      <c r="G256" t="str">
        <f>'Final list of total hauls pros'!I253</f>
        <v>LAT</v>
      </c>
      <c r="H256" t="str">
        <f>'Final list of total hauls pros'!L253</f>
        <v>25-32</v>
      </c>
      <c r="I256" t="str">
        <f t="shared" si="90"/>
        <v>LAT (SD 25-32)</v>
      </c>
      <c r="K256" s="20" t="str">
        <f t="shared" si="93"/>
        <v/>
      </c>
      <c r="L256" s="23"/>
      <c r="M256" s="21" t="str">
        <f t="shared" si="94"/>
        <v/>
      </c>
      <c r="N256" s="23"/>
      <c r="O256" s="21" t="str">
        <f t="shared" si="95"/>
        <v/>
      </c>
      <c r="P256" s="23"/>
      <c r="Q256" s="21" t="str">
        <f t="shared" si="96"/>
        <v/>
      </c>
      <c r="R256" s="23"/>
      <c r="S256" s="21" t="str">
        <f t="shared" si="97"/>
        <v/>
      </c>
      <c r="T256" s="23"/>
      <c r="U256" s="21">
        <f t="shared" si="98"/>
        <v>1</v>
      </c>
      <c r="V256" s="23"/>
      <c r="W256" s="21" t="str">
        <f t="shared" si="99"/>
        <v/>
      </c>
      <c r="X256" s="23"/>
      <c r="Y256" s="21" t="str">
        <f t="shared" si="100"/>
        <v/>
      </c>
      <c r="Z256" s="23"/>
      <c r="AA256" s="21" t="str">
        <f t="shared" si="101"/>
        <v/>
      </c>
      <c r="AB256" s="23"/>
      <c r="AC256" s="21" t="str">
        <f t="shared" si="102"/>
        <v/>
      </c>
      <c r="AD256" s="23"/>
      <c r="AG256" s="25" t="str">
        <f t="shared" si="91"/>
        <v/>
      </c>
      <c r="AK256" s="10" t="str">
        <f t="shared" si="80"/>
        <v/>
      </c>
      <c r="AL256" s="11" t="str">
        <f t="shared" si="81"/>
        <v/>
      </c>
      <c r="AM256" s="11" t="str">
        <f t="shared" si="82"/>
        <v/>
      </c>
      <c r="AN256" s="11" t="str">
        <f t="shared" si="83"/>
        <v/>
      </c>
      <c r="AO256" s="11" t="str">
        <f t="shared" si="84"/>
        <v/>
      </c>
      <c r="AP256" s="11">
        <f t="shared" si="85"/>
        <v>1</v>
      </c>
      <c r="AQ256" s="11" t="str">
        <f t="shared" si="86"/>
        <v/>
      </c>
      <c r="AR256" s="11" t="str">
        <f t="shared" si="87"/>
        <v/>
      </c>
      <c r="AS256" s="11" t="str">
        <f t="shared" si="88"/>
        <v/>
      </c>
      <c r="AT256" s="12" t="str">
        <f t="shared" si="89"/>
        <v/>
      </c>
    </row>
    <row r="257" spans="1:46" ht="18.75" x14ac:dyDescent="0.25">
      <c r="A257" s="5" t="s">
        <v>26</v>
      </c>
      <c r="B257" t="str">
        <f>'Final list of total hauls pros'!M254</f>
        <v>LAT (SD 25-32)</v>
      </c>
      <c r="C257">
        <v>253</v>
      </c>
      <c r="D257">
        <f>'Final list of total hauls pros'!A254</f>
        <v>28039</v>
      </c>
      <c r="E257" t="str">
        <f t="shared" si="92"/>
        <v>28</v>
      </c>
      <c r="F257" t="str">
        <f>'Final list of total hauls pros'!B254</f>
        <v>43H0</v>
      </c>
      <c r="G257" t="str">
        <f>'Final list of total hauls pros'!I254</f>
        <v>LAT</v>
      </c>
      <c r="H257" t="str">
        <f>'Final list of total hauls pros'!L254</f>
        <v>25-32</v>
      </c>
      <c r="I257" t="str">
        <f t="shared" si="90"/>
        <v>LAT (SD 25-32)</v>
      </c>
      <c r="K257" s="20" t="str">
        <f t="shared" si="93"/>
        <v/>
      </c>
      <c r="L257" s="23"/>
      <c r="M257" s="21" t="str">
        <f t="shared" si="94"/>
        <v/>
      </c>
      <c r="N257" s="23"/>
      <c r="O257" s="21" t="str">
        <f t="shared" si="95"/>
        <v/>
      </c>
      <c r="P257" s="23"/>
      <c r="Q257" s="21" t="str">
        <f t="shared" si="96"/>
        <v/>
      </c>
      <c r="R257" s="23"/>
      <c r="S257" s="21" t="str">
        <f t="shared" si="97"/>
        <v/>
      </c>
      <c r="T257" s="23"/>
      <c r="U257" s="21">
        <f t="shared" si="98"/>
        <v>1</v>
      </c>
      <c r="V257" s="23"/>
      <c r="W257" s="21" t="str">
        <f t="shared" si="99"/>
        <v/>
      </c>
      <c r="X257" s="23"/>
      <c r="Y257" s="21" t="str">
        <f t="shared" si="100"/>
        <v/>
      </c>
      <c r="Z257" s="23"/>
      <c r="AA257" s="21" t="str">
        <f t="shared" si="101"/>
        <v/>
      </c>
      <c r="AB257" s="23"/>
      <c r="AC257" s="21" t="str">
        <f t="shared" si="102"/>
        <v/>
      </c>
      <c r="AD257" s="23"/>
      <c r="AG257" s="25" t="str">
        <f t="shared" si="91"/>
        <v/>
      </c>
      <c r="AK257" s="10" t="str">
        <f t="shared" si="80"/>
        <v/>
      </c>
      <c r="AL257" s="11" t="str">
        <f t="shared" si="81"/>
        <v/>
      </c>
      <c r="AM257" s="11" t="str">
        <f t="shared" si="82"/>
        <v/>
      </c>
      <c r="AN257" s="11" t="str">
        <f t="shared" si="83"/>
        <v/>
      </c>
      <c r="AO257" s="11" t="str">
        <f t="shared" si="84"/>
        <v/>
      </c>
      <c r="AP257" s="11">
        <f t="shared" si="85"/>
        <v>1</v>
      </c>
      <c r="AQ257" s="11" t="str">
        <f t="shared" si="86"/>
        <v/>
      </c>
      <c r="AR257" s="11" t="str">
        <f t="shared" si="87"/>
        <v/>
      </c>
      <c r="AS257" s="11" t="str">
        <f t="shared" si="88"/>
        <v/>
      </c>
      <c r="AT257" s="12" t="str">
        <f t="shared" si="89"/>
        <v/>
      </c>
    </row>
    <row r="258" spans="1:46" ht="18.75" x14ac:dyDescent="0.25">
      <c r="A258" s="5" t="s">
        <v>26</v>
      </c>
      <c r="B258" t="str">
        <f>'Final list of total hauls pros'!M255</f>
        <v>LAT (SD 25-32)</v>
      </c>
      <c r="C258">
        <v>254</v>
      </c>
      <c r="D258">
        <f>'Final list of total hauls pros'!A255</f>
        <v>28049</v>
      </c>
      <c r="E258" t="str">
        <f t="shared" si="92"/>
        <v>28</v>
      </c>
      <c r="F258" t="str">
        <f>'Final list of total hauls pros'!B255</f>
        <v>43H1</v>
      </c>
      <c r="G258" t="str">
        <f>'Final list of total hauls pros'!I255</f>
        <v>LAT</v>
      </c>
      <c r="H258" t="str">
        <f>'Final list of total hauls pros'!L255</f>
        <v>25-32</v>
      </c>
      <c r="I258" t="str">
        <f t="shared" si="90"/>
        <v>LAT (SD 25-32)</v>
      </c>
      <c r="K258" s="20" t="str">
        <f t="shared" si="93"/>
        <v/>
      </c>
      <c r="L258" s="23"/>
      <c r="M258" s="21" t="str">
        <f t="shared" si="94"/>
        <v/>
      </c>
      <c r="N258" s="23"/>
      <c r="O258" s="21" t="str">
        <f t="shared" si="95"/>
        <v/>
      </c>
      <c r="P258" s="23"/>
      <c r="Q258" s="21" t="str">
        <f t="shared" si="96"/>
        <v/>
      </c>
      <c r="R258" s="23"/>
      <c r="S258" s="21" t="str">
        <f t="shared" si="97"/>
        <v/>
      </c>
      <c r="T258" s="23"/>
      <c r="U258" s="21">
        <f t="shared" si="98"/>
        <v>1</v>
      </c>
      <c r="V258" s="23"/>
      <c r="W258" s="21" t="str">
        <f t="shared" si="99"/>
        <v/>
      </c>
      <c r="X258" s="23"/>
      <c r="Y258" s="21" t="str">
        <f t="shared" si="100"/>
        <v/>
      </c>
      <c r="Z258" s="23"/>
      <c r="AA258" s="21" t="str">
        <f t="shared" si="101"/>
        <v/>
      </c>
      <c r="AB258" s="23"/>
      <c r="AC258" s="21" t="str">
        <f t="shared" si="102"/>
        <v/>
      </c>
      <c r="AD258" s="23"/>
      <c r="AG258" s="25" t="str">
        <f t="shared" si="91"/>
        <v/>
      </c>
      <c r="AK258" s="10" t="str">
        <f t="shared" si="80"/>
        <v/>
      </c>
      <c r="AL258" s="11" t="str">
        <f t="shared" si="81"/>
        <v/>
      </c>
      <c r="AM258" s="11" t="str">
        <f t="shared" si="82"/>
        <v/>
      </c>
      <c r="AN258" s="11" t="str">
        <f t="shared" si="83"/>
        <v/>
      </c>
      <c r="AO258" s="11" t="str">
        <f t="shared" si="84"/>
        <v/>
      </c>
      <c r="AP258" s="11">
        <f t="shared" si="85"/>
        <v>1</v>
      </c>
      <c r="AQ258" s="11" t="str">
        <f t="shared" si="86"/>
        <v/>
      </c>
      <c r="AR258" s="11" t="str">
        <f t="shared" si="87"/>
        <v/>
      </c>
      <c r="AS258" s="11" t="str">
        <f t="shared" si="88"/>
        <v/>
      </c>
      <c r="AT258" s="12" t="str">
        <f t="shared" si="89"/>
        <v/>
      </c>
    </row>
    <row r="259" spans="1:46" ht="18.75" x14ac:dyDescent="0.25">
      <c r="A259" s="5" t="s">
        <v>26</v>
      </c>
      <c r="B259" t="str">
        <f>'Final list of total hauls pros'!M256</f>
        <v>SWE (SD 25-32)</v>
      </c>
      <c r="C259">
        <v>255</v>
      </c>
      <c r="D259">
        <f>'Final list of total hauls pros'!A256</f>
        <v>28051</v>
      </c>
      <c r="E259" t="str">
        <f t="shared" si="92"/>
        <v>28</v>
      </c>
      <c r="F259" t="str">
        <f>'Final list of total hauls pros'!B256</f>
        <v>43G8</v>
      </c>
      <c r="G259" t="str">
        <f>'Final list of total hauls pros'!I256</f>
        <v>SWE</v>
      </c>
      <c r="H259" t="str">
        <f>'Final list of total hauls pros'!L256</f>
        <v>25-32</v>
      </c>
      <c r="I259" t="str">
        <f t="shared" si="90"/>
        <v>SWE (SD 25-32)</v>
      </c>
      <c r="K259" s="20" t="str">
        <f t="shared" si="93"/>
        <v/>
      </c>
      <c r="L259" s="23"/>
      <c r="M259" s="21" t="str">
        <f t="shared" si="94"/>
        <v/>
      </c>
      <c r="N259" s="23"/>
      <c r="O259" s="21">
        <f t="shared" si="95"/>
        <v>1</v>
      </c>
      <c r="P259" s="23"/>
      <c r="Q259" s="21" t="str">
        <f t="shared" si="96"/>
        <v/>
      </c>
      <c r="R259" s="23"/>
      <c r="S259" s="21" t="str">
        <f t="shared" si="97"/>
        <v/>
      </c>
      <c r="T259" s="23"/>
      <c r="U259" s="21" t="str">
        <f t="shared" si="98"/>
        <v/>
      </c>
      <c r="V259" s="23"/>
      <c r="W259" s="21" t="str">
        <f t="shared" si="99"/>
        <v/>
      </c>
      <c r="X259" s="23"/>
      <c r="Y259" s="21" t="str">
        <f t="shared" si="100"/>
        <v/>
      </c>
      <c r="Z259" s="23"/>
      <c r="AA259" s="21" t="str">
        <f t="shared" si="101"/>
        <v/>
      </c>
      <c r="AB259" s="23"/>
      <c r="AC259" s="21" t="str">
        <f t="shared" si="102"/>
        <v/>
      </c>
      <c r="AD259" s="23"/>
      <c r="AG259" s="25" t="str">
        <f t="shared" si="91"/>
        <v/>
      </c>
      <c r="AK259" s="10" t="str">
        <f t="shared" si="80"/>
        <v/>
      </c>
      <c r="AL259" s="11" t="str">
        <f t="shared" si="81"/>
        <v/>
      </c>
      <c r="AM259" s="11">
        <f t="shared" si="82"/>
        <v>1</v>
      </c>
      <c r="AN259" s="11" t="str">
        <f t="shared" si="83"/>
        <v/>
      </c>
      <c r="AO259" s="11" t="str">
        <f t="shared" si="84"/>
        <v/>
      </c>
      <c r="AP259" s="11" t="str">
        <f t="shared" si="85"/>
        <v/>
      </c>
      <c r="AQ259" s="11" t="str">
        <f t="shared" si="86"/>
        <v/>
      </c>
      <c r="AR259" s="11" t="str">
        <f t="shared" si="87"/>
        <v/>
      </c>
      <c r="AS259" s="11" t="str">
        <f t="shared" si="88"/>
        <v/>
      </c>
      <c r="AT259" s="12" t="str">
        <f t="shared" si="89"/>
        <v/>
      </c>
    </row>
    <row r="260" spans="1:46" ht="18.75" x14ac:dyDescent="0.25">
      <c r="A260" s="5" t="s">
        <v>26</v>
      </c>
      <c r="B260" t="str">
        <f>'Final list of total hauls pros'!M257</f>
        <v>SWE (SD 25-32)</v>
      </c>
      <c r="C260">
        <v>256</v>
      </c>
      <c r="D260">
        <f>'Final list of total hauls pros'!A257</f>
        <v>28053</v>
      </c>
      <c r="E260" t="str">
        <f t="shared" si="92"/>
        <v>28</v>
      </c>
      <c r="F260" t="str">
        <f>'Final list of total hauls pros'!B257</f>
        <v>44G9</v>
      </c>
      <c r="G260" t="str">
        <f>'Final list of total hauls pros'!I257</f>
        <v>SWE</v>
      </c>
      <c r="H260" t="str">
        <f>'Final list of total hauls pros'!L257</f>
        <v>25-32</v>
      </c>
      <c r="I260" t="str">
        <f t="shared" si="90"/>
        <v>SWE (SD 25-32)</v>
      </c>
      <c r="K260" s="20" t="str">
        <f t="shared" si="93"/>
        <v/>
      </c>
      <c r="L260" s="23"/>
      <c r="M260" s="21" t="str">
        <f t="shared" si="94"/>
        <v/>
      </c>
      <c r="N260" s="23"/>
      <c r="O260" s="21">
        <f t="shared" si="95"/>
        <v>1</v>
      </c>
      <c r="P260" s="23"/>
      <c r="Q260" s="21" t="str">
        <f t="shared" si="96"/>
        <v/>
      </c>
      <c r="R260" s="23"/>
      <c r="S260" s="21" t="str">
        <f t="shared" si="97"/>
        <v/>
      </c>
      <c r="T260" s="23"/>
      <c r="U260" s="21" t="str">
        <f t="shared" si="98"/>
        <v/>
      </c>
      <c r="V260" s="23"/>
      <c r="W260" s="21" t="str">
        <f t="shared" si="99"/>
        <v/>
      </c>
      <c r="X260" s="23"/>
      <c r="Y260" s="21" t="str">
        <f t="shared" si="100"/>
        <v/>
      </c>
      <c r="Z260" s="23"/>
      <c r="AA260" s="21" t="str">
        <f t="shared" si="101"/>
        <v/>
      </c>
      <c r="AB260" s="23"/>
      <c r="AC260" s="21" t="str">
        <f t="shared" si="102"/>
        <v/>
      </c>
      <c r="AD260" s="23"/>
      <c r="AG260" s="25" t="str">
        <f t="shared" si="91"/>
        <v/>
      </c>
      <c r="AK260" s="10" t="str">
        <f t="shared" si="80"/>
        <v/>
      </c>
      <c r="AL260" s="11" t="str">
        <f t="shared" si="81"/>
        <v/>
      </c>
      <c r="AM260" s="11">
        <f t="shared" si="82"/>
        <v>1</v>
      </c>
      <c r="AN260" s="11" t="str">
        <f t="shared" si="83"/>
        <v/>
      </c>
      <c r="AO260" s="11" t="str">
        <f t="shared" si="84"/>
        <v/>
      </c>
      <c r="AP260" s="11" t="str">
        <f t="shared" si="85"/>
        <v/>
      </c>
      <c r="AQ260" s="11" t="str">
        <f t="shared" si="86"/>
        <v/>
      </c>
      <c r="AR260" s="11" t="str">
        <f t="shared" si="87"/>
        <v/>
      </c>
      <c r="AS260" s="11" t="str">
        <f t="shared" si="88"/>
        <v/>
      </c>
      <c r="AT260" s="12" t="str">
        <f t="shared" si="89"/>
        <v/>
      </c>
    </row>
    <row r="261" spans="1:46" ht="18.75" x14ac:dyDescent="0.25">
      <c r="A261" s="5" t="s">
        <v>26</v>
      </c>
      <c r="B261" t="str">
        <f>'Final list of total hauls pros'!M258</f>
        <v>LAT (SD 25-32)</v>
      </c>
      <c r="C261">
        <v>257</v>
      </c>
      <c r="D261">
        <f>'Final list of total hauls pros'!A258</f>
        <v>28063</v>
      </c>
      <c r="E261" t="str">
        <f t="shared" si="92"/>
        <v>28</v>
      </c>
      <c r="F261" t="str">
        <f>'Final list of total hauls pros'!B258</f>
        <v>42H0</v>
      </c>
      <c r="G261" t="str">
        <f>'Final list of total hauls pros'!I258</f>
        <v>LAT</v>
      </c>
      <c r="H261" t="str">
        <f>'Final list of total hauls pros'!L258</f>
        <v>25-32</v>
      </c>
      <c r="I261" t="str">
        <f t="shared" si="90"/>
        <v>LAT (SD 25-32)</v>
      </c>
      <c r="K261" s="20" t="str">
        <f t="shared" si="93"/>
        <v/>
      </c>
      <c r="L261" s="23"/>
      <c r="M261" s="21" t="str">
        <f t="shared" si="94"/>
        <v/>
      </c>
      <c r="N261" s="23"/>
      <c r="O261" s="21" t="str">
        <f t="shared" si="95"/>
        <v/>
      </c>
      <c r="P261" s="23"/>
      <c r="Q261" s="21" t="str">
        <f t="shared" si="96"/>
        <v/>
      </c>
      <c r="R261" s="23"/>
      <c r="S261" s="21" t="str">
        <f t="shared" si="97"/>
        <v/>
      </c>
      <c r="T261" s="23"/>
      <c r="U261" s="21">
        <f t="shared" si="98"/>
        <v>1</v>
      </c>
      <c r="V261" s="23"/>
      <c r="W261" s="21" t="str">
        <f t="shared" si="99"/>
        <v/>
      </c>
      <c r="X261" s="23"/>
      <c r="Y261" s="21" t="str">
        <f t="shared" si="100"/>
        <v/>
      </c>
      <c r="Z261" s="23"/>
      <c r="AA261" s="21" t="str">
        <f t="shared" si="101"/>
        <v/>
      </c>
      <c r="AB261" s="23"/>
      <c r="AC261" s="21" t="str">
        <f t="shared" si="102"/>
        <v/>
      </c>
      <c r="AD261" s="23"/>
      <c r="AG261" s="25" t="str">
        <f t="shared" si="91"/>
        <v/>
      </c>
      <c r="AK261" s="10" t="str">
        <f t="shared" ref="AK261:AK277" si="103">IF(B261="DEN (SD 21-24)",1,"")</f>
        <v/>
      </c>
      <c r="AL261" s="11" t="str">
        <f t="shared" ref="AL261:AL277" si="104">IF(B261="DEN (SD 25-32)",1,"")</f>
        <v/>
      </c>
      <c r="AM261" s="11" t="str">
        <f t="shared" ref="AM261:AM277" si="105">IF(B261="SWE (SD 25-32)",1,"")</f>
        <v/>
      </c>
      <c r="AN261" s="11" t="str">
        <f t="shared" ref="AN261:AN277" si="106">IF(B261="POL (SD 21-24)",1,"")</f>
        <v/>
      </c>
      <c r="AO261" s="11" t="str">
        <f t="shared" ref="AO261:AO277" si="107">IF(B261="POL (SD 25-32)",1,"")</f>
        <v/>
      </c>
      <c r="AP261" s="11">
        <f t="shared" ref="AP261:AP277" si="108">IF(B261="LAT (SD 25-32)",1,"")</f>
        <v>1</v>
      </c>
      <c r="AQ261" s="11" t="str">
        <f t="shared" ref="AQ261:AQ277" si="109">IF(B261="EST (SD 25-32)",1,"")</f>
        <v/>
      </c>
      <c r="AR261" s="11" t="str">
        <f t="shared" ref="AR261:AR277" si="110">IF(B261="GFR (SD 21-24)",1,"")</f>
        <v/>
      </c>
      <c r="AS261" s="11" t="str">
        <f t="shared" ref="AS261:AS277" si="111">IF(B261="LTU (SD 25-32)",1,"")</f>
        <v/>
      </c>
      <c r="AT261" s="12" t="str">
        <f t="shared" ref="AT261:AT277" si="112">IF(B261="RUS (SD 25-32)",1,"")</f>
        <v/>
      </c>
    </row>
    <row r="262" spans="1:46" ht="18.75" x14ac:dyDescent="0.25">
      <c r="A262" s="5" t="s">
        <v>26</v>
      </c>
      <c r="B262" t="str">
        <f>'Final list of total hauls pros'!M259</f>
        <v>SWE (SD 25-32)</v>
      </c>
      <c r="C262">
        <v>258</v>
      </c>
      <c r="D262">
        <f>'Final list of total hauls pros'!A259</f>
        <v>28067</v>
      </c>
      <c r="E262" t="str">
        <f t="shared" si="92"/>
        <v>28</v>
      </c>
      <c r="F262" t="str">
        <f>'Final list of total hauls pros'!B259</f>
        <v>43G8</v>
      </c>
      <c r="G262" t="str">
        <f>'Final list of total hauls pros'!I259</f>
        <v>SWE</v>
      </c>
      <c r="H262" t="str">
        <f>'Final list of total hauls pros'!L259</f>
        <v>25-32</v>
      </c>
      <c r="I262" t="str">
        <f t="shared" ref="I262:I277" si="113">IF(L262="+",$K$2,IF(N262="+",$M$2,IF(P262="+",$O$2,IF(R262="+",$Q$2,IF(T262="+",$S$2,IF(V262="+",$U$2,IF(X262="+",$W$2,IF(Z262="+",$Y$2,IF(AB262="+",$AA$2,IF(AD262="+",$AC$2,B262))))))))))</f>
        <v>SWE (SD 25-32)</v>
      </c>
      <c r="K262" s="20" t="str">
        <f t="shared" si="93"/>
        <v/>
      </c>
      <c r="L262" s="23"/>
      <c r="M262" s="21" t="str">
        <f t="shared" si="94"/>
        <v/>
      </c>
      <c r="N262" s="23"/>
      <c r="O262" s="21">
        <f t="shared" si="95"/>
        <v>1</v>
      </c>
      <c r="P262" s="23"/>
      <c r="Q262" s="21" t="str">
        <f t="shared" si="96"/>
        <v/>
      </c>
      <c r="R262" s="23"/>
      <c r="S262" s="21" t="str">
        <f t="shared" si="97"/>
        <v/>
      </c>
      <c r="T262" s="23"/>
      <c r="U262" s="21" t="str">
        <f t="shared" si="98"/>
        <v/>
      </c>
      <c r="V262" s="23"/>
      <c r="W262" s="21" t="str">
        <f t="shared" si="99"/>
        <v/>
      </c>
      <c r="X262" s="23"/>
      <c r="Y262" s="21" t="str">
        <f t="shared" si="100"/>
        <v/>
      </c>
      <c r="Z262" s="23"/>
      <c r="AA262" s="21" t="str">
        <f t="shared" si="101"/>
        <v/>
      </c>
      <c r="AB262" s="23"/>
      <c r="AC262" s="21" t="str">
        <f t="shared" si="102"/>
        <v/>
      </c>
      <c r="AD262" s="23"/>
      <c r="AG262" s="25" t="str">
        <f t="shared" ref="AG262:AG277" si="114">IF(SUM(K262:AC262)&lt;&gt;1,"FEJL","")</f>
        <v/>
      </c>
      <c r="AK262" s="10" t="str">
        <f t="shared" si="103"/>
        <v/>
      </c>
      <c r="AL262" s="11" t="str">
        <f t="shared" si="104"/>
        <v/>
      </c>
      <c r="AM262" s="11">
        <f t="shared" si="105"/>
        <v>1</v>
      </c>
      <c r="AN262" s="11" t="str">
        <f t="shared" si="106"/>
        <v/>
      </c>
      <c r="AO262" s="11" t="str">
        <f t="shared" si="107"/>
        <v/>
      </c>
      <c r="AP262" s="11" t="str">
        <f t="shared" si="108"/>
        <v/>
      </c>
      <c r="AQ262" s="11" t="str">
        <f t="shared" si="109"/>
        <v/>
      </c>
      <c r="AR262" s="11" t="str">
        <f t="shared" si="110"/>
        <v/>
      </c>
      <c r="AS262" s="11" t="str">
        <f t="shared" si="111"/>
        <v/>
      </c>
      <c r="AT262" s="12" t="str">
        <f t="shared" si="112"/>
        <v/>
      </c>
    </row>
    <row r="263" spans="1:46" ht="18.75" x14ac:dyDescent="0.25">
      <c r="A263" s="5" t="s">
        <v>26</v>
      </c>
      <c r="B263" t="str">
        <f>'Final list of total hauls pros'!M260</f>
        <v>SWE (SD 25-32)</v>
      </c>
      <c r="C263">
        <v>259</v>
      </c>
      <c r="D263">
        <f>'Final list of total hauls pros'!A260</f>
        <v>28071</v>
      </c>
      <c r="E263" t="str">
        <f t="shared" si="92"/>
        <v>28</v>
      </c>
      <c r="F263" t="str">
        <f>'Final list of total hauls pros'!B260</f>
        <v>43G8</v>
      </c>
      <c r="G263" t="str">
        <f>'Final list of total hauls pros'!I260</f>
        <v>SWE</v>
      </c>
      <c r="H263" t="str">
        <f>'Final list of total hauls pros'!L260</f>
        <v>25-32</v>
      </c>
      <c r="I263" t="str">
        <f t="shared" si="113"/>
        <v>SWE (SD 25-32)</v>
      </c>
      <c r="K263" s="20" t="str">
        <f t="shared" si="93"/>
        <v/>
      </c>
      <c r="L263" s="23"/>
      <c r="M263" s="21" t="str">
        <f t="shared" si="94"/>
        <v/>
      </c>
      <c r="N263" s="23"/>
      <c r="O263" s="21">
        <f t="shared" si="95"/>
        <v>1</v>
      </c>
      <c r="P263" s="23"/>
      <c r="Q263" s="21" t="str">
        <f t="shared" si="96"/>
        <v/>
      </c>
      <c r="R263" s="23"/>
      <c r="S263" s="21" t="str">
        <f t="shared" si="97"/>
        <v/>
      </c>
      <c r="T263" s="23"/>
      <c r="U263" s="21" t="str">
        <f t="shared" si="98"/>
        <v/>
      </c>
      <c r="V263" s="23"/>
      <c r="W263" s="21" t="str">
        <f t="shared" si="99"/>
        <v/>
      </c>
      <c r="X263" s="23"/>
      <c r="Y263" s="21" t="str">
        <f t="shared" si="100"/>
        <v/>
      </c>
      <c r="Z263" s="23"/>
      <c r="AA263" s="21" t="str">
        <f t="shared" si="101"/>
        <v/>
      </c>
      <c r="AB263" s="23"/>
      <c r="AC263" s="21" t="str">
        <f t="shared" si="102"/>
        <v/>
      </c>
      <c r="AD263" s="23"/>
      <c r="AG263" s="25" t="str">
        <f t="shared" si="114"/>
        <v/>
      </c>
      <c r="AK263" s="10" t="str">
        <f t="shared" si="103"/>
        <v/>
      </c>
      <c r="AL263" s="11" t="str">
        <f t="shared" si="104"/>
        <v/>
      </c>
      <c r="AM263" s="11">
        <f t="shared" si="105"/>
        <v>1</v>
      </c>
      <c r="AN263" s="11" t="str">
        <f t="shared" si="106"/>
        <v/>
      </c>
      <c r="AO263" s="11" t="str">
        <f t="shared" si="107"/>
        <v/>
      </c>
      <c r="AP263" s="11" t="str">
        <f t="shared" si="108"/>
        <v/>
      </c>
      <c r="AQ263" s="11" t="str">
        <f t="shared" si="109"/>
        <v/>
      </c>
      <c r="AR263" s="11" t="str">
        <f t="shared" si="110"/>
        <v/>
      </c>
      <c r="AS263" s="11" t="str">
        <f t="shared" si="111"/>
        <v/>
      </c>
      <c r="AT263" s="12" t="str">
        <f t="shared" si="112"/>
        <v/>
      </c>
    </row>
    <row r="264" spans="1:46" ht="18.75" x14ac:dyDescent="0.25">
      <c r="A264" s="5" t="s">
        <v>26</v>
      </c>
      <c r="B264" t="str">
        <f>'Final list of total hauls pros'!M261</f>
        <v>LAT (SD 25-32)</v>
      </c>
      <c r="C264">
        <v>260</v>
      </c>
      <c r="D264">
        <f>'Final list of total hauls pros'!A261</f>
        <v>28074</v>
      </c>
      <c r="E264" t="str">
        <f t="shared" si="92"/>
        <v>28</v>
      </c>
      <c r="F264" t="str">
        <f>'Final list of total hauls pros'!B261</f>
        <v>43H0</v>
      </c>
      <c r="G264" t="str">
        <f>'Final list of total hauls pros'!I261</f>
        <v>LAT</v>
      </c>
      <c r="H264" t="str">
        <f>'Final list of total hauls pros'!L261</f>
        <v>25-32</v>
      </c>
      <c r="I264" t="str">
        <f t="shared" si="113"/>
        <v>LAT (SD 25-32)</v>
      </c>
      <c r="K264" s="20" t="str">
        <f t="shared" si="93"/>
        <v/>
      </c>
      <c r="L264" s="23"/>
      <c r="M264" s="21" t="str">
        <f t="shared" si="94"/>
        <v/>
      </c>
      <c r="N264" s="23"/>
      <c r="O264" s="21" t="str">
        <f t="shared" si="95"/>
        <v/>
      </c>
      <c r="P264" s="23"/>
      <c r="Q264" s="21" t="str">
        <f t="shared" si="96"/>
        <v/>
      </c>
      <c r="R264" s="23"/>
      <c r="S264" s="21" t="str">
        <f t="shared" si="97"/>
        <v/>
      </c>
      <c r="T264" s="23"/>
      <c r="U264" s="21">
        <f t="shared" si="98"/>
        <v>1</v>
      </c>
      <c r="V264" s="23"/>
      <c r="W264" s="21" t="str">
        <f t="shared" si="99"/>
        <v/>
      </c>
      <c r="X264" s="23"/>
      <c r="Y264" s="21" t="str">
        <f t="shared" si="100"/>
        <v/>
      </c>
      <c r="Z264" s="23"/>
      <c r="AA264" s="21" t="str">
        <f t="shared" si="101"/>
        <v/>
      </c>
      <c r="AB264" s="23"/>
      <c r="AC264" s="21" t="str">
        <f t="shared" si="102"/>
        <v/>
      </c>
      <c r="AD264" s="23"/>
      <c r="AG264" s="25" t="str">
        <f t="shared" si="114"/>
        <v/>
      </c>
      <c r="AK264" s="10" t="str">
        <f t="shared" si="103"/>
        <v/>
      </c>
      <c r="AL264" s="11" t="str">
        <f t="shared" si="104"/>
        <v/>
      </c>
      <c r="AM264" s="11" t="str">
        <f t="shared" si="105"/>
        <v/>
      </c>
      <c r="AN264" s="11" t="str">
        <f t="shared" si="106"/>
        <v/>
      </c>
      <c r="AO264" s="11" t="str">
        <f t="shared" si="107"/>
        <v/>
      </c>
      <c r="AP264" s="11">
        <f t="shared" si="108"/>
        <v>1</v>
      </c>
      <c r="AQ264" s="11" t="str">
        <f t="shared" si="109"/>
        <v/>
      </c>
      <c r="AR264" s="11" t="str">
        <f t="shared" si="110"/>
        <v/>
      </c>
      <c r="AS264" s="11" t="str">
        <f t="shared" si="111"/>
        <v/>
      </c>
      <c r="AT264" s="12" t="str">
        <f t="shared" si="112"/>
        <v/>
      </c>
    </row>
    <row r="265" spans="1:46" ht="18.75" x14ac:dyDescent="0.25">
      <c r="A265" s="5" t="s">
        <v>26</v>
      </c>
      <c r="B265" t="str">
        <f>'Final list of total hauls pros'!M262</f>
        <v>EST (SD 25-32)</v>
      </c>
      <c r="C265">
        <v>261</v>
      </c>
      <c r="D265">
        <f>'Final list of total hauls pros'!A262</f>
        <v>28077</v>
      </c>
      <c r="E265" t="str">
        <f t="shared" si="92"/>
        <v>28</v>
      </c>
      <c r="F265" t="str">
        <f>'Final list of total hauls pros'!B262</f>
        <v>45H1</v>
      </c>
      <c r="G265" t="str">
        <f>'Final list of total hauls pros'!I262</f>
        <v>EST</v>
      </c>
      <c r="H265" t="str">
        <f>'Final list of total hauls pros'!L262</f>
        <v>25-32</v>
      </c>
      <c r="I265" t="str">
        <f t="shared" si="113"/>
        <v>LAT (SD 25-32)</v>
      </c>
      <c r="K265" s="20" t="str">
        <f t="shared" si="93"/>
        <v/>
      </c>
      <c r="L265" s="23"/>
      <c r="M265" s="21" t="str">
        <f t="shared" si="94"/>
        <v/>
      </c>
      <c r="N265" s="23"/>
      <c r="O265" s="21" t="str">
        <f t="shared" si="95"/>
        <v/>
      </c>
      <c r="P265" s="23"/>
      <c r="Q265" s="21" t="str">
        <f t="shared" si="96"/>
        <v/>
      </c>
      <c r="R265" s="23"/>
      <c r="S265" s="21" t="str">
        <f t="shared" si="97"/>
        <v/>
      </c>
      <c r="T265" s="23"/>
      <c r="U265" s="21">
        <f t="shared" si="98"/>
        <v>1</v>
      </c>
      <c r="V265" s="23" t="s">
        <v>138</v>
      </c>
      <c r="W265" s="21" t="str">
        <f t="shared" si="99"/>
        <v/>
      </c>
      <c r="X265" s="23" t="s">
        <v>132</v>
      </c>
      <c r="Y265" s="21" t="str">
        <f t="shared" si="100"/>
        <v/>
      </c>
      <c r="Z265" s="23"/>
      <c r="AA265" s="21" t="str">
        <f t="shared" si="101"/>
        <v/>
      </c>
      <c r="AB265" s="23"/>
      <c r="AC265" s="21" t="str">
        <f t="shared" si="102"/>
        <v/>
      </c>
      <c r="AD265" s="23"/>
      <c r="AG265" s="25" t="str">
        <f t="shared" si="114"/>
        <v/>
      </c>
      <c r="AK265" s="10" t="str">
        <f t="shared" si="103"/>
        <v/>
      </c>
      <c r="AL265" s="11" t="str">
        <f t="shared" si="104"/>
        <v/>
      </c>
      <c r="AM265" s="11" t="str">
        <f t="shared" si="105"/>
        <v/>
      </c>
      <c r="AN265" s="11" t="str">
        <f t="shared" si="106"/>
        <v/>
      </c>
      <c r="AO265" s="11" t="str">
        <f t="shared" si="107"/>
        <v/>
      </c>
      <c r="AP265" s="11" t="str">
        <f t="shared" si="108"/>
        <v/>
      </c>
      <c r="AQ265" s="11">
        <f t="shared" si="109"/>
        <v>1</v>
      </c>
      <c r="AR265" s="11" t="str">
        <f t="shared" si="110"/>
        <v/>
      </c>
      <c r="AS265" s="11" t="str">
        <f t="shared" si="111"/>
        <v/>
      </c>
      <c r="AT265" s="12" t="str">
        <f t="shared" si="112"/>
        <v/>
      </c>
    </row>
    <row r="266" spans="1:46" ht="18.75" x14ac:dyDescent="0.25">
      <c r="A266" s="5" t="s">
        <v>26</v>
      </c>
      <c r="B266" t="str">
        <f>'Final list of total hauls pros'!M263</f>
        <v>SWE (SD 25-32)</v>
      </c>
      <c r="C266">
        <v>262</v>
      </c>
      <c r="D266">
        <f>'Final list of total hauls pros'!A263</f>
        <v>28078</v>
      </c>
      <c r="E266" t="str">
        <f t="shared" si="92"/>
        <v>28</v>
      </c>
      <c r="F266" t="str">
        <f>'Final list of total hauls pros'!B263</f>
        <v>45G9</v>
      </c>
      <c r="G266" t="str">
        <f>'Final list of total hauls pros'!I263</f>
        <v>SWE</v>
      </c>
      <c r="H266" t="str">
        <f>'Final list of total hauls pros'!L263</f>
        <v>25-32</v>
      </c>
      <c r="I266" t="str">
        <f t="shared" si="113"/>
        <v>SWE (SD 25-32)</v>
      </c>
      <c r="K266" s="20" t="str">
        <f t="shared" si="93"/>
        <v/>
      </c>
      <c r="L266" s="23"/>
      <c r="M266" s="21" t="str">
        <f t="shared" si="94"/>
        <v/>
      </c>
      <c r="N266" s="23"/>
      <c r="O266" s="21">
        <f t="shared" si="95"/>
        <v>1</v>
      </c>
      <c r="P266" s="23"/>
      <c r="Q266" s="21" t="str">
        <f t="shared" si="96"/>
        <v/>
      </c>
      <c r="R266" s="23"/>
      <c r="S266" s="21" t="str">
        <f t="shared" si="97"/>
        <v/>
      </c>
      <c r="T266" s="23"/>
      <c r="U266" s="21" t="str">
        <f t="shared" si="98"/>
        <v/>
      </c>
      <c r="V266" s="23"/>
      <c r="W266" s="21" t="str">
        <f t="shared" si="99"/>
        <v/>
      </c>
      <c r="X266" s="23"/>
      <c r="Y266" s="21" t="str">
        <f t="shared" si="100"/>
        <v/>
      </c>
      <c r="Z266" s="23"/>
      <c r="AA266" s="21" t="str">
        <f t="shared" si="101"/>
        <v/>
      </c>
      <c r="AB266" s="23"/>
      <c r="AC266" s="21" t="str">
        <f t="shared" si="102"/>
        <v/>
      </c>
      <c r="AD266" s="23"/>
      <c r="AG266" s="25" t="str">
        <f t="shared" si="114"/>
        <v/>
      </c>
      <c r="AK266" s="10" t="str">
        <f t="shared" si="103"/>
        <v/>
      </c>
      <c r="AL266" s="11" t="str">
        <f t="shared" si="104"/>
        <v/>
      </c>
      <c r="AM266" s="11">
        <f t="shared" si="105"/>
        <v>1</v>
      </c>
      <c r="AN266" s="11" t="str">
        <f t="shared" si="106"/>
        <v/>
      </c>
      <c r="AO266" s="11" t="str">
        <f t="shared" si="107"/>
        <v/>
      </c>
      <c r="AP266" s="11" t="str">
        <f t="shared" si="108"/>
        <v/>
      </c>
      <c r="AQ266" s="11" t="str">
        <f t="shared" si="109"/>
        <v/>
      </c>
      <c r="AR266" s="11" t="str">
        <f t="shared" si="110"/>
        <v/>
      </c>
      <c r="AS266" s="11" t="str">
        <f t="shared" si="111"/>
        <v/>
      </c>
      <c r="AT266" s="12" t="str">
        <f t="shared" si="112"/>
        <v/>
      </c>
    </row>
    <row r="267" spans="1:46" ht="18.75" x14ac:dyDescent="0.25">
      <c r="A267" s="5" t="s">
        <v>26</v>
      </c>
      <c r="B267" t="str">
        <f>'Final list of total hauls pros'!M264</f>
        <v>LAT (SD 25-32)</v>
      </c>
      <c r="C267">
        <v>263</v>
      </c>
      <c r="D267">
        <f>'Final list of total hauls pros'!A264</f>
        <v>28084</v>
      </c>
      <c r="E267" t="str">
        <f t="shared" si="92"/>
        <v>28</v>
      </c>
      <c r="F267" t="str">
        <f>'Final list of total hauls pros'!B264</f>
        <v>42H0</v>
      </c>
      <c r="G267" t="str">
        <f>'Final list of total hauls pros'!I264</f>
        <v>LAT</v>
      </c>
      <c r="H267" t="str">
        <f>'Final list of total hauls pros'!L264</f>
        <v>25-32</v>
      </c>
      <c r="I267" t="str">
        <f t="shared" si="113"/>
        <v>LAT (SD 25-32)</v>
      </c>
      <c r="K267" s="20" t="str">
        <f t="shared" si="93"/>
        <v/>
      </c>
      <c r="L267" s="23"/>
      <c r="M267" s="21" t="str">
        <f t="shared" si="94"/>
        <v/>
      </c>
      <c r="N267" s="23"/>
      <c r="O267" s="21" t="str">
        <f t="shared" si="95"/>
        <v/>
      </c>
      <c r="P267" s="23"/>
      <c r="Q267" s="21" t="str">
        <f t="shared" si="96"/>
        <v/>
      </c>
      <c r="R267" s="23"/>
      <c r="S267" s="21" t="str">
        <f t="shared" si="97"/>
        <v/>
      </c>
      <c r="T267" s="23"/>
      <c r="U267" s="21">
        <f t="shared" si="98"/>
        <v>1</v>
      </c>
      <c r="V267" s="23"/>
      <c r="W267" s="21" t="str">
        <f t="shared" si="99"/>
        <v/>
      </c>
      <c r="X267" s="23"/>
      <c r="Y267" s="21" t="str">
        <f t="shared" si="100"/>
        <v/>
      </c>
      <c r="Z267" s="23"/>
      <c r="AA267" s="21" t="str">
        <f t="shared" si="101"/>
        <v/>
      </c>
      <c r="AB267" s="23"/>
      <c r="AC267" s="21" t="str">
        <f t="shared" si="102"/>
        <v/>
      </c>
      <c r="AD267" s="23"/>
      <c r="AG267" s="25" t="str">
        <f t="shared" si="114"/>
        <v/>
      </c>
      <c r="AK267" s="10" t="str">
        <f t="shared" si="103"/>
        <v/>
      </c>
      <c r="AL267" s="11" t="str">
        <f t="shared" si="104"/>
        <v/>
      </c>
      <c r="AM267" s="11" t="str">
        <f t="shared" si="105"/>
        <v/>
      </c>
      <c r="AN267" s="11" t="str">
        <f t="shared" si="106"/>
        <v/>
      </c>
      <c r="AO267" s="11" t="str">
        <f t="shared" si="107"/>
        <v/>
      </c>
      <c r="AP267" s="11">
        <f t="shared" si="108"/>
        <v>1</v>
      </c>
      <c r="AQ267" s="11" t="str">
        <f t="shared" si="109"/>
        <v/>
      </c>
      <c r="AR267" s="11" t="str">
        <f t="shared" si="110"/>
        <v/>
      </c>
      <c r="AS267" s="11" t="str">
        <f t="shared" si="111"/>
        <v/>
      </c>
      <c r="AT267" s="12" t="str">
        <f t="shared" si="112"/>
        <v/>
      </c>
    </row>
    <row r="268" spans="1:46" ht="18.75" x14ac:dyDescent="0.25">
      <c r="A268" s="5" t="s">
        <v>26</v>
      </c>
      <c r="B268" t="str">
        <f>'Final list of total hauls pros'!M265</f>
        <v>LAT (SD 25-32)</v>
      </c>
      <c r="C268">
        <v>264</v>
      </c>
      <c r="D268">
        <f>'Final list of total hauls pros'!A265</f>
        <v>28085</v>
      </c>
      <c r="E268" t="str">
        <f t="shared" si="92"/>
        <v>28</v>
      </c>
      <c r="F268" t="str">
        <f>'Final list of total hauls pros'!B265</f>
        <v>43H0</v>
      </c>
      <c r="G268" t="str">
        <f>'Final list of total hauls pros'!I265</f>
        <v>LAT</v>
      </c>
      <c r="H268" t="str">
        <f>'Final list of total hauls pros'!L265</f>
        <v>25-32</v>
      </c>
      <c r="I268" t="str">
        <f t="shared" si="113"/>
        <v>LAT (SD 25-32)</v>
      </c>
      <c r="K268" s="20" t="str">
        <f t="shared" si="93"/>
        <v/>
      </c>
      <c r="L268" s="23"/>
      <c r="M268" s="21" t="str">
        <f t="shared" si="94"/>
        <v/>
      </c>
      <c r="N268" s="23"/>
      <c r="O268" s="21" t="str">
        <f t="shared" si="95"/>
        <v/>
      </c>
      <c r="P268" s="23"/>
      <c r="Q268" s="21" t="str">
        <f t="shared" si="96"/>
        <v/>
      </c>
      <c r="R268" s="23"/>
      <c r="S268" s="21" t="str">
        <f t="shared" si="97"/>
        <v/>
      </c>
      <c r="T268" s="23"/>
      <c r="U268" s="21">
        <f t="shared" si="98"/>
        <v>1</v>
      </c>
      <c r="V268" s="23"/>
      <c r="W268" s="21" t="str">
        <f t="shared" si="99"/>
        <v/>
      </c>
      <c r="X268" s="23"/>
      <c r="Y268" s="21" t="str">
        <f t="shared" si="100"/>
        <v/>
      </c>
      <c r="Z268" s="23"/>
      <c r="AA268" s="21" t="str">
        <f t="shared" si="101"/>
        <v/>
      </c>
      <c r="AB268" s="23"/>
      <c r="AC268" s="21" t="str">
        <f t="shared" si="102"/>
        <v/>
      </c>
      <c r="AD268" s="23"/>
      <c r="AG268" s="25" t="str">
        <f t="shared" si="114"/>
        <v/>
      </c>
      <c r="AK268" s="10" t="str">
        <f t="shared" si="103"/>
        <v/>
      </c>
      <c r="AL268" s="11" t="str">
        <f t="shared" si="104"/>
        <v/>
      </c>
      <c r="AM268" s="11" t="str">
        <f t="shared" si="105"/>
        <v/>
      </c>
      <c r="AN268" s="11" t="str">
        <f t="shared" si="106"/>
        <v/>
      </c>
      <c r="AO268" s="11" t="str">
        <f t="shared" si="107"/>
        <v/>
      </c>
      <c r="AP268" s="11">
        <f t="shared" si="108"/>
        <v>1</v>
      </c>
      <c r="AQ268" s="11" t="str">
        <f t="shared" si="109"/>
        <v/>
      </c>
      <c r="AR268" s="11" t="str">
        <f t="shared" si="110"/>
        <v/>
      </c>
      <c r="AS268" s="11" t="str">
        <f t="shared" si="111"/>
        <v/>
      </c>
      <c r="AT268" s="12" t="str">
        <f t="shared" si="112"/>
        <v/>
      </c>
    </row>
    <row r="269" spans="1:46" ht="18.75" x14ac:dyDescent="0.25">
      <c r="A269" s="5" t="s">
        <v>26</v>
      </c>
      <c r="B269" t="str">
        <f>'Final list of total hauls pros'!M266</f>
        <v>LAT (SD 25-32)</v>
      </c>
      <c r="C269">
        <v>265</v>
      </c>
      <c r="D269">
        <f>'Final list of total hauls pros'!A266</f>
        <v>28088</v>
      </c>
      <c r="E269" t="str">
        <f t="shared" si="92"/>
        <v>28</v>
      </c>
      <c r="F269" t="str">
        <f>'Final list of total hauls pros'!B266</f>
        <v>43H0</v>
      </c>
      <c r="G269" t="str">
        <f>'Final list of total hauls pros'!I266</f>
        <v>LAT</v>
      </c>
      <c r="H269" t="str">
        <f>'Final list of total hauls pros'!L266</f>
        <v>25-32</v>
      </c>
      <c r="I269" t="str">
        <f t="shared" si="113"/>
        <v>LAT (SD 25-32)</v>
      </c>
      <c r="K269" s="20" t="str">
        <f t="shared" si="93"/>
        <v/>
      </c>
      <c r="L269" s="23"/>
      <c r="M269" s="21" t="str">
        <f t="shared" si="94"/>
        <v/>
      </c>
      <c r="N269" s="23"/>
      <c r="O269" s="21" t="str">
        <f t="shared" si="95"/>
        <v/>
      </c>
      <c r="P269" s="23"/>
      <c r="Q269" s="21" t="str">
        <f t="shared" si="96"/>
        <v/>
      </c>
      <c r="R269" s="23"/>
      <c r="S269" s="21" t="str">
        <f t="shared" si="97"/>
        <v/>
      </c>
      <c r="T269" s="23"/>
      <c r="U269" s="21">
        <f t="shared" si="98"/>
        <v>1</v>
      </c>
      <c r="V269" s="23"/>
      <c r="W269" s="21" t="str">
        <f t="shared" si="99"/>
        <v/>
      </c>
      <c r="X269" s="23"/>
      <c r="Y269" s="21" t="str">
        <f t="shared" si="100"/>
        <v/>
      </c>
      <c r="Z269" s="23"/>
      <c r="AA269" s="21" t="str">
        <f t="shared" si="101"/>
        <v/>
      </c>
      <c r="AB269" s="23"/>
      <c r="AC269" s="21" t="str">
        <f t="shared" si="102"/>
        <v/>
      </c>
      <c r="AD269" s="23"/>
      <c r="AG269" s="25" t="str">
        <f t="shared" si="114"/>
        <v/>
      </c>
      <c r="AK269" s="10" t="str">
        <f t="shared" si="103"/>
        <v/>
      </c>
      <c r="AL269" s="11" t="str">
        <f t="shared" si="104"/>
        <v/>
      </c>
      <c r="AM269" s="11" t="str">
        <f t="shared" si="105"/>
        <v/>
      </c>
      <c r="AN269" s="11" t="str">
        <f t="shared" si="106"/>
        <v/>
      </c>
      <c r="AO269" s="11" t="str">
        <f t="shared" si="107"/>
        <v/>
      </c>
      <c r="AP269" s="11">
        <f t="shared" si="108"/>
        <v>1</v>
      </c>
      <c r="AQ269" s="11" t="str">
        <f t="shared" si="109"/>
        <v/>
      </c>
      <c r="AR269" s="11" t="str">
        <f t="shared" si="110"/>
        <v/>
      </c>
      <c r="AS269" s="11" t="str">
        <f t="shared" si="111"/>
        <v/>
      </c>
      <c r="AT269" s="12" t="str">
        <f t="shared" si="112"/>
        <v/>
      </c>
    </row>
    <row r="270" spans="1:46" ht="18.75" x14ac:dyDescent="0.25">
      <c r="A270" s="5" t="s">
        <v>26</v>
      </c>
      <c r="B270" t="str">
        <f>'Final list of total hauls pros'!M267</f>
        <v>LAT (SD 25-32)</v>
      </c>
      <c r="C270">
        <v>266</v>
      </c>
      <c r="D270">
        <f>'Final list of total hauls pros'!A267</f>
        <v>28090</v>
      </c>
      <c r="E270" t="str">
        <f t="shared" si="92"/>
        <v>28</v>
      </c>
      <c r="F270" t="str">
        <f>'Final list of total hauls pros'!B267</f>
        <v>44H0</v>
      </c>
      <c r="G270" t="str">
        <f>'Final list of total hauls pros'!I267</f>
        <v>LAT</v>
      </c>
      <c r="H270" t="str">
        <f>'Final list of total hauls pros'!L267</f>
        <v>25-32</v>
      </c>
      <c r="I270" t="str">
        <f t="shared" si="113"/>
        <v>LAT (SD 25-32)</v>
      </c>
      <c r="K270" s="20" t="str">
        <f t="shared" si="93"/>
        <v/>
      </c>
      <c r="L270" s="23"/>
      <c r="M270" s="21" t="str">
        <f t="shared" si="94"/>
        <v/>
      </c>
      <c r="N270" s="23"/>
      <c r="O270" s="21" t="str">
        <f t="shared" si="95"/>
        <v/>
      </c>
      <c r="P270" s="23"/>
      <c r="Q270" s="21" t="str">
        <f t="shared" si="96"/>
        <v/>
      </c>
      <c r="R270" s="23"/>
      <c r="S270" s="21" t="str">
        <f t="shared" si="97"/>
        <v/>
      </c>
      <c r="T270" s="23"/>
      <c r="U270" s="21">
        <f t="shared" si="98"/>
        <v>1</v>
      </c>
      <c r="V270" s="23"/>
      <c r="W270" s="21" t="str">
        <f t="shared" si="99"/>
        <v/>
      </c>
      <c r="X270" s="23"/>
      <c r="Y270" s="21" t="str">
        <f t="shared" si="100"/>
        <v/>
      </c>
      <c r="Z270" s="23"/>
      <c r="AA270" s="21" t="str">
        <f t="shared" si="101"/>
        <v/>
      </c>
      <c r="AB270" s="23"/>
      <c r="AC270" s="21" t="str">
        <f t="shared" si="102"/>
        <v/>
      </c>
      <c r="AD270" s="23"/>
      <c r="AG270" s="25" t="str">
        <f t="shared" si="114"/>
        <v/>
      </c>
      <c r="AK270" s="10" t="str">
        <f t="shared" si="103"/>
        <v/>
      </c>
      <c r="AL270" s="11" t="str">
        <f t="shared" si="104"/>
        <v/>
      </c>
      <c r="AM270" s="11" t="str">
        <f t="shared" si="105"/>
        <v/>
      </c>
      <c r="AN270" s="11" t="str">
        <f t="shared" si="106"/>
        <v/>
      </c>
      <c r="AO270" s="11" t="str">
        <f t="shared" si="107"/>
        <v/>
      </c>
      <c r="AP270" s="11">
        <f t="shared" si="108"/>
        <v>1</v>
      </c>
      <c r="AQ270" s="11" t="str">
        <f t="shared" si="109"/>
        <v/>
      </c>
      <c r="AR270" s="11" t="str">
        <f t="shared" si="110"/>
        <v/>
      </c>
      <c r="AS270" s="11" t="str">
        <f t="shared" si="111"/>
        <v/>
      </c>
      <c r="AT270" s="12" t="str">
        <f t="shared" si="112"/>
        <v/>
      </c>
    </row>
    <row r="271" spans="1:46" ht="18.75" x14ac:dyDescent="0.25">
      <c r="A271" s="5" t="s">
        <v>26</v>
      </c>
      <c r="B271" t="str">
        <f>'Final list of total hauls pros'!M268</f>
        <v>LAT (SD 25-32)</v>
      </c>
      <c r="C271">
        <v>267</v>
      </c>
      <c r="D271">
        <f>'Final list of total hauls pros'!A268</f>
        <v>28092</v>
      </c>
      <c r="E271" t="str">
        <f t="shared" si="92"/>
        <v>28</v>
      </c>
      <c r="F271" t="str">
        <f>'Final list of total hauls pros'!B268</f>
        <v>43H0</v>
      </c>
      <c r="G271" t="str">
        <f>'Final list of total hauls pros'!I268</f>
        <v>LAT</v>
      </c>
      <c r="H271" t="str">
        <f>'Final list of total hauls pros'!L268</f>
        <v>25-32</v>
      </c>
      <c r="I271" t="str">
        <f t="shared" si="113"/>
        <v>LAT (SD 25-32)</v>
      </c>
      <c r="K271" s="20" t="str">
        <f t="shared" si="93"/>
        <v/>
      </c>
      <c r="L271" s="23"/>
      <c r="M271" s="21" t="str">
        <f t="shared" si="94"/>
        <v/>
      </c>
      <c r="N271" s="23"/>
      <c r="O271" s="21" t="str">
        <f t="shared" si="95"/>
        <v/>
      </c>
      <c r="P271" s="23"/>
      <c r="Q271" s="21" t="str">
        <f t="shared" si="96"/>
        <v/>
      </c>
      <c r="R271" s="23"/>
      <c r="S271" s="21" t="str">
        <f t="shared" si="97"/>
        <v/>
      </c>
      <c r="T271" s="23"/>
      <c r="U271" s="21">
        <f t="shared" si="98"/>
        <v>1</v>
      </c>
      <c r="V271" s="23"/>
      <c r="W271" s="21" t="str">
        <f t="shared" si="99"/>
        <v/>
      </c>
      <c r="X271" s="23"/>
      <c r="Y271" s="21" t="str">
        <f t="shared" si="100"/>
        <v/>
      </c>
      <c r="Z271" s="23"/>
      <c r="AA271" s="21" t="str">
        <f t="shared" si="101"/>
        <v/>
      </c>
      <c r="AB271" s="23"/>
      <c r="AC271" s="21" t="str">
        <f t="shared" si="102"/>
        <v/>
      </c>
      <c r="AD271" s="23"/>
      <c r="AG271" s="25" t="str">
        <f t="shared" si="114"/>
        <v/>
      </c>
      <c r="AK271" s="10" t="str">
        <f t="shared" si="103"/>
        <v/>
      </c>
      <c r="AL271" s="11" t="str">
        <f t="shared" si="104"/>
        <v/>
      </c>
      <c r="AM271" s="11" t="str">
        <f t="shared" si="105"/>
        <v/>
      </c>
      <c r="AN271" s="11" t="str">
        <f t="shared" si="106"/>
        <v/>
      </c>
      <c r="AO271" s="11" t="str">
        <f t="shared" si="107"/>
        <v/>
      </c>
      <c r="AP271" s="11">
        <f t="shared" si="108"/>
        <v>1</v>
      </c>
      <c r="AQ271" s="11" t="str">
        <f t="shared" si="109"/>
        <v/>
      </c>
      <c r="AR271" s="11" t="str">
        <f t="shared" si="110"/>
        <v/>
      </c>
      <c r="AS271" s="11" t="str">
        <f t="shared" si="111"/>
        <v/>
      </c>
      <c r="AT271" s="12" t="str">
        <f t="shared" si="112"/>
        <v/>
      </c>
    </row>
    <row r="272" spans="1:46" ht="18.75" x14ac:dyDescent="0.25">
      <c r="A272" s="5" t="s">
        <v>26</v>
      </c>
      <c r="B272" t="str">
        <f>'Final list of total hauls pros'!M269</f>
        <v>LAT (SD 25-32)</v>
      </c>
      <c r="C272">
        <v>268</v>
      </c>
      <c r="D272">
        <f>'Final list of total hauls pros'!A269</f>
        <v>28093</v>
      </c>
      <c r="E272" t="str">
        <f t="shared" si="92"/>
        <v>28</v>
      </c>
      <c r="F272" t="str">
        <f>'Final list of total hauls pros'!B269</f>
        <v>43H1</v>
      </c>
      <c r="G272" t="str">
        <f>'Final list of total hauls pros'!I269</f>
        <v>LAT</v>
      </c>
      <c r="H272" t="str">
        <f>'Final list of total hauls pros'!L269</f>
        <v>25-32</v>
      </c>
      <c r="I272" t="str">
        <f t="shared" si="113"/>
        <v>LAT (SD 25-32)</v>
      </c>
      <c r="K272" s="20" t="str">
        <f t="shared" si="93"/>
        <v/>
      </c>
      <c r="L272" s="23"/>
      <c r="M272" s="21" t="str">
        <f t="shared" si="94"/>
        <v/>
      </c>
      <c r="N272" s="23"/>
      <c r="O272" s="21" t="str">
        <f t="shared" si="95"/>
        <v/>
      </c>
      <c r="P272" s="23"/>
      <c r="Q272" s="21" t="str">
        <f t="shared" si="96"/>
        <v/>
      </c>
      <c r="R272" s="23"/>
      <c r="S272" s="21" t="str">
        <f t="shared" si="97"/>
        <v/>
      </c>
      <c r="T272" s="23"/>
      <c r="U272" s="21">
        <f t="shared" si="98"/>
        <v>1</v>
      </c>
      <c r="V272" s="23"/>
      <c r="W272" s="21" t="str">
        <f t="shared" si="99"/>
        <v/>
      </c>
      <c r="X272" s="23"/>
      <c r="Y272" s="21" t="str">
        <f t="shared" si="100"/>
        <v/>
      </c>
      <c r="Z272" s="23"/>
      <c r="AA272" s="21" t="str">
        <f t="shared" si="101"/>
        <v/>
      </c>
      <c r="AB272" s="23"/>
      <c r="AC272" s="21" t="str">
        <f t="shared" si="102"/>
        <v/>
      </c>
      <c r="AD272" s="23"/>
      <c r="AG272" s="25" t="str">
        <f t="shared" si="114"/>
        <v/>
      </c>
      <c r="AK272" s="10" t="str">
        <f t="shared" si="103"/>
        <v/>
      </c>
      <c r="AL272" s="11" t="str">
        <f t="shared" si="104"/>
        <v/>
      </c>
      <c r="AM272" s="11" t="str">
        <f t="shared" si="105"/>
        <v/>
      </c>
      <c r="AN272" s="11" t="str">
        <f t="shared" si="106"/>
        <v/>
      </c>
      <c r="AO272" s="11" t="str">
        <f t="shared" si="107"/>
        <v/>
      </c>
      <c r="AP272" s="11">
        <f t="shared" si="108"/>
        <v>1</v>
      </c>
      <c r="AQ272" s="11" t="str">
        <f t="shared" si="109"/>
        <v/>
      </c>
      <c r="AR272" s="11" t="str">
        <f t="shared" si="110"/>
        <v/>
      </c>
      <c r="AS272" s="11" t="str">
        <f t="shared" si="111"/>
        <v/>
      </c>
      <c r="AT272" s="12" t="str">
        <f t="shared" si="112"/>
        <v/>
      </c>
    </row>
    <row r="273" spans="1:46" ht="18.75" x14ac:dyDescent="0.25">
      <c r="A273" s="5" t="s">
        <v>26</v>
      </c>
      <c r="B273" t="str">
        <f>'Final list of total hauls pros'!M270</f>
        <v>LAT (SD 25-32)</v>
      </c>
      <c r="C273">
        <v>269</v>
      </c>
      <c r="D273">
        <f>'Final list of total hauls pros'!A270</f>
        <v>28094</v>
      </c>
      <c r="E273" t="str">
        <f t="shared" si="92"/>
        <v>28</v>
      </c>
      <c r="F273" t="str">
        <f>'Final list of total hauls pros'!B270</f>
        <v>42H0</v>
      </c>
      <c r="G273" t="str">
        <f>'Final list of total hauls pros'!I270</f>
        <v>LAT</v>
      </c>
      <c r="H273" t="str">
        <f>'Final list of total hauls pros'!L270</f>
        <v>25-32</v>
      </c>
      <c r="I273" t="str">
        <f t="shared" si="113"/>
        <v>LAT (SD 25-32)</v>
      </c>
      <c r="K273" s="20" t="str">
        <f t="shared" si="93"/>
        <v/>
      </c>
      <c r="L273" s="23"/>
      <c r="M273" s="21" t="str">
        <f t="shared" si="94"/>
        <v/>
      </c>
      <c r="N273" s="23"/>
      <c r="O273" s="21" t="str">
        <f t="shared" si="95"/>
        <v/>
      </c>
      <c r="P273" s="23"/>
      <c r="Q273" s="21" t="str">
        <f t="shared" si="96"/>
        <v/>
      </c>
      <c r="R273" s="23"/>
      <c r="S273" s="21" t="str">
        <f t="shared" si="97"/>
        <v/>
      </c>
      <c r="T273" s="23"/>
      <c r="U273" s="21">
        <f t="shared" si="98"/>
        <v>1</v>
      </c>
      <c r="V273" s="23"/>
      <c r="W273" s="21" t="str">
        <f t="shared" si="99"/>
        <v/>
      </c>
      <c r="X273" s="23"/>
      <c r="Y273" s="21" t="str">
        <f t="shared" si="100"/>
        <v/>
      </c>
      <c r="Z273" s="23"/>
      <c r="AA273" s="21" t="str">
        <f t="shared" si="101"/>
        <v/>
      </c>
      <c r="AB273" s="23"/>
      <c r="AC273" s="21" t="str">
        <f t="shared" si="102"/>
        <v/>
      </c>
      <c r="AD273" s="23"/>
      <c r="AG273" s="25" t="str">
        <f t="shared" si="114"/>
        <v/>
      </c>
      <c r="AK273" s="10" t="str">
        <f t="shared" si="103"/>
        <v/>
      </c>
      <c r="AL273" s="11" t="str">
        <f t="shared" si="104"/>
        <v/>
      </c>
      <c r="AM273" s="11" t="str">
        <f t="shared" si="105"/>
        <v/>
      </c>
      <c r="AN273" s="11" t="str">
        <f t="shared" si="106"/>
        <v/>
      </c>
      <c r="AO273" s="11" t="str">
        <f t="shared" si="107"/>
        <v/>
      </c>
      <c r="AP273" s="11">
        <f t="shared" si="108"/>
        <v>1</v>
      </c>
      <c r="AQ273" s="11" t="str">
        <f t="shared" si="109"/>
        <v/>
      </c>
      <c r="AR273" s="11" t="str">
        <f t="shared" si="110"/>
        <v/>
      </c>
      <c r="AS273" s="11" t="str">
        <f t="shared" si="111"/>
        <v/>
      </c>
      <c r="AT273" s="12" t="str">
        <f t="shared" si="112"/>
        <v/>
      </c>
    </row>
    <row r="274" spans="1:46" ht="18.75" x14ac:dyDescent="0.25">
      <c r="A274" s="5" t="s">
        <v>26</v>
      </c>
      <c r="B274" t="str">
        <f>'Final list of total hauls pros'!M271</f>
        <v>SWE (SD 25-32)</v>
      </c>
      <c r="C274">
        <v>270</v>
      </c>
      <c r="D274">
        <f>'Final list of total hauls pros'!A271</f>
        <v>28096</v>
      </c>
      <c r="E274" t="str">
        <f t="shared" ref="E274:E279" si="115">IF(D274&lt;&gt;"",LEFT(D274,2),"")</f>
        <v>28</v>
      </c>
      <c r="F274" t="str">
        <f>'Final list of total hauls pros'!B271</f>
        <v>43G8</v>
      </c>
      <c r="G274" t="str">
        <f>'Final list of total hauls pros'!I271</f>
        <v>SWE</v>
      </c>
      <c r="H274" t="str">
        <f>'Final list of total hauls pros'!L271</f>
        <v>25-32</v>
      </c>
      <c r="I274" t="str">
        <f t="shared" si="113"/>
        <v>SWE (SD 25-32)</v>
      </c>
      <c r="K274" s="20" t="str">
        <f t="shared" si="93"/>
        <v/>
      </c>
      <c r="L274" s="23"/>
      <c r="M274" s="21" t="str">
        <f t="shared" si="94"/>
        <v/>
      </c>
      <c r="N274" s="23"/>
      <c r="O274" s="21">
        <f t="shared" si="95"/>
        <v>1</v>
      </c>
      <c r="P274" s="23"/>
      <c r="Q274" s="21" t="str">
        <f t="shared" si="96"/>
        <v/>
      </c>
      <c r="R274" s="23"/>
      <c r="S274" s="21" t="str">
        <f t="shared" si="97"/>
        <v/>
      </c>
      <c r="T274" s="23"/>
      <c r="U274" s="21" t="str">
        <f t="shared" si="98"/>
        <v/>
      </c>
      <c r="V274" s="23"/>
      <c r="W274" s="21" t="str">
        <f t="shared" si="99"/>
        <v/>
      </c>
      <c r="X274" s="23"/>
      <c r="Y274" s="21" t="str">
        <f t="shared" si="100"/>
        <v/>
      </c>
      <c r="Z274" s="23"/>
      <c r="AA274" s="21" t="str">
        <f t="shared" si="101"/>
        <v/>
      </c>
      <c r="AB274" s="23"/>
      <c r="AC274" s="21" t="str">
        <f t="shared" si="102"/>
        <v/>
      </c>
      <c r="AD274" s="23"/>
      <c r="AG274" s="25" t="str">
        <f t="shared" si="114"/>
        <v/>
      </c>
      <c r="AK274" s="10" t="str">
        <f t="shared" si="103"/>
        <v/>
      </c>
      <c r="AL274" s="11" t="str">
        <f t="shared" si="104"/>
        <v/>
      </c>
      <c r="AM274" s="11">
        <f t="shared" si="105"/>
        <v>1</v>
      </c>
      <c r="AN274" s="11" t="str">
        <f t="shared" si="106"/>
        <v/>
      </c>
      <c r="AO274" s="11" t="str">
        <f t="shared" si="107"/>
        <v/>
      </c>
      <c r="AP274" s="11" t="str">
        <f t="shared" si="108"/>
        <v/>
      </c>
      <c r="AQ274" s="11" t="str">
        <f t="shared" si="109"/>
        <v/>
      </c>
      <c r="AR274" s="11" t="str">
        <f t="shared" si="110"/>
        <v/>
      </c>
      <c r="AS274" s="11" t="str">
        <f t="shared" si="111"/>
        <v/>
      </c>
      <c r="AT274" s="12" t="str">
        <f t="shared" si="112"/>
        <v/>
      </c>
    </row>
    <row r="275" spans="1:46" ht="18.75" x14ac:dyDescent="0.25">
      <c r="A275" s="5" t="s">
        <v>26</v>
      </c>
      <c r="B275" t="str">
        <f>'Final list of total hauls pros'!M272</f>
        <v>SWE (SD 25-32)</v>
      </c>
      <c r="C275">
        <v>271</v>
      </c>
      <c r="D275">
        <f>'Final list of total hauls pros'!A272</f>
        <v>28097</v>
      </c>
      <c r="E275" t="str">
        <f t="shared" si="115"/>
        <v>28</v>
      </c>
      <c r="F275" t="str">
        <f>'Final list of total hauls pros'!B272</f>
        <v>44G9</v>
      </c>
      <c r="G275" t="str">
        <f>'Final list of total hauls pros'!I272</f>
        <v>SWE</v>
      </c>
      <c r="H275" t="str">
        <f>'Final list of total hauls pros'!L272</f>
        <v>25-32</v>
      </c>
      <c r="I275" t="str">
        <f t="shared" si="113"/>
        <v>SWE (SD 25-32)</v>
      </c>
      <c r="K275" s="20" t="str">
        <f t="shared" si="93"/>
        <v/>
      </c>
      <c r="L275" s="23"/>
      <c r="M275" s="21" t="str">
        <f t="shared" si="94"/>
        <v/>
      </c>
      <c r="N275" s="23"/>
      <c r="O275" s="21">
        <f t="shared" si="95"/>
        <v>1</v>
      </c>
      <c r="P275" s="23"/>
      <c r="Q275" s="21" t="str">
        <f t="shared" si="96"/>
        <v/>
      </c>
      <c r="R275" s="23"/>
      <c r="S275" s="21" t="str">
        <f t="shared" si="97"/>
        <v/>
      </c>
      <c r="T275" s="23"/>
      <c r="U275" s="21" t="str">
        <f t="shared" si="98"/>
        <v/>
      </c>
      <c r="V275" s="23"/>
      <c r="W275" s="21" t="str">
        <f t="shared" si="99"/>
        <v/>
      </c>
      <c r="X275" s="23"/>
      <c r="Y275" s="21" t="str">
        <f t="shared" si="100"/>
        <v/>
      </c>
      <c r="Z275" s="23"/>
      <c r="AA275" s="21" t="str">
        <f t="shared" si="101"/>
        <v/>
      </c>
      <c r="AB275" s="23"/>
      <c r="AC275" s="21" t="str">
        <f t="shared" si="102"/>
        <v/>
      </c>
      <c r="AD275" s="23"/>
      <c r="AG275" s="25" t="str">
        <f t="shared" si="114"/>
        <v/>
      </c>
      <c r="AK275" s="10" t="str">
        <f t="shared" si="103"/>
        <v/>
      </c>
      <c r="AL275" s="11" t="str">
        <f t="shared" si="104"/>
        <v/>
      </c>
      <c r="AM275" s="11">
        <f t="shared" si="105"/>
        <v>1</v>
      </c>
      <c r="AN275" s="11" t="str">
        <f t="shared" si="106"/>
        <v/>
      </c>
      <c r="AO275" s="11" t="str">
        <f t="shared" si="107"/>
        <v/>
      </c>
      <c r="AP275" s="11" t="str">
        <f t="shared" si="108"/>
        <v/>
      </c>
      <c r="AQ275" s="11" t="str">
        <f t="shared" si="109"/>
        <v/>
      </c>
      <c r="AR275" s="11" t="str">
        <f t="shared" si="110"/>
        <v/>
      </c>
      <c r="AS275" s="11" t="str">
        <f t="shared" si="111"/>
        <v/>
      </c>
      <c r="AT275" s="12" t="str">
        <f t="shared" si="112"/>
        <v/>
      </c>
    </row>
    <row r="276" spans="1:46" ht="18.75" x14ac:dyDescent="0.25">
      <c r="A276" s="5" t="s">
        <v>26</v>
      </c>
      <c r="B276" t="str">
        <f>'Final list of total hauls pros'!M273</f>
        <v>SWE (SD 25-32)</v>
      </c>
      <c r="C276">
        <v>272</v>
      </c>
      <c r="D276">
        <f>'Final list of total hauls pros'!A273</f>
        <v>28098</v>
      </c>
      <c r="E276" t="str">
        <f t="shared" si="115"/>
        <v>28</v>
      </c>
      <c r="F276" t="str">
        <f>'Final list of total hauls pros'!B273</f>
        <v>43G8</v>
      </c>
      <c r="G276" t="str">
        <f>'Final list of total hauls pros'!I273</f>
        <v>SWE</v>
      </c>
      <c r="H276" t="str">
        <f>'Final list of total hauls pros'!L273</f>
        <v>25-32</v>
      </c>
      <c r="I276" t="str">
        <f t="shared" si="113"/>
        <v>SWE (SD 25-32)</v>
      </c>
      <c r="K276" s="20" t="str">
        <f t="shared" si="93"/>
        <v/>
      </c>
      <c r="L276" s="23"/>
      <c r="M276" s="21" t="str">
        <f t="shared" si="94"/>
        <v/>
      </c>
      <c r="N276" s="23"/>
      <c r="O276" s="21">
        <f t="shared" si="95"/>
        <v>1</v>
      </c>
      <c r="P276" s="23"/>
      <c r="Q276" s="21" t="str">
        <f t="shared" si="96"/>
        <v/>
      </c>
      <c r="R276" s="23"/>
      <c r="S276" s="21" t="str">
        <f t="shared" si="97"/>
        <v/>
      </c>
      <c r="T276" s="23"/>
      <c r="U276" s="21" t="str">
        <f t="shared" si="98"/>
        <v/>
      </c>
      <c r="V276" s="23"/>
      <c r="W276" s="21" t="str">
        <f t="shared" si="99"/>
        <v/>
      </c>
      <c r="X276" s="23"/>
      <c r="Y276" s="21" t="str">
        <f t="shared" si="100"/>
        <v/>
      </c>
      <c r="Z276" s="23"/>
      <c r="AA276" s="21" t="str">
        <f t="shared" si="101"/>
        <v/>
      </c>
      <c r="AB276" s="23"/>
      <c r="AC276" s="21" t="str">
        <f t="shared" si="102"/>
        <v/>
      </c>
      <c r="AD276" s="23"/>
      <c r="AG276" s="25" t="str">
        <f t="shared" si="114"/>
        <v/>
      </c>
      <c r="AK276" s="10" t="str">
        <f t="shared" si="103"/>
        <v/>
      </c>
      <c r="AL276" s="11" t="str">
        <f t="shared" si="104"/>
        <v/>
      </c>
      <c r="AM276" s="11">
        <f t="shared" si="105"/>
        <v>1</v>
      </c>
      <c r="AN276" s="11" t="str">
        <f t="shared" si="106"/>
        <v/>
      </c>
      <c r="AO276" s="11" t="str">
        <f t="shared" si="107"/>
        <v/>
      </c>
      <c r="AP276" s="11" t="str">
        <f t="shared" si="108"/>
        <v/>
      </c>
      <c r="AQ276" s="11" t="str">
        <f t="shared" si="109"/>
        <v/>
      </c>
      <c r="AR276" s="11" t="str">
        <f t="shared" si="110"/>
        <v/>
      </c>
      <c r="AS276" s="11" t="str">
        <f t="shared" si="111"/>
        <v/>
      </c>
      <c r="AT276" s="12" t="str">
        <f t="shared" si="112"/>
        <v/>
      </c>
    </row>
    <row r="277" spans="1:46" ht="18.75" x14ac:dyDescent="0.25">
      <c r="A277" s="5" t="s">
        <v>26</v>
      </c>
      <c r="B277" t="str">
        <f>'Final list of total hauls pros'!M274</f>
        <v>SWE (SD 25-32)</v>
      </c>
      <c r="C277">
        <v>273</v>
      </c>
      <c r="D277">
        <f>'Final list of total hauls pros'!A274</f>
        <v>28099</v>
      </c>
      <c r="E277" t="str">
        <f t="shared" si="115"/>
        <v>28</v>
      </c>
      <c r="F277" t="str">
        <f>'Final list of total hauls pros'!B274</f>
        <v>44G9</v>
      </c>
      <c r="G277" t="str">
        <f>'Final list of total hauls pros'!I274</f>
        <v>SWE</v>
      </c>
      <c r="H277" t="str">
        <f>'Final list of total hauls pros'!L274</f>
        <v>25-32</v>
      </c>
      <c r="I277" t="str">
        <f t="shared" si="113"/>
        <v>SWE (SD 25-32)</v>
      </c>
      <c r="K277" s="20" t="str">
        <f t="shared" si="93"/>
        <v/>
      </c>
      <c r="L277" s="23"/>
      <c r="M277" s="21" t="str">
        <f t="shared" si="94"/>
        <v/>
      </c>
      <c r="N277" s="23"/>
      <c r="O277" s="21">
        <f t="shared" si="95"/>
        <v>1</v>
      </c>
      <c r="P277" s="23"/>
      <c r="Q277" s="21" t="str">
        <f t="shared" si="96"/>
        <v/>
      </c>
      <c r="R277" s="23"/>
      <c r="S277" s="21" t="str">
        <f t="shared" si="97"/>
        <v/>
      </c>
      <c r="T277" s="23"/>
      <c r="U277" s="21" t="str">
        <f t="shared" si="98"/>
        <v/>
      </c>
      <c r="V277" s="23"/>
      <c r="W277" s="21" t="str">
        <f t="shared" si="99"/>
        <v/>
      </c>
      <c r="X277" s="23"/>
      <c r="Y277" s="21" t="str">
        <f t="shared" si="100"/>
        <v/>
      </c>
      <c r="Z277" s="23"/>
      <c r="AA277" s="21" t="str">
        <f t="shared" si="101"/>
        <v/>
      </c>
      <c r="AB277" s="23"/>
      <c r="AC277" s="21" t="str">
        <f t="shared" si="102"/>
        <v/>
      </c>
      <c r="AD277" s="23"/>
      <c r="AG277" s="25" t="str">
        <f t="shared" si="114"/>
        <v/>
      </c>
      <c r="AK277" s="10" t="str">
        <f t="shared" si="103"/>
        <v/>
      </c>
      <c r="AL277" s="11" t="str">
        <f t="shared" si="104"/>
        <v/>
      </c>
      <c r="AM277" s="11">
        <f t="shared" si="105"/>
        <v>1</v>
      </c>
      <c r="AN277" s="11" t="str">
        <f t="shared" si="106"/>
        <v/>
      </c>
      <c r="AO277" s="11" t="str">
        <f t="shared" si="107"/>
        <v/>
      </c>
      <c r="AP277" s="11" t="str">
        <f t="shared" si="108"/>
        <v/>
      </c>
      <c r="AQ277" s="11" t="str">
        <f t="shared" si="109"/>
        <v/>
      </c>
      <c r="AR277" s="11" t="str">
        <f t="shared" si="110"/>
        <v/>
      </c>
      <c r="AS277" s="11" t="str">
        <f t="shared" si="111"/>
        <v/>
      </c>
      <c r="AT277" s="12" t="str">
        <f t="shared" si="112"/>
        <v/>
      </c>
    </row>
    <row r="278" spans="1:46" ht="18.75" x14ac:dyDescent="0.25">
      <c r="A278" s="5" t="s">
        <v>26</v>
      </c>
      <c r="B278" t="str">
        <f>'Final list of total hauls pros'!M275</f>
        <v>EST (SD 25-32)</v>
      </c>
      <c r="C278">
        <v>274</v>
      </c>
      <c r="D278">
        <f>'Final list of total hauls pros'!A275</f>
        <v>28112</v>
      </c>
      <c r="E278" t="str">
        <f t="shared" si="115"/>
        <v>28</v>
      </c>
      <c r="F278" t="str">
        <f>'Final list of total hauls pros'!B275</f>
        <v>44H1</v>
      </c>
      <c r="G278" t="str">
        <f>'Final list of total hauls pros'!I275</f>
        <v>EST</v>
      </c>
      <c r="H278" t="str">
        <f>'Final list of total hauls pros'!L275</f>
        <v>25-32</v>
      </c>
      <c r="I278" t="str">
        <f t="shared" ref="I278:I305" si="116">IF(L278="+",$K$2,IF(N278="+",$M$2,IF(P278="+",$O$2,IF(R278="+",$Q$2,IF(T278="+",$S$2,IF(V278="+",$U$2,IF(X278="+",$W$2,IF(Z278="+",$Y$2,IF(AB278="+",$AA$2,IF(AD278="+",$AC$2,B278))))))))))</f>
        <v>LAT (SD 25-32)</v>
      </c>
      <c r="K278" s="20" t="str">
        <f t="shared" ref="K278:K305" si="117">IF(L278="+",1,IF(L278="-","",IF(L278="",AK278)))</f>
        <v/>
      </c>
      <c r="L278" s="23"/>
      <c r="M278" s="21" t="str">
        <f t="shared" ref="M278:M305" si="118">IF(N278="+",1,IF(N278="-","",IF(N278="",AL278)))</f>
        <v/>
      </c>
      <c r="N278" s="23"/>
      <c r="O278" s="21" t="str">
        <f t="shared" ref="O278:O305" si="119">IF(P278="+",1,IF(P278="-","",IF(P278="",AM278)))</f>
        <v/>
      </c>
      <c r="P278" s="23"/>
      <c r="Q278" s="21" t="str">
        <f t="shared" ref="Q278:Q305" si="120">IF(R278="+",1,IF(R278="-","",IF(R278="",AN278)))</f>
        <v/>
      </c>
      <c r="R278" s="23"/>
      <c r="S278" s="21" t="str">
        <f t="shared" ref="S278:S305" si="121">IF(T278="+",1,IF(T278="-","",IF(T278="",AO278)))</f>
        <v/>
      </c>
      <c r="T278" s="23"/>
      <c r="U278" s="21">
        <f t="shared" ref="U278:U305" si="122">IF(V278="+",1,IF(V278="-","",IF(V278="",AP278)))</f>
        <v>1</v>
      </c>
      <c r="V278" s="23" t="s">
        <v>138</v>
      </c>
      <c r="W278" s="21" t="str">
        <f t="shared" ref="W278:W305" si="123">IF(X278="+",1,IF(X278="-","",IF(X278="",AQ278)))</f>
        <v/>
      </c>
      <c r="X278" s="23" t="s">
        <v>132</v>
      </c>
      <c r="Y278" s="21" t="str">
        <f t="shared" ref="Y278:Y305" si="124">IF(Z278="+",1,IF(Z278="-","",IF(Z278="",AR278)))</f>
        <v/>
      </c>
      <c r="Z278" s="23"/>
      <c r="AA278" s="21" t="str">
        <f t="shared" ref="AA278:AA305" si="125">IF(AB278="+",1,IF(AB278="-","",IF(AB278="",AS278)))</f>
        <v/>
      </c>
      <c r="AB278" s="23"/>
      <c r="AC278" s="21" t="str">
        <f t="shared" ref="AC278:AC305" si="126">IF(AD278="+",1,IF(AD278="-","",IF(AD278="",AT278)))</f>
        <v/>
      </c>
      <c r="AD278" s="23"/>
      <c r="AG278" s="25" t="str">
        <f t="shared" ref="AG278:AG305" si="127">IF(SUM(K278:AC278)&lt;&gt;1,"FEJL","")</f>
        <v/>
      </c>
      <c r="AK278" s="10" t="str">
        <f t="shared" ref="AK278:AK305" si="128">IF(B278="DEN (SD 21-24)",1,"")</f>
        <v/>
      </c>
      <c r="AL278" s="11" t="str">
        <f t="shared" ref="AL278:AL305" si="129">IF(B278="DEN (SD 25-32)",1,"")</f>
        <v/>
      </c>
      <c r="AM278" s="11" t="str">
        <f t="shared" ref="AM278:AM305" si="130">IF(B278="SWE (SD 25-32)",1,"")</f>
        <v/>
      </c>
      <c r="AN278" s="11" t="str">
        <f t="shared" ref="AN278:AN305" si="131">IF(B278="POL (SD 21-24)",1,"")</f>
        <v/>
      </c>
      <c r="AO278" s="11" t="str">
        <f t="shared" ref="AO278:AO305" si="132">IF(B278="POL (SD 25-32)",1,"")</f>
        <v/>
      </c>
      <c r="AP278" s="11" t="str">
        <f t="shared" ref="AP278:AP305" si="133">IF(B278="LAT (SD 25-32)",1,"")</f>
        <v/>
      </c>
      <c r="AQ278" s="11">
        <f t="shared" ref="AQ278:AQ305" si="134">IF(B278="EST (SD 25-32)",1,"")</f>
        <v>1</v>
      </c>
      <c r="AR278" s="11" t="str">
        <f t="shared" ref="AR278:AR305" si="135">IF(B278="GFR (SD 21-24)",1,"")</f>
        <v/>
      </c>
      <c r="AS278" s="11" t="str">
        <f t="shared" ref="AS278:AS305" si="136">IF(B278="LTU (SD 25-32)",1,"")</f>
        <v/>
      </c>
      <c r="AT278" s="12" t="str">
        <f t="shared" ref="AT278:AT305" si="137">IF(B278="RUS (SD 25-32)",1,"")</f>
        <v/>
      </c>
    </row>
    <row r="279" spans="1:46" ht="18.75" x14ac:dyDescent="0.25">
      <c r="A279" s="5" t="s">
        <v>26</v>
      </c>
      <c r="B279" t="str">
        <f>'Final list of total hauls pros'!M276</f>
        <v>LAT (SD 25-32)</v>
      </c>
      <c r="C279">
        <v>275</v>
      </c>
      <c r="D279">
        <f>'Final list of total hauls pros'!A276</f>
        <v>28136</v>
      </c>
      <c r="E279" t="str">
        <f t="shared" si="115"/>
        <v>28</v>
      </c>
      <c r="F279" t="str">
        <f>'Final list of total hauls pros'!B276</f>
        <v>43H1</v>
      </c>
      <c r="G279" t="str">
        <f>'Final list of total hauls pros'!I276</f>
        <v>LAT</v>
      </c>
      <c r="H279" t="str">
        <f>'Final list of total hauls pros'!L276</f>
        <v>25-32</v>
      </c>
      <c r="I279" t="str">
        <f t="shared" si="116"/>
        <v>LAT (SD 25-32)</v>
      </c>
      <c r="K279" s="20" t="str">
        <f t="shared" si="117"/>
        <v/>
      </c>
      <c r="L279" s="23"/>
      <c r="M279" s="21" t="str">
        <f t="shared" si="118"/>
        <v/>
      </c>
      <c r="N279" s="23"/>
      <c r="O279" s="21" t="str">
        <f t="shared" si="119"/>
        <v/>
      </c>
      <c r="P279" s="23"/>
      <c r="Q279" s="21" t="str">
        <f t="shared" si="120"/>
        <v/>
      </c>
      <c r="R279" s="23"/>
      <c r="S279" s="21" t="str">
        <f t="shared" si="121"/>
        <v/>
      </c>
      <c r="T279" s="23"/>
      <c r="U279" s="21">
        <f t="shared" si="122"/>
        <v>1</v>
      </c>
      <c r="V279" s="23"/>
      <c r="W279" s="21" t="str">
        <f t="shared" si="123"/>
        <v/>
      </c>
      <c r="X279" s="23"/>
      <c r="Y279" s="21" t="str">
        <f t="shared" si="124"/>
        <v/>
      </c>
      <c r="Z279" s="23"/>
      <c r="AA279" s="21" t="str">
        <f t="shared" si="125"/>
        <v/>
      </c>
      <c r="AB279" s="23"/>
      <c r="AC279" s="21" t="str">
        <f t="shared" si="126"/>
        <v/>
      </c>
      <c r="AD279" s="23"/>
      <c r="AG279" s="25" t="str">
        <f t="shared" si="127"/>
        <v/>
      </c>
      <c r="AK279" s="10" t="str">
        <f t="shared" si="128"/>
        <v/>
      </c>
      <c r="AL279" s="11" t="str">
        <f t="shared" si="129"/>
        <v/>
      </c>
      <c r="AM279" s="11" t="str">
        <f t="shared" si="130"/>
        <v/>
      </c>
      <c r="AN279" s="11" t="str">
        <f t="shared" si="131"/>
        <v/>
      </c>
      <c r="AO279" s="11" t="str">
        <f t="shared" si="132"/>
        <v/>
      </c>
      <c r="AP279" s="11">
        <f t="shared" si="133"/>
        <v>1</v>
      </c>
      <c r="AQ279" s="11" t="str">
        <f t="shared" si="134"/>
        <v/>
      </c>
      <c r="AR279" s="11" t="str">
        <f t="shared" si="135"/>
        <v/>
      </c>
      <c r="AS279" s="11" t="str">
        <f t="shared" si="136"/>
        <v/>
      </c>
      <c r="AT279" s="12" t="str">
        <f t="shared" si="137"/>
        <v/>
      </c>
    </row>
    <row r="280" spans="1:46" ht="18.75" x14ac:dyDescent="0.25">
      <c r="A280" s="5" t="s">
        <v>26</v>
      </c>
      <c r="B280" t="str">
        <f>'Final list of total hauls pros'!M277</f>
        <v>LAT (SD 25-32)</v>
      </c>
      <c r="C280">
        <v>276</v>
      </c>
      <c r="D280">
        <f>'Final list of total hauls pros'!A277</f>
        <v>28138</v>
      </c>
      <c r="E280" t="str">
        <f t="shared" ref="E280:E305" si="138">IF(D280&lt;&gt;"",LEFT(D280,2),"")</f>
        <v>28</v>
      </c>
      <c r="F280" t="str">
        <f>'Final list of total hauls pros'!B277</f>
        <v>43H1</v>
      </c>
      <c r="G280" t="str">
        <f>'Final list of total hauls pros'!I277</f>
        <v>LAT</v>
      </c>
      <c r="H280" t="str">
        <f>'Final list of total hauls pros'!L277</f>
        <v>25-32</v>
      </c>
      <c r="I280" t="str">
        <f t="shared" si="116"/>
        <v>LAT (SD 25-32)</v>
      </c>
      <c r="K280" s="20" t="str">
        <f t="shared" si="117"/>
        <v/>
      </c>
      <c r="L280" s="23"/>
      <c r="M280" s="21" t="str">
        <f t="shared" si="118"/>
        <v/>
      </c>
      <c r="N280" s="23"/>
      <c r="O280" s="21" t="str">
        <f t="shared" si="119"/>
        <v/>
      </c>
      <c r="P280" s="23"/>
      <c r="Q280" s="21" t="str">
        <f t="shared" si="120"/>
        <v/>
      </c>
      <c r="R280" s="23"/>
      <c r="S280" s="21" t="str">
        <f t="shared" si="121"/>
        <v/>
      </c>
      <c r="T280" s="23"/>
      <c r="U280" s="21">
        <f t="shared" si="122"/>
        <v>1</v>
      </c>
      <c r="V280" s="23"/>
      <c r="W280" s="21" t="str">
        <f t="shared" si="123"/>
        <v/>
      </c>
      <c r="X280" s="23"/>
      <c r="Y280" s="21" t="str">
        <f t="shared" si="124"/>
        <v/>
      </c>
      <c r="Z280" s="23"/>
      <c r="AA280" s="21" t="str">
        <f t="shared" si="125"/>
        <v/>
      </c>
      <c r="AB280" s="23"/>
      <c r="AC280" s="21" t="str">
        <f t="shared" si="126"/>
        <v/>
      </c>
      <c r="AD280" s="23"/>
      <c r="AG280" s="25" t="str">
        <f t="shared" si="127"/>
        <v/>
      </c>
      <c r="AK280" s="10" t="str">
        <f t="shared" si="128"/>
        <v/>
      </c>
      <c r="AL280" s="11" t="str">
        <f t="shared" si="129"/>
        <v/>
      </c>
      <c r="AM280" s="11" t="str">
        <f t="shared" si="130"/>
        <v/>
      </c>
      <c r="AN280" s="11" t="str">
        <f t="shared" si="131"/>
        <v/>
      </c>
      <c r="AO280" s="11" t="str">
        <f t="shared" si="132"/>
        <v/>
      </c>
      <c r="AP280" s="11">
        <f t="shared" si="133"/>
        <v>1</v>
      </c>
      <c r="AQ280" s="11" t="str">
        <f t="shared" si="134"/>
        <v/>
      </c>
      <c r="AR280" s="11" t="str">
        <f t="shared" si="135"/>
        <v/>
      </c>
      <c r="AS280" s="11" t="str">
        <f t="shared" si="136"/>
        <v/>
      </c>
      <c r="AT280" s="12" t="str">
        <f t="shared" si="137"/>
        <v/>
      </c>
    </row>
    <row r="281" spans="1:46" ht="18.75" x14ac:dyDescent="0.25">
      <c r="A281" s="5" t="s">
        <v>26</v>
      </c>
      <c r="B281" t="str">
        <f>'Final list of total hauls pros'!M278</f>
        <v>LAT (SD 25-32)</v>
      </c>
      <c r="C281">
        <v>277</v>
      </c>
      <c r="D281">
        <f>'Final list of total hauls pros'!A278</f>
        <v>28157</v>
      </c>
      <c r="E281" t="str">
        <f t="shared" si="138"/>
        <v>28</v>
      </c>
      <c r="F281" t="str">
        <f>'Final list of total hauls pros'!B278</f>
        <v>42H0</v>
      </c>
      <c r="G281" t="str">
        <f>'Final list of total hauls pros'!I278</f>
        <v>LAT</v>
      </c>
      <c r="H281" t="str">
        <f>'Final list of total hauls pros'!L278</f>
        <v>25-32</v>
      </c>
      <c r="I281" t="str">
        <f t="shared" si="116"/>
        <v>LAT (SD 25-32)</v>
      </c>
      <c r="K281" s="20" t="str">
        <f t="shared" si="117"/>
        <v/>
      </c>
      <c r="L281" s="23"/>
      <c r="M281" s="21" t="str">
        <f t="shared" si="118"/>
        <v/>
      </c>
      <c r="N281" s="23"/>
      <c r="O281" s="21" t="str">
        <f t="shared" si="119"/>
        <v/>
      </c>
      <c r="P281" s="23"/>
      <c r="Q281" s="21" t="str">
        <f t="shared" si="120"/>
        <v/>
      </c>
      <c r="R281" s="23"/>
      <c r="S281" s="21" t="str">
        <f t="shared" si="121"/>
        <v/>
      </c>
      <c r="T281" s="23"/>
      <c r="U281" s="21">
        <f t="shared" si="122"/>
        <v>1</v>
      </c>
      <c r="V281" s="23"/>
      <c r="W281" s="21" t="str">
        <f t="shared" si="123"/>
        <v/>
      </c>
      <c r="X281" s="23"/>
      <c r="Y281" s="21" t="str">
        <f t="shared" si="124"/>
        <v/>
      </c>
      <c r="Z281" s="23"/>
      <c r="AA281" s="21" t="str">
        <f t="shared" si="125"/>
        <v/>
      </c>
      <c r="AB281" s="23"/>
      <c r="AC281" s="21" t="str">
        <f t="shared" si="126"/>
        <v/>
      </c>
      <c r="AD281" s="23"/>
      <c r="AG281" s="25" t="str">
        <f t="shared" si="127"/>
        <v/>
      </c>
      <c r="AK281" s="10" t="str">
        <f t="shared" si="128"/>
        <v/>
      </c>
      <c r="AL281" s="11" t="str">
        <f t="shared" si="129"/>
        <v/>
      </c>
      <c r="AM281" s="11" t="str">
        <f t="shared" si="130"/>
        <v/>
      </c>
      <c r="AN281" s="11" t="str">
        <f t="shared" si="131"/>
        <v/>
      </c>
      <c r="AO281" s="11" t="str">
        <f t="shared" si="132"/>
        <v/>
      </c>
      <c r="AP281" s="11">
        <f t="shared" si="133"/>
        <v>1</v>
      </c>
      <c r="AQ281" s="11" t="str">
        <f t="shared" si="134"/>
        <v/>
      </c>
      <c r="AR281" s="11" t="str">
        <f t="shared" si="135"/>
        <v/>
      </c>
      <c r="AS281" s="11" t="str">
        <f t="shared" si="136"/>
        <v/>
      </c>
      <c r="AT281" s="12" t="str">
        <f t="shared" si="137"/>
        <v/>
      </c>
    </row>
    <row r="282" spans="1:46" ht="18.75" x14ac:dyDescent="0.25">
      <c r="A282" s="5" t="s">
        <v>26</v>
      </c>
      <c r="B282" t="str">
        <f>'Final list of total hauls pros'!M279</f>
        <v>LAT (SD 25-32)</v>
      </c>
      <c r="C282">
        <v>278</v>
      </c>
      <c r="D282">
        <f>'Final list of total hauls pros'!A279</f>
        <v>28161</v>
      </c>
      <c r="E282" t="str">
        <f t="shared" si="138"/>
        <v>28</v>
      </c>
      <c r="F282" t="str">
        <f>'Final list of total hauls pros'!B279</f>
        <v>42H0</v>
      </c>
      <c r="G282" t="str">
        <f>'Final list of total hauls pros'!I279</f>
        <v>LAT</v>
      </c>
      <c r="H282" t="str">
        <f>'Final list of total hauls pros'!L279</f>
        <v>25-32</v>
      </c>
      <c r="I282" t="str">
        <f t="shared" si="116"/>
        <v>LAT (SD 25-32)</v>
      </c>
      <c r="K282" s="20" t="str">
        <f t="shared" si="117"/>
        <v/>
      </c>
      <c r="L282" s="23"/>
      <c r="M282" s="21" t="str">
        <f t="shared" si="118"/>
        <v/>
      </c>
      <c r="N282" s="23"/>
      <c r="O282" s="21" t="str">
        <f t="shared" si="119"/>
        <v/>
      </c>
      <c r="P282" s="23"/>
      <c r="Q282" s="21" t="str">
        <f t="shared" si="120"/>
        <v/>
      </c>
      <c r="R282" s="23"/>
      <c r="S282" s="21" t="str">
        <f t="shared" si="121"/>
        <v/>
      </c>
      <c r="T282" s="23"/>
      <c r="U282" s="21">
        <f t="shared" si="122"/>
        <v>1</v>
      </c>
      <c r="V282" s="23"/>
      <c r="W282" s="21" t="str">
        <f t="shared" si="123"/>
        <v/>
      </c>
      <c r="X282" s="23"/>
      <c r="Y282" s="21" t="str">
        <f t="shared" si="124"/>
        <v/>
      </c>
      <c r="Z282" s="23"/>
      <c r="AA282" s="21" t="str">
        <f t="shared" si="125"/>
        <v/>
      </c>
      <c r="AB282" s="23"/>
      <c r="AC282" s="21" t="str">
        <f t="shared" si="126"/>
        <v/>
      </c>
      <c r="AD282" s="23"/>
      <c r="AG282" s="25" t="str">
        <f t="shared" si="127"/>
        <v/>
      </c>
      <c r="AK282" s="10" t="str">
        <f t="shared" si="128"/>
        <v/>
      </c>
      <c r="AL282" s="11" t="str">
        <f t="shared" si="129"/>
        <v/>
      </c>
      <c r="AM282" s="11" t="str">
        <f t="shared" si="130"/>
        <v/>
      </c>
      <c r="AN282" s="11" t="str">
        <f t="shared" si="131"/>
        <v/>
      </c>
      <c r="AO282" s="11" t="str">
        <f t="shared" si="132"/>
        <v/>
      </c>
      <c r="AP282" s="11">
        <f t="shared" si="133"/>
        <v>1</v>
      </c>
      <c r="AQ282" s="11" t="str">
        <f t="shared" si="134"/>
        <v/>
      </c>
      <c r="AR282" s="11" t="str">
        <f t="shared" si="135"/>
        <v/>
      </c>
      <c r="AS282" s="11" t="str">
        <f t="shared" si="136"/>
        <v/>
      </c>
      <c r="AT282" s="12" t="str">
        <f t="shared" si="137"/>
        <v/>
      </c>
    </row>
    <row r="283" spans="1:46" ht="18.75" x14ac:dyDescent="0.25">
      <c r="A283" s="5" t="s">
        <v>26</v>
      </c>
      <c r="B283" t="str">
        <f>'Final list of total hauls pros'!M280</f>
        <v>EST (SD 25-32)</v>
      </c>
      <c r="C283">
        <v>279</v>
      </c>
      <c r="D283">
        <f>'Final list of total hauls pros'!A280</f>
        <v>28190</v>
      </c>
      <c r="E283" t="str">
        <f t="shared" si="138"/>
        <v>28</v>
      </c>
      <c r="F283" t="str">
        <f>'Final list of total hauls pros'!B280</f>
        <v>44H0</v>
      </c>
      <c r="G283" t="str">
        <f>'Final list of total hauls pros'!I280</f>
        <v>EST</v>
      </c>
      <c r="H283" t="str">
        <f>'Final list of total hauls pros'!L280</f>
        <v>25-32</v>
      </c>
      <c r="I283" t="str">
        <f t="shared" si="116"/>
        <v>LAT (SD 25-32)</v>
      </c>
      <c r="K283" s="20" t="str">
        <f t="shared" si="117"/>
        <v/>
      </c>
      <c r="L283" s="23"/>
      <c r="M283" s="21" t="str">
        <f t="shared" si="118"/>
        <v/>
      </c>
      <c r="N283" s="23"/>
      <c r="O283" s="21" t="str">
        <f t="shared" si="119"/>
        <v/>
      </c>
      <c r="P283" s="23"/>
      <c r="Q283" s="21" t="str">
        <f t="shared" si="120"/>
        <v/>
      </c>
      <c r="R283" s="23"/>
      <c r="S283" s="21" t="str">
        <f t="shared" si="121"/>
        <v/>
      </c>
      <c r="T283" s="23"/>
      <c r="U283" s="21">
        <f t="shared" si="122"/>
        <v>1</v>
      </c>
      <c r="V283" s="23" t="s">
        <v>138</v>
      </c>
      <c r="W283" s="21" t="str">
        <f t="shared" si="123"/>
        <v/>
      </c>
      <c r="X283" s="23" t="s">
        <v>132</v>
      </c>
      <c r="Y283" s="21" t="str">
        <f t="shared" si="124"/>
        <v/>
      </c>
      <c r="Z283" s="23"/>
      <c r="AA283" s="21" t="str">
        <f t="shared" si="125"/>
        <v/>
      </c>
      <c r="AB283" s="23"/>
      <c r="AC283" s="21" t="str">
        <f t="shared" si="126"/>
        <v/>
      </c>
      <c r="AD283" s="23"/>
      <c r="AG283" s="25" t="str">
        <f t="shared" si="127"/>
        <v/>
      </c>
      <c r="AK283" s="10" t="str">
        <f t="shared" si="128"/>
        <v/>
      </c>
      <c r="AL283" s="11" t="str">
        <f t="shared" si="129"/>
        <v/>
      </c>
      <c r="AM283" s="11" t="str">
        <f t="shared" si="130"/>
        <v/>
      </c>
      <c r="AN283" s="11" t="str">
        <f t="shared" si="131"/>
        <v/>
      </c>
      <c r="AO283" s="11" t="str">
        <f t="shared" si="132"/>
        <v/>
      </c>
      <c r="AP283" s="11" t="str">
        <f t="shared" si="133"/>
        <v/>
      </c>
      <c r="AQ283" s="11">
        <f t="shared" si="134"/>
        <v>1</v>
      </c>
      <c r="AR283" s="11" t="str">
        <f t="shared" si="135"/>
        <v/>
      </c>
      <c r="AS283" s="11" t="str">
        <f t="shared" si="136"/>
        <v/>
      </c>
      <c r="AT283" s="12" t="str">
        <f t="shared" si="137"/>
        <v/>
      </c>
    </row>
    <row r="284" spans="1:46" ht="18.75" x14ac:dyDescent="0.25">
      <c r="A284" s="5" t="s">
        <v>26</v>
      </c>
      <c r="B284" t="str">
        <f>'Final list of total hauls pros'!M281</f>
        <v>GFR (SD 21-24)</v>
      </c>
      <c r="C284">
        <v>280</v>
      </c>
      <c r="D284">
        <f>'Final list of total hauls pros'!A281</f>
        <v>24008</v>
      </c>
      <c r="E284" t="str">
        <f t="shared" si="138"/>
        <v>24</v>
      </c>
      <c r="F284" t="str">
        <f>'Final list of total hauls pros'!B281</f>
        <v>38G3</v>
      </c>
      <c r="G284" t="str">
        <f>'Final list of total hauls pros'!I281</f>
        <v>GFR</v>
      </c>
      <c r="H284" t="str">
        <f>'Final list of total hauls pros'!L281</f>
        <v>21-24</v>
      </c>
      <c r="I284" t="str">
        <f t="shared" si="116"/>
        <v>GFR (SD 21-24)</v>
      </c>
      <c r="K284" s="20" t="str">
        <f t="shared" si="117"/>
        <v/>
      </c>
      <c r="L284" s="23"/>
      <c r="M284" s="21" t="str">
        <f t="shared" si="118"/>
        <v/>
      </c>
      <c r="N284" s="23"/>
      <c r="O284" s="21" t="str">
        <f t="shared" si="119"/>
        <v/>
      </c>
      <c r="P284" s="23"/>
      <c r="Q284" s="21" t="str">
        <f t="shared" si="120"/>
        <v/>
      </c>
      <c r="R284" s="23"/>
      <c r="S284" s="21" t="str">
        <f t="shared" si="121"/>
        <v/>
      </c>
      <c r="T284" s="23"/>
      <c r="U284" s="21" t="str">
        <f t="shared" si="122"/>
        <v/>
      </c>
      <c r="V284" s="23"/>
      <c r="W284" s="21" t="str">
        <f t="shared" si="123"/>
        <v/>
      </c>
      <c r="X284" s="23"/>
      <c r="Y284" s="21">
        <f t="shared" si="124"/>
        <v>1</v>
      </c>
      <c r="Z284" s="23"/>
      <c r="AA284" s="21" t="str">
        <f t="shared" si="125"/>
        <v/>
      </c>
      <c r="AB284" s="23"/>
      <c r="AC284" s="21" t="str">
        <f t="shared" si="126"/>
        <v/>
      </c>
      <c r="AD284" s="23"/>
      <c r="AG284" s="25" t="str">
        <f t="shared" si="127"/>
        <v/>
      </c>
      <c r="AK284" s="10" t="str">
        <f t="shared" si="128"/>
        <v/>
      </c>
      <c r="AL284" s="11" t="str">
        <f t="shared" si="129"/>
        <v/>
      </c>
      <c r="AM284" s="11" t="str">
        <f t="shared" si="130"/>
        <v/>
      </c>
      <c r="AN284" s="11" t="str">
        <f t="shared" si="131"/>
        <v/>
      </c>
      <c r="AO284" s="11" t="str">
        <f t="shared" si="132"/>
        <v/>
      </c>
      <c r="AP284" s="11" t="str">
        <f t="shared" si="133"/>
        <v/>
      </c>
      <c r="AQ284" s="11" t="str">
        <f t="shared" si="134"/>
        <v/>
      </c>
      <c r="AR284" s="11">
        <f t="shared" si="135"/>
        <v>1</v>
      </c>
      <c r="AS284" s="11" t="str">
        <f t="shared" si="136"/>
        <v/>
      </c>
      <c r="AT284" s="12" t="str">
        <f t="shared" si="137"/>
        <v/>
      </c>
    </row>
    <row r="285" spans="1:46" ht="18.75" x14ac:dyDescent="0.25">
      <c r="A285" s="5" t="s">
        <v>26</v>
      </c>
      <c r="B285" t="str">
        <f>'Final list of total hauls pros'!M282</f>
        <v>GFR (SD 21-24)</v>
      </c>
      <c r="C285">
        <v>281</v>
      </c>
      <c r="D285">
        <f>'Final list of total hauls pros'!A282</f>
        <v>24009</v>
      </c>
      <c r="E285" t="str">
        <f t="shared" si="138"/>
        <v>24</v>
      </c>
      <c r="F285" t="str">
        <f>'Final list of total hauls pros'!B282</f>
        <v>38G3</v>
      </c>
      <c r="G285" t="str">
        <f>'Final list of total hauls pros'!I282</f>
        <v>GFR</v>
      </c>
      <c r="H285" t="str">
        <f>'Final list of total hauls pros'!L282</f>
        <v>21-24</v>
      </c>
      <c r="I285" t="str">
        <f t="shared" si="116"/>
        <v>GFR (SD 21-24)</v>
      </c>
      <c r="K285" s="20" t="str">
        <f t="shared" si="117"/>
        <v/>
      </c>
      <c r="L285" s="23"/>
      <c r="M285" s="21" t="str">
        <f t="shared" si="118"/>
        <v/>
      </c>
      <c r="N285" s="23"/>
      <c r="O285" s="21" t="str">
        <f t="shared" si="119"/>
        <v/>
      </c>
      <c r="P285" s="23"/>
      <c r="Q285" s="21" t="str">
        <f t="shared" si="120"/>
        <v/>
      </c>
      <c r="R285" s="23"/>
      <c r="S285" s="21" t="str">
        <f t="shared" si="121"/>
        <v/>
      </c>
      <c r="T285" s="23"/>
      <c r="U285" s="21" t="str">
        <f t="shared" si="122"/>
        <v/>
      </c>
      <c r="V285" s="23"/>
      <c r="W285" s="21" t="str">
        <f t="shared" si="123"/>
        <v/>
      </c>
      <c r="X285" s="23"/>
      <c r="Y285" s="21">
        <f t="shared" si="124"/>
        <v>1</v>
      </c>
      <c r="Z285" s="23"/>
      <c r="AA285" s="21" t="str">
        <f t="shared" si="125"/>
        <v/>
      </c>
      <c r="AB285" s="23"/>
      <c r="AC285" s="21" t="str">
        <f t="shared" si="126"/>
        <v/>
      </c>
      <c r="AD285" s="23"/>
      <c r="AG285" s="25" t="str">
        <f t="shared" si="127"/>
        <v/>
      </c>
      <c r="AK285" s="10" t="str">
        <f t="shared" si="128"/>
        <v/>
      </c>
      <c r="AL285" s="11" t="str">
        <f t="shared" si="129"/>
        <v/>
      </c>
      <c r="AM285" s="11" t="str">
        <f t="shared" si="130"/>
        <v/>
      </c>
      <c r="AN285" s="11" t="str">
        <f t="shared" si="131"/>
        <v/>
      </c>
      <c r="AO285" s="11" t="str">
        <f t="shared" si="132"/>
        <v/>
      </c>
      <c r="AP285" s="11" t="str">
        <f t="shared" si="133"/>
        <v/>
      </c>
      <c r="AQ285" s="11" t="str">
        <f t="shared" si="134"/>
        <v/>
      </c>
      <c r="AR285" s="11">
        <f t="shared" si="135"/>
        <v>1</v>
      </c>
      <c r="AS285" s="11" t="str">
        <f t="shared" si="136"/>
        <v/>
      </c>
      <c r="AT285" s="12" t="str">
        <f t="shared" si="137"/>
        <v/>
      </c>
    </row>
    <row r="286" spans="1:46" ht="18.75" x14ac:dyDescent="0.25">
      <c r="A286" s="5" t="s">
        <v>26</v>
      </c>
      <c r="B286" t="str">
        <f>'Final list of total hauls pros'!M283</f>
        <v>GFR (SD 21-24)</v>
      </c>
      <c r="C286">
        <v>282</v>
      </c>
      <c r="D286">
        <f>'Final list of total hauls pros'!A283</f>
        <v>24021</v>
      </c>
      <c r="E286" t="str">
        <f t="shared" si="138"/>
        <v>24</v>
      </c>
      <c r="F286" t="str">
        <f>'Final list of total hauls pros'!B283</f>
        <v>38G3</v>
      </c>
      <c r="G286" t="str">
        <f>'Final list of total hauls pros'!I283</f>
        <v>GFR</v>
      </c>
      <c r="H286" t="str">
        <f>'Final list of total hauls pros'!L283</f>
        <v>21-24</v>
      </c>
      <c r="I286" t="str">
        <f t="shared" si="116"/>
        <v>GFR (SD 21-24)</v>
      </c>
      <c r="K286" s="20" t="str">
        <f t="shared" si="117"/>
        <v/>
      </c>
      <c r="L286" s="23"/>
      <c r="M286" s="21" t="str">
        <f t="shared" si="118"/>
        <v/>
      </c>
      <c r="N286" s="23"/>
      <c r="O286" s="21" t="str">
        <f t="shared" si="119"/>
        <v/>
      </c>
      <c r="P286" s="23"/>
      <c r="Q286" s="21" t="str">
        <f t="shared" si="120"/>
        <v/>
      </c>
      <c r="R286" s="23"/>
      <c r="S286" s="21" t="str">
        <f t="shared" si="121"/>
        <v/>
      </c>
      <c r="T286" s="23"/>
      <c r="U286" s="21" t="str">
        <f t="shared" si="122"/>
        <v/>
      </c>
      <c r="V286" s="23"/>
      <c r="W286" s="21" t="str">
        <f t="shared" si="123"/>
        <v/>
      </c>
      <c r="X286" s="23"/>
      <c r="Y286" s="21">
        <f t="shared" si="124"/>
        <v>1</v>
      </c>
      <c r="Z286" s="23"/>
      <c r="AA286" s="21" t="str">
        <f t="shared" si="125"/>
        <v/>
      </c>
      <c r="AB286" s="23"/>
      <c r="AC286" s="21" t="str">
        <f t="shared" si="126"/>
        <v/>
      </c>
      <c r="AD286" s="23"/>
      <c r="AG286" s="25" t="str">
        <f t="shared" si="127"/>
        <v/>
      </c>
      <c r="AK286" s="10" t="str">
        <f t="shared" si="128"/>
        <v/>
      </c>
      <c r="AL286" s="11" t="str">
        <f t="shared" si="129"/>
        <v/>
      </c>
      <c r="AM286" s="11" t="str">
        <f t="shared" si="130"/>
        <v/>
      </c>
      <c r="AN286" s="11" t="str">
        <f t="shared" si="131"/>
        <v/>
      </c>
      <c r="AO286" s="11" t="str">
        <f t="shared" si="132"/>
        <v/>
      </c>
      <c r="AP286" s="11" t="str">
        <f t="shared" si="133"/>
        <v/>
      </c>
      <c r="AQ286" s="11" t="str">
        <f t="shared" si="134"/>
        <v/>
      </c>
      <c r="AR286" s="11">
        <f t="shared" si="135"/>
        <v>1</v>
      </c>
      <c r="AS286" s="11" t="str">
        <f t="shared" si="136"/>
        <v/>
      </c>
      <c r="AT286" s="12" t="str">
        <f t="shared" si="137"/>
        <v/>
      </c>
    </row>
    <row r="287" spans="1:46" ht="18.75" x14ac:dyDescent="0.25">
      <c r="A287" s="5" t="s">
        <v>26</v>
      </c>
      <c r="B287" t="str">
        <f>'Final list of total hauls pros'!M284</f>
        <v>GFR (SD 21-24)</v>
      </c>
      <c r="C287">
        <v>283</v>
      </c>
      <c r="D287">
        <f>'Final list of total hauls pros'!A284</f>
        <v>24280</v>
      </c>
      <c r="E287" t="str">
        <f t="shared" si="138"/>
        <v>24</v>
      </c>
      <c r="F287" t="str">
        <f>'Final list of total hauls pros'!B284</f>
        <v>38G2</v>
      </c>
      <c r="G287" t="str">
        <f>'Final list of total hauls pros'!I284</f>
        <v>DEN</v>
      </c>
      <c r="H287" t="str">
        <f>'Final list of total hauls pros'!L284</f>
        <v>21-24</v>
      </c>
      <c r="I287" t="str">
        <f t="shared" si="116"/>
        <v>GFR (SD 21-24)</v>
      </c>
      <c r="K287" s="20" t="str">
        <f t="shared" si="117"/>
        <v/>
      </c>
      <c r="L287" s="23"/>
      <c r="M287" s="21" t="str">
        <f t="shared" si="118"/>
        <v/>
      </c>
      <c r="N287" s="23"/>
      <c r="O287" s="21" t="str">
        <f t="shared" si="119"/>
        <v/>
      </c>
      <c r="P287" s="23"/>
      <c r="Q287" s="21" t="str">
        <f t="shared" si="120"/>
        <v/>
      </c>
      <c r="R287" s="23"/>
      <c r="S287" s="21" t="str">
        <f t="shared" si="121"/>
        <v/>
      </c>
      <c r="T287" s="23"/>
      <c r="U287" s="21" t="str">
        <f t="shared" si="122"/>
        <v/>
      </c>
      <c r="V287" s="23"/>
      <c r="W287" s="21" t="str">
        <f t="shared" si="123"/>
        <v/>
      </c>
      <c r="X287" s="23"/>
      <c r="Y287" s="21">
        <f t="shared" si="124"/>
        <v>1</v>
      </c>
      <c r="Z287" s="23"/>
      <c r="AA287" s="21" t="str">
        <f t="shared" si="125"/>
        <v/>
      </c>
      <c r="AB287" s="23"/>
      <c r="AC287" s="21" t="str">
        <f t="shared" si="126"/>
        <v/>
      </c>
      <c r="AD287" s="23"/>
      <c r="AG287" s="25" t="str">
        <f t="shared" si="127"/>
        <v/>
      </c>
      <c r="AK287" s="10" t="str">
        <f t="shared" si="128"/>
        <v/>
      </c>
      <c r="AL287" s="11" t="str">
        <f t="shared" si="129"/>
        <v/>
      </c>
      <c r="AM287" s="11" t="str">
        <f t="shared" si="130"/>
        <v/>
      </c>
      <c r="AN287" s="11" t="str">
        <f t="shared" si="131"/>
        <v/>
      </c>
      <c r="AO287" s="11" t="str">
        <f t="shared" si="132"/>
        <v/>
      </c>
      <c r="AP287" s="11" t="str">
        <f t="shared" si="133"/>
        <v/>
      </c>
      <c r="AQ287" s="11" t="str">
        <f t="shared" si="134"/>
        <v/>
      </c>
      <c r="AR287" s="11">
        <f t="shared" si="135"/>
        <v>1</v>
      </c>
      <c r="AS287" s="11" t="str">
        <f t="shared" si="136"/>
        <v/>
      </c>
      <c r="AT287" s="12" t="str">
        <f t="shared" si="137"/>
        <v/>
      </c>
    </row>
    <row r="288" spans="1:46" ht="18.75" x14ac:dyDescent="0.25">
      <c r="A288" s="5" t="s">
        <v>26</v>
      </c>
      <c r="B288" t="str">
        <f>'Final list of total hauls pros'!M285</f>
        <v>GFR (SD 21-24)</v>
      </c>
      <c r="C288">
        <v>284</v>
      </c>
      <c r="D288">
        <f>'Final list of total hauls pros'!A285</f>
        <v>24281</v>
      </c>
      <c r="E288" t="str">
        <f t="shared" si="138"/>
        <v>24</v>
      </c>
      <c r="F288" t="str">
        <f>'Final list of total hauls pros'!B285</f>
        <v>38G2</v>
      </c>
      <c r="G288" t="str">
        <f>'Final list of total hauls pros'!I285</f>
        <v>DEN</v>
      </c>
      <c r="H288" t="str">
        <f>'Final list of total hauls pros'!L285</f>
        <v>21-24</v>
      </c>
      <c r="I288" t="str">
        <f t="shared" si="116"/>
        <v>GFR (SD 21-24)</v>
      </c>
      <c r="K288" s="20" t="str">
        <f t="shared" si="117"/>
        <v/>
      </c>
      <c r="L288" s="23"/>
      <c r="M288" s="21" t="str">
        <f t="shared" si="118"/>
        <v/>
      </c>
      <c r="N288" s="23"/>
      <c r="O288" s="21" t="str">
        <f t="shared" si="119"/>
        <v/>
      </c>
      <c r="P288" s="23"/>
      <c r="Q288" s="21" t="str">
        <f t="shared" si="120"/>
        <v/>
      </c>
      <c r="R288" s="23"/>
      <c r="S288" s="21" t="str">
        <f t="shared" si="121"/>
        <v/>
      </c>
      <c r="T288" s="23"/>
      <c r="U288" s="21" t="str">
        <f t="shared" si="122"/>
        <v/>
      </c>
      <c r="V288" s="23"/>
      <c r="W288" s="21" t="str">
        <f t="shared" si="123"/>
        <v/>
      </c>
      <c r="X288" s="23"/>
      <c r="Y288" s="21">
        <f t="shared" si="124"/>
        <v>1</v>
      </c>
      <c r="Z288" s="23"/>
      <c r="AA288" s="21" t="str">
        <f t="shared" si="125"/>
        <v/>
      </c>
      <c r="AB288" s="23"/>
      <c r="AC288" s="21" t="str">
        <f t="shared" si="126"/>
        <v/>
      </c>
      <c r="AD288" s="23"/>
      <c r="AG288" s="25" t="str">
        <f t="shared" si="127"/>
        <v/>
      </c>
      <c r="AK288" s="10" t="str">
        <f t="shared" si="128"/>
        <v/>
      </c>
      <c r="AL288" s="11" t="str">
        <f t="shared" si="129"/>
        <v/>
      </c>
      <c r="AM288" s="11" t="str">
        <f t="shared" si="130"/>
        <v/>
      </c>
      <c r="AN288" s="11" t="str">
        <f t="shared" si="131"/>
        <v/>
      </c>
      <c r="AO288" s="11" t="str">
        <f t="shared" si="132"/>
        <v/>
      </c>
      <c r="AP288" s="11" t="str">
        <f t="shared" si="133"/>
        <v/>
      </c>
      <c r="AQ288" s="11" t="str">
        <f t="shared" si="134"/>
        <v/>
      </c>
      <c r="AR288" s="11">
        <f t="shared" si="135"/>
        <v>1</v>
      </c>
      <c r="AS288" s="11" t="str">
        <f t="shared" si="136"/>
        <v/>
      </c>
      <c r="AT288" s="12" t="str">
        <f t="shared" si="137"/>
        <v/>
      </c>
    </row>
    <row r="289" spans="1:46" ht="18.75" x14ac:dyDescent="0.25">
      <c r="A289" s="5" t="s">
        <v>26</v>
      </c>
      <c r="B289" t="str">
        <f>'Final list of total hauls pros'!M286</f>
        <v>DEN (SD 25-32)</v>
      </c>
      <c r="C289">
        <v>285</v>
      </c>
      <c r="D289">
        <f>'Final list of total hauls pros'!A286</f>
        <v>25380</v>
      </c>
      <c r="E289" t="str">
        <f t="shared" si="138"/>
        <v>25</v>
      </c>
      <c r="F289" t="str">
        <f>'Final list of total hauls pros'!B286</f>
        <v>40G6</v>
      </c>
      <c r="G289" t="str">
        <f>'Final list of total hauls pros'!I286</f>
        <v>POL</v>
      </c>
      <c r="H289" t="str">
        <f>'Final list of total hauls pros'!L286</f>
        <v>25-32</v>
      </c>
      <c r="I289" t="str">
        <f t="shared" si="116"/>
        <v>DEN (SD 25-32)</v>
      </c>
      <c r="K289" s="20" t="str">
        <f t="shared" si="117"/>
        <v/>
      </c>
      <c r="L289" s="23"/>
      <c r="M289" s="21">
        <f t="shared" si="118"/>
        <v>1</v>
      </c>
      <c r="N289" s="23"/>
      <c r="O289" s="21" t="str">
        <f t="shared" si="119"/>
        <v/>
      </c>
      <c r="P289" s="23"/>
      <c r="Q289" s="21" t="str">
        <f t="shared" si="120"/>
        <v/>
      </c>
      <c r="R289" s="23"/>
      <c r="S289" s="21" t="str">
        <f t="shared" si="121"/>
        <v/>
      </c>
      <c r="T289" s="23"/>
      <c r="U289" s="21" t="str">
        <f t="shared" si="122"/>
        <v/>
      </c>
      <c r="V289" s="23"/>
      <c r="W289" s="21" t="str">
        <f t="shared" si="123"/>
        <v/>
      </c>
      <c r="X289" s="23"/>
      <c r="Y289" s="21" t="str">
        <f t="shared" si="124"/>
        <v/>
      </c>
      <c r="Z289" s="23"/>
      <c r="AA289" s="21" t="str">
        <f t="shared" si="125"/>
        <v/>
      </c>
      <c r="AB289" s="23"/>
      <c r="AC289" s="21" t="str">
        <f t="shared" si="126"/>
        <v/>
      </c>
      <c r="AD289" s="23"/>
      <c r="AG289" s="25" t="str">
        <f t="shared" si="127"/>
        <v/>
      </c>
      <c r="AK289" s="10" t="str">
        <f t="shared" si="128"/>
        <v/>
      </c>
      <c r="AL289" s="11">
        <f t="shared" si="129"/>
        <v>1</v>
      </c>
      <c r="AM289" s="11" t="str">
        <f t="shared" si="130"/>
        <v/>
      </c>
      <c r="AN289" s="11" t="str">
        <f t="shared" si="131"/>
        <v/>
      </c>
      <c r="AO289" s="11" t="str">
        <f t="shared" si="132"/>
        <v/>
      </c>
      <c r="AP289" s="11" t="str">
        <f t="shared" si="133"/>
        <v/>
      </c>
      <c r="AQ289" s="11" t="str">
        <f t="shared" si="134"/>
        <v/>
      </c>
      <c r="AR289" s="11" t="str">
        <f t="shared" si="135"/>
        <v/>
      </c>
      <c r="AS289" s="11" t="str">
        <f t="shared" si="136"/>
        <v/>
      </c>
      <c r="AT289" s="12" t="str">
        <f t="shared" si="137"/>
        <v/>
      </c>
    </row>
    <row r="290" spans="1:46" ht="18.75" x14ac:dyDescent="0.25">
      <c r="A290" s="5" t="s">
        <v>26</v>
      </c>
      <c r="B290" t="str">
        <f>'Final list of total hauls pros'!M287</f>
        <v>DEN (SD 25-32)</v>
      </c>
      <c r="C290">
        <v>286</v>
      </c>
      <c r="D290">
        <f>'Final list of total hauls pros'!A287</f>
        <v>25403</v>
      </c>
      <c r="E290" t="str">
        <f t="shared" si="138"/>
        <v>25</v>
      </c>
      <c r="F290" t="str">
        <f>'Final list of total hauls pros'!B287</f>
        <v>40G6</v>
      </c>
      <c r="G290" t="str">
        <f>'Final list of total hauls pros'!I287</f>
        <v>SWE</v>
      </c>
      <c r="H290" t="str">
        <f>'Final list of total hauls pros'!L287</f>
        <v>25-32</v>
      </c>
      <c r="I290" t="str">
        <f t="shared" si="116"/>
        <v>SWE (SD 25-32)</v>
      </c>
      <c r="K290" s="20" t="str">
        <f t="shared" si="117"/>
        <v/>
      </c>
      <c r="L290" s="23"/>
      <c r="M290" s="21" t="str">
        <f t="shared" si="118"/>
        <v/>
      </c>
      <c r="N290" s="23" t="s">
        <v>132</v>
      </c>
      <c r="O290" s="21">
        <f t="shared" si="119"/>
        <v>1</v>
      </c>
      <c r="P290" s="23" t="s">
        <v>138</v>
      </c>
      <c r="Q290" s="21" t="str">
        <f t="shared" si="120"/>
        <v/>
      </c>
      <c r="R290" s="23"/>
      <c r="S290" s="21" t="str">
        <f t="shared" si="121"/>
        <v/>
      </c>
      <c r="T290" s="23"/>
      <c r="U290" s="21" t="str">
        <f t="shared" si="122"/>
        <v/>
      </c>
      <c r="V290" s="23"/>
      <c r="W290" s="21" t="str">
        <f t="shared" si="123"/>
        <v/>
      </c>
      <c r="X290" s="23"/>
      <c r="Y290" s="21" t="str">
        <f t="shared" si="124"/>
        <v/>
      </c>
      <c r="Z290" s="23"/>
      <c r="AA290" s="21" t="str">
        <f t="shared" si="125"/>
        <v/>
      </c>
      <c r="AB290" s="23"/>
      <c r="AC290" s="21" t="str">
        <f t="shared" si="126"/>
        <v/>
      </c>
      <c r="AD290" s="23"/>
      <c r="AG290" s="25" t="str">
        <f t="shared" si="127"/>
        <v/>
      </c>
      <c r="AK290" s="10" t="str">
        <f t="shared" si="128"/>
        <v/>
      </c>
      <c r="AL290" s="11">
        <f t="shared" si="129"/>
        <v>1</v>
      </c>
      <c r="AM290" s="11" t="str">
        <f t="shared" si="130"/>
        <v/>
      </c>
      <c r="AN290" s="11" t="str">
        <f t="shared" si="131"/>
        <v/>
      </c>
      <c r="AO290" s="11" t="str">
        <f t="shared" si="132"/>
        <v/>
      </c>
      <c r="AP290" s="11" t="str">
        <f t="shared" si="133"/>
        <v/>
      </c>
      <c r="AQ290" s="11" t="str">
        <f t="shared" si="134"/>
        <v/>
      </c>
      <c r="AR290" s="11" t="str">
        <f t="shared" si="135"/>
        <v/>
      </c>
      <c r="AS290" s="11" t="str">
        <f t="shared" si="136"/>
        <v/>
      </c>
      <c r="AT290" s="12" t="str">
        <f t="shared" si="137"/>
        <v/>
      </c>
    </row>
    <row r="291" spans="1:46" ht="18.75" x14ac:dyDescent="0.25">
      <c r="A291" s="5" t="s">
        <v>26</v>
      </c>
      <c r="B291" t="str">
        <f>'Final list of total hauls pros'!M288</f>
        <v>SWE (SD 25-32)</v>
      </c>
      <c r="C291">
        <v>287</v>
      </c>
      <c r="D291">
        <f>'Final list of total hauls pros'!A288</f>
        <v>25416</v>
      </c>
      <c r="E291" t="str">
        <f t="shared" si="138"/>
        <v>25</v>
      </c>
      <c r="F291" t="str">
        <f>'Final list of total hauls pros'!B288</f>
        <v>40G4</v>
      </c>
      <c r="G291" t="str">
        <f>'Final list of total hauls pros'!I288</f>
        <v>SWE</v>
      </c>
      <c r="H291" t="str">
        <f>'Final list of total hauls pros'!L288</f>
        <v>25-32</v>
      </c>
      <c r="I291" t="str">
        <f t="shared" si="116"/>
        <v>SWE (SD 25-32)</v>
      </c>
      <c r="K291" s="20" t="str">
        <f t="shared" si="117"/>
        <v/>
      </c>
      <c r="L291" s="23"/>
      <c r="M291" s="21" t="str">
        <f t="shared" si="118"/>
        <v/>
      </c>
      <c r="N291" s="23"/>
      <c r="O291" s="21">
        <f t="shared" si="119"/>
        <v>1</v>
      </c>
      <c r="P291" s="23"/>
      <c r="Q291" s="21" t="str">
        <f t="shared" si="120"/>
        <v/>
      </c>
      <c r="R291" s="23"/>
      <c r="S291" s="21" t="str">
        <f t="shared" si="121"/>
        <v/>
      </c>
      <c r="T291" s="23"/>
      <c r="U291" s="21" t="str">
        <f t="shared" si="122"/>
        <v/>
      </c>
      <c r="V291" s="23"/>
      <c r="W291" s="21" t="str">
        <f t="shared" si="123"/>
        <v/>
      </c>
      <c r="X291" s="23"/>
      <c r="Y291" s="21" t="str">
        <f t="shared" si="124"/>
        <v/>
      </c>
      <c r="Z291" s="23"/>
      <c r="AA291" s="21" t="str">
        <f t="shared" si="125"/>
        <v/>
      </c>
      <c r="AB291" s="23"/>
      <c r="AC291" s="21" t="str">
        <f t="shared" si="126"/>
        <v/>
      </c>
      <c r="AD291" s="23"/>
      <c r="AG291" s="25" t="str">
        <f t="shared" si="127"/>
        <v/>
      </c>
      <c r="AK291" s="10" t="str">
        <f t="shared" si="128"/>
        <v/>
      </c>
      <c r="AL291" s="11" t="str">
        <f t="shared" si="129"/>
        <v/>
      </c>
      <c r="AM291" s="11">
        <f t="shared" si="130"/>
        <v>1</v>
      </c>
      <c r="AN291" s="11" t="str">
        <f t="shared" si="131"/>
        <v/>
      </c>
      <c r="AO291" s="11" t="str">
        <f t="shared" si="132"/>
        <v/>
      </c>
      <c r="AP291" s="11" t="str">
        <f t="shared" si="133"/>
        <v/>
      </c>
      <c r="AQ291" s="11" t="str">
        <f t="shared" si="134"/>
        <v/>
      </c>
      <c r="AR291" s="11" t="str">
        <f t="shared" si="135"/>
        <v/>
      </c>
      <c r="AS291" s="11" t="str">
        <f t="shared" si="136"/>
        <v/>
      </c>
      <c r="AT291" s="12" t="str">
        <f t="shared" si="137"/>
        <v/>
      </c>
    </row>
    <row r="292" spans="1:46" ht="18.75" x14ac:dyDescent="0.25">
      <c r="A292" s="5" t="s">
        <v>26</v>
      </c>
      <c r="B292" t="str">
        <f>'Final list of total hauls pros'!M289</f>
        <v>SWE (SD 25-32)</v>
      </c>
      <c r="C292">
        <v>288</v>
      </c>
      <c r="D292">
        <f>'Final list of total hauls pros'!A289</f>
        <v>25421</v>
      </c>
      <c r="E292" t="str">
        <f t="shared" si="138"/>
        <v>25</v>
      </c>
      <c r="F292" t="str">
        <f>'Final list of total hauls pros'!B289</f>
        <v>40G4</v>
      </c>
      <c r="G292" t="str">
        <f>'Final list of total hauls pros'!I289</f>
        <v>SWE</v>
      </c>
      <c r="H292" t="str">
        <f>'Final list of total hauls pros'!L289</f>
        <v>25-32</v>
      </c>
      <c r="I292" t="str">
        <f t="shared" si="116"/>
        <v>SWE (SD 25-32)</v>
      </c>
      <c r="K292" s="20" t="str">
        <f t="shared" si="117"/>
        <v/>
      </c>
      <c r="L292" s="23"/>
      <c r="M292" s="21" t="str">
        <f t="shared" si="118"/>
        <v/>
      </c>
      <c r="N292" s="23"/>
      <c r="O292" s="21">
        <f t="shared" si="119"/>
        <v>1</v>
      </c>
      <c r="P292" s="23"/>
      <c r="Q292" s="21" t="str">
        <f t="shared" si="120"/>
        <v/>
      </c>
      <c r="R292" s="23"/>
      <c r="S292" s="21" t="str">
        <f t="shared" si="121"/>
        <v/>
      </c>
      <c r="T292" s="23"/>
      <c r="U292" s="21" t="str">
        <f t="shared" si="122"/>
        <v/>
      </c>
      <c r="V292" s="23"/>
      <c r="W292" s="21" t="str">
        <f t="shared" si="123"/>
        <v/>
      </c>
      <c r="X292" s="23"/>
      <c r="Y292" s="21" t="str">
        <f t="shared" si="124"/>
        <v/>
      </c>
      <c r="Z292" s="23"/>
      <c r="AA292" s="21" t="str">
        <f t="shared" si="125"/>
        <v/>
      </c>
      <c r="AB292" s="23"/>
      <c r="AC292" s="21" t="str">
        <f t="shared" si="126"/>
        <v/>
      </c>
      <c r="AD292" s="23"/>
      <c r="AG292" s="25" t="str">
        <f t="shared" si="127"/>
        <v/>
      </c>
      <c r="AK292" s="10" t="str">
        <f t="shared" si="128"/>
        <v/>
      </c>
      <c r="AL292" s="11" t="str">
        <f t="shared" si="129"/>
        <v/>
      </c>
      <c r="AM292" s="11">
        <f t="shared" si="130"/>
        <v>1</v>
      </c>
      <c r="AN292" s="11" t="str">
        <f t="shared" si="131"/>
        <v/>
      </c>
      <c r="AO292" s="11" t="str">
        <f t="shared" si="132"/>
        <v/>
      </c>
      <c r="AP292" s="11" t="str">
        <f t="shared" si="133"/>
        <v/>
      </c>
      <c r="AQ292" s="11" t="str">
        <f t="shared" si="134"/>
        <v/>
      </c>
      <c r="AR292" s="11" t="str">
        <f t="shared" si="135"/>
        <v/>
      </c>
      <c r="AS292" s="11" t="str">
        <f t="shared" si="136"/>
        <v/>
      </c>
      <c r="AT292" s="12" t="str">
        <f t="shared" si="137"/>
        <v/>
      </c>
    </row>
    <row r="293" spans="1:46" ht="18.75" x14ac:dyDescent="0.25">
      <c r="A293" s="5" t="s">
        <v>26</v>
      </c>
      <c r="B293" t="str">
        <f>'Final list of total hauls pros'!M290</f>
        <v>POL (SD 25-32)</v>
      </c>
      <c r="C293">
        <v>289</v>
      </c>
      <c r="D293">
        <f>'Final list of total hauls pros'!A290</f>
        <v>26086</v>
      </c>
      <c r="E293" t="str">
        <f t="shared" si="138"/>
        <v>26</v>
      </c>
      <c r="F293" t="str">
        <f>'Final list of total hauls pros'!B290</f>
        <v>38G8</v>
      </c>
      <c r="G293" t="str">
        <f>'Final list of total hauls pros'!I290</f>
        <v>POL</v>
      </c>
      <c r="H293" t="str">
        <f>'Final list of total hauls pros'!L290</f>
        <v>25-32</v>
      </c>
      <c r="I293" t="str">
        <f t="shared" si="116"/>
        <v>POL (SD 25-32)</v>
      </c>
      <c r="K293" s="20" t="str">
        <f t="shared" si="117"/>
        <v/>
      </c>
      <c r="L293" s="23"/>
      <c r="M293" s="21" t="str">
        <f t="shared" si="118"/>
        <v/>
      </c>
      <c r="N293" s="23"/>
      <c r="O293" s="21" t="str">
        <f t="shared" si="119"/>
        <v/>
      </c>
      <c r="P293" s="23"/>
      <c r="Q293" s="21" t="str">
        <f t="shared" si="120"/>
        <v/>
      </c>
      <c r="R293" s="23"/>
      <c r="S293" s="21">
        <f t="shared" si="121"/>
        <v>1</v>
      </c>
      <c r="T293" s="23"/>
      <c r="U293" s="21" t="str">
        <f t="shared" si="122"/>
        <v/>
      </c>
      <c r="V293" s="23"/>
      <c r="W293" s="21" t="str">
        <f t="shared" si="123"/>
        <v/>
      </c>
      <c r="X293" s="23"/>
      <c r="Y293" s="21" t="str">
        <f t="shared" si="124"/>
        <v/>
      </c>
      <c r="Z293" s="23"/>
      <c r="AA293" s="21" t="str">
        <f t="shared" si="125"/>
        <v/>
      </c>
      <c r="AB293" s="23"/>
      <c r="AC293" s="21" t="str">
        <f t="shared" si="126"/>
        <v/>
      </c>
      <c r="AD293" s="23"/>
      <c r="AG293" s="25" t="str">
        <f t="shared" si="127"/>
        <v/>
      </c>
      <c r="AK293" s="10" t="str">
        <f t="shared" si="128"/>
        <v/>
      </c>
      <c r="AL293" s="11" t="str">
        <f t="shared" si="129"/>
        <v/>
      </c>
      <c r="AM293" s="11" t="str">
        <f t="shared" si="130"/>
        <v/>
      </c>
      <c r="AN293" s="11" t="str">
        <f t="shared" si="131"/>
        <v/>
      </c>
      <c r="AO293" s="11">
        <f t="shared" si="132"/>
        <v>1</v>
      </c>
      <c r="AP293" s="11" t="str">
        <f t="shared" si="133"/>
        <v/>
      </c>
      <c r="AQ293" s="11" t="str">
        <f t="shared" si="134"/>
        <v/>
      </c>
      <c r="AR293" s="11" t="str">
        <f t="shared" si="135"/>
        <v/>
      </c>
      <c r="AS293" s="11" t="str">
        <f t="shared" si="136"/>
        <v/>
      </c>
      <c r="AT293" s="12" t="str">
        <f t="shared" si="137"/>
        <v/>
      </c>
    </row>
    <row r="294" spans="1:46" ht="18.75" x14ac:dyDescent="0.25">
      <c r="A294" s="5" t="s">
        <v>26</v>
      </c>
      <c r="B294" t="str">
        <f>'Final list of total hauls pros'!M291</f>
        <v>LAT (SD 25-32)</v>
      </c>
      <c r="C294">
        <v>290</v>
      </c>
      <c r="D294">
        <f>'Final list of total hauls pros'!A291</f>
        <v>26160</v>
      </c>
      <c r="E294" t="str">
        <f t="shared" si="138"/>
        <v>26</v>
      </c>
      <c r="F294" t="str">
        <f>'Final list of total hauls pros'!B291</f>
        <v>41H0</v>
      </c>
      <c r="G294" t="str">
        <f>'Final list of total hauls pros'!I291</f>
        <v>LAT</v>
      </c>
      <c r="H294" t="str">
        <f>'Final list of total hauls pros'!L291</f>
        <v>25-32</v>
      </c>
      <c r="I294" t="str">
        <f t="shared" si="116"/>
        <v>POL (SD 25-32)</v>
      </c>
      <c r="K294" s="20" t="str">
        <f t="shared" si="117"/>
        <v/>
      </c>
      <c r="L294" s="23"/>
      <c r="M294" s="21" t="str">
        <f t="shared" si="118"/>
        <v/>
      </c>
      <c r="N294" s="23"/>
      <c r="O294" s="21" t="str">
        <f t="shared" si="119"/>
        <v/>
      </c>
      <c r="P294" s="23"/>
      <c r="Q294" s="21" t="str">
        <f t="shared" si="120"/>
        <v/>
      </c>
      <c r="R294" s="23"/>
      <c r="S294" s="21">
        <f t="shared" si="121"/>
        <v>1</v>
      </c>
      <c r="T294" s="23" t="s">
        <v>138</v>
      </c>
      <c r="U294" s="21" t="str">
        <f t="shared" si="122"/>
        <v/>
      </c>
      <c r="V294" s="23" t="s">
        <v>132</v>
      </c>
      <c r="W294" s="21" t="str">
        <f t="shared" si="123"/>
        <v/>
      </c>
      <c r="X294" s="23"/>
      <c r="Y294" s="21" t="str">
        <f t="shared" si="124"/>
        <v/>
      </c>
      <c r="Z294" s="23"/>
      <c r="AA294" s="21" t="str">
        <f t="shared" si="125"/>
        <v/>
      </c>
      <c r="AB294" s="23"/>
      <c r="AC294" s="21" t="str">
        <f t="shared" si="126"/>
        <v/>
      </c>
      <c r="AD294" s="23"/>
      <c r="AG294" s="25" t="str">
        <f t="shared" si="127"/>
        <v/>
      </c>
      <c r="AK294" s="10" t="str">
        <f t="shared" si="128"/>
        <v/>
      </c>
      <c r="AL294" s="11" t="str">
        <f t="shared" si="129"/>
        <v/>
      </c>
      <c r="AM294" s="11" t="str">
        <f t="shared" si="130"/>
        <v/>
      </c>
      <c r="AN294" s="11" t="str">
        <f t="shared" si="131"/>
        <v/>
      </c>
      <c r="AO294" s="11" t="str">
        <f t="shared" si="132"/>
        <v/>
      </c>
      <c r="AP294" s="11">
        <f t="shared" si="133"/>
        <v>1</v>
      </c>
      <c r="AQ294" s="11" t="str">
        <f t="shared" si="134"/>
        <v/>
      </c>
      <c r="AR294" s="11" t="str">
        <f t="shared" si="135"/>
        <v/>
      </c>
      <c r="AS294" s="11" t="str">
        <f t="shared" si="136"/>
        <v/>
      </c>
      <c r="AT294" s="12" t="str">
        <f t="shared" si="137"/>
        <v/>
      </c>
    </row>
    <row r="295" spans="1:46" ht="18.75" x14ac:dyDescent="0.25">
      <c r="A295" s="5" t="s">
        <v>26</v>
      </c>
      <c r="B295" t="str">
        <f>'Final list of total hauls pros'!M292</f>
        <v>POL (SD 25-32)</v>
      </c>
      <c r="C295">
        <v>291</v>
      </c>
      <c r="D295">
        <f>'Final list of total hauls pros'!A292</f>
        <v>26164</v>
      </c>
      <c r="E295" t="str">
        <f t="shared" si="138"/>
        <v>26</v>
      </c>
      <c r="F295" t="str">
        <f>'Final list of total hauls pros'!B292</f>
        <v>40G8</v>
      </c>
      <c r="G295" t="str">
        <f>'Final list of total hauls pros'!I292</f>
        <v>POL</v>
      </c>
      <c r="H295" t="str">
        <f>'Final list of total hauls pros'!L292</f>
        <v>25-32</v>
      </c>
      <c r="I295" t="str">
        <f t="shared" si="116"/>
        <v>DEN (SD 25-32)</v>
      </c>
      <c r="K295" s="20" t="str">
        <f t="shared" si="117"/>
        <v/>
      </c>
      <c r="L295" s="23"/>
      <c r="M295" s="21">
        <f t="shared" si="118"/>
        <v>1</v>
      </c>
      <c r="N295" s="23" t="s">
        <v>138</v>
      </c>
      <c r="O295" s="21" t="str">
        <f t="shared" si="119"/>
        <v/>
      </c>
      <c r="P295" s="23"/>
      <c r="Q295" s="21" t="str">
        <f t="shared" si="120"/>
        <v/>
      </c>
      <c r="R295" s="23"/>
      <c r="S295" s="21" t="str">
        <f t="shared" si="121"/>
        <v/>
      </c>
      <c r="T295" s="23" t="s">
        <v>132</v>
      </c>
      <c r="U295" s="21" t="str">
        <f t="shared" si="122"/>
        <v/>
      </c>
      <c r="V295" s="23"/>
      <c r="W295" s="21" t="str">
        <f t="shared" si="123"/>
        <v/>
      </c>
      <c r="X295" s="23"/>
      <c r="Y295" s="21" t="str">
        <f t="shared" si="124"/>
        <v/>
      </c>
      <c r="Z295" s="23"/>
      <c r="AA295" s="21" t="str">
        <f t="shared" si="125"/>
        <v/>
      </c>
      <c r="AB295" s="23"/>
      <c r="AC295" s="21" t="str">
        <f t="shared" si="126"/>
        <v/>
      </c>
      <c r="AD295" s="23"/>
      <c r="AG295" s="25" t="str">
        <f t="shared" si="127"/>
        <v/>
      </c>
      <c r="AK295" s="10" t="str">
        <f t="shared" si="128"/>
        <v/>
      </c>
      <c r="AL295" s="11" t="str">
        <f t="shared" si="129"/>
        <v/>
      </c>
      <c r="AM295" s="11" t="str">
        <f t="shared" si="130"/>
        <v/>
      </c>
      <c r="AN295" s="11" t="str">
        <f t="shared" si="131"/>
        <v/>
      </c>
      <c r="AO295" s="11">
        <f t="shared" si="132"/>
        <v>1</v>
      </c>
      <c r="AP295" s="11" t="str">
        <f t="shared" si="133"/>
        <v/>
      </c>
      <c r="AQ295" s="11" t="str">
        <f t="shared" si="134"/>
        <v/>
      </c>
      <c r="AR295" s="11" t="str">
        <f t="shared" si="135"/>
        <v/>
      </c>
      <c r="AS295" s="11" t="str">
        <f t="shared" si="136"/>
        <v/>
      </c>
      <c r="AT295" s="12" t="str">
        <f t="shared" si="137"/>
        <v/>
      </c>
    </row>
    <row r="296" spans="1:46" ht="18.75" x14ac:dyDescent="0.25">
      <c r="A296" s="5" t="s">
        <v>26</v>
      </c>
      <c r="B296" t="str">
        <f>'Final list of total hauls pros'!M293</f>
        <v>POL (SD 25-32)</v>
      </c>
      <c r="C296">
        <v>292</v>
      </c>
      <c r="D296">
        <f>'Final list of total hauls pros'!A293</f>
        <v>26287</v>
      </c>
      <c r="E296" t="str">
        <f t="shared" si="138"/>
        <v>26</v>
      </c>
      <c r="F296" t="str">
        <f>'Final list of total hauls pros'!B293</f>
        <v>38G9</v>
      </c>
      <c r="G296" t="str">
        <f>'Final list of total hauls pros'!I293</f>
        <v>POL</v>
      </c>
      <c r="H296" t="str">
        <f>'Final list of total hauls pros'!L293</f>
        <v>25-32</v>
      </c>
      <c r="I296" t="str">
        <f t="shared" si="116"/>
        <v>POL (SD 25-32)</v>
      </c>
      <c r="K296" s="20" t="str">
        <f t="shared" si="117"/>
        <v/>
      </c>
      <c r="L296" s="23"/>
      <c r="M296" s="21" t="str">
        <f t="shared" si="118"/>
        <v/>
      </c>
      <c r="N296" s="23"/>
      <c r="O296" s="21" t="str">
        <f t="shared" si="119"/>
        <v/>
      </c>
      <c r="P296" s="23"/>
      <c r="Q296" s="21" t="str">
        <f t="shared" si="120"/>
        <v/>
      </c>
      <c r="R296" s="23"/>
      <c r="S296" s="21">
        <f t="shared" si="121"/>
        <v>1</v>
      </c>
      <c r="T296" s="23"/>
      <c r="U296" s="21" t="str">
        <f t="shared" si="122"/>
        <v/>
      </c>
      <c r="V296" s="23"/>
      <c r="W296" s="21" t="str">
        <f t="shared" si="123"/>
        <v/>
      </c>
      <c r="X296" s="23"/>
      <c r="Y296" s="21" t="str">
        <f t="shared" si="124"/>
        <v/>
      </c>
      <c r="Z296" s="23"/>
      <c r="AA296" s="21" t="str">
        <f t="shared" si="125"/>
        <v/>
      </c>
      <c r="AB296" s="23"/>
      <c r="AC296" s="21" t="str">
        <f t="shared" si="126"/>
        <v/>
      </c>
      <c r="AD296" s="23"/>
      <c r="AG296" s="25" t="str">
        <f t="shared" si="127"/>
        <v/>
      </c>
      <c r="AK296" s="10" t="str">
        <f t="shared" si="128"/>
        <v/>
      </c>
      <c r="AL296" s="11" t="str">
        <f t="shared" si="129"/>
        <v/>
      </c>
      <c r="AM296" s="11" t="str">
        <f t="shared" si="130"/>
        <v/>
      </c>
      <c r="AN296" s="11" t="str">
        <f t="shared" si="131"/>
        <v/>
      </c>
      <c r="AO296" s="11">
        <f t="shared" si="132"/>
        <v>1</v>
      </c>
      <c r="AP296" s="11" t="str">
        <f t="shared" si="133"/>
        <v/>
      </c>
      <c r="AQ296" s="11" t="str">
        <f t="shared" si="134"/>
        <v/>
      </c>
      <c r="AR296" s="11" t="str">
        <f t="shared" si="135"/>
        <v/>
      </c>
      <c r="AS296" s="11" t="str">
        <f t="shared" si="136"/>
        <v/>
      </c>
      <c r="AT296" s="12" t="str">
        <f t="shared" si="137"/>
        <v/>
      </c>
    </row>
    <row r="297" spans="1:46" ht="18.75" x14ac:dyDescent="0.25">
      <c r="A297" s="5" t="s">
        <v>26</v>
      </c>
      <c r="B297" t="str">
        <f>'Final list of total hauls pros'!M294</f>
        <v>LAT (SD 25-32)</v>
      </c>
      <c r="C297">
        <v>293</v>
      </c>
      <c r="D297">
        <f>'Final list of total hauls pros'!A294</f>
        <v>28011</v>
      </c>
      <c r="E297" t="str">
        <f t="shared" si="138"/>
        <v>28</v>
      </c>
      <c r="F297" t="str">
        <f>'Final list of total hauls pros'!B294</f>
        <v>42H0</v>
      </c>
      <c r="G297" t="str">
        <f>'Final list of total hauls pros'!I294</f>
        <v>LAT</v>
      </c>
      <c r="H297" t="str">
        <f>'Final list of total hauls pros'!L294</f>
        <v>25-32</v>
      </c>
      <c r="I297" t="str">
        <f t="shared" si="116"/>
        <v>LAT (SD 25-32)</v>
      </c>
      <c r="K297" s="20" t="str">
        <f t="shared" si="117"/>
        <v/>
      </c>
      <c r="L297" s="23"/>
      <c r="M297" s="21" t="str">
        <f t="shared" si="118"/>
        <v/>
      </c>
      <c r="N297" s="23"/>
      <c r="O297" s="21" t="str">
        <f t="shared" si="119"/>
        <v/>
      </c>
      <c r="P297" s="23"/>
      <c r="Q297" s="21" t="str">
        <f t="shared" si="120"/>
        <v/>
      </c>
      <c r="R297" s="23"/>
      <c r="S297" s="21" t="str">
        <f t="shared" si="121"/>
        <v/>
      </c>
      <c r="T297" s="23"/>
      <c r="U297" s="21">
        <f t="shared" si="122"/>
        <v>1</v>
      </c>
      <c r="V297" s="23"/>
      <c r="W297" s="21" t="str">
        <f t="shared" si="123"/>
        <v/>
      </c>
      <c r="X297" s="23"/>
      <c r="Y297" s="21" t="str">
        <f t="shared" si="124"/>
        <v/>
      </c>
      <c r="Z297" s="23"/>
      <c r="AA297" s="21" t="str">
        <f t="shared" si="125"/>
        <v/>
      </c>
      <c r="AB297" s="23"/>
      <c r="AC297" s="21" t="str">
        <f t="shared" si="126"/>
        <v/>
      </c>
      <c r="AD297" s="23"/>
      <c r="AG297" s="25" t="str">
        <f t="shared" si="127"/>
        <v/>
      </c>
      <c r="AK297" s="10" t="str">
        <f t="shared" si="128"/>
        <v/>
      </c>
      <c r="AL297" s="11" t="str">
        <f t="shared" si="129"/>
        <v/>
      </c>
      <c r="AM297" s="11" t="str">
        <f t="shared" si="130"/>
        <v/>
      </c>
      <c r="AN297" s="11" t="str">
        <f t="shared" si="131"/>
        <v/>
      </c>
      <c r="AO297" s="11" t="str">
        <f t="shared" si="132"/>
        <v/>
      </c>
      <c r="AP297" s="11">
        <f t="shared" si="133"/>
        <v>1</v>
      </c>
      <c r="AQ297" s="11" t="str">
        <f t="shared" si="134"/>
        <v/>
      </c>
      <c r="AR297" s="11" t="str">
        <f t="shared" si="135"/>
        <v/>
      </c>
      <c r="AS297" s="11" t="str">
        <f t="shared" si="136"/>
        <v/>
      </c>
      <c r="AT297" s="12" t="str">
        <f t="shared" si="137"/>
        <v/>
      </c>
    </row>
    <row r="298" spans="1:46" ht="18.75" x14ac:dyDescent="0.25">
      <c r="A298" s="5" t="s">
        <v>26</v>
      </c>
      <c r="B298" t="str">
        <f>'Final list of total hauls pros'!M295</f>
        <v>LAT (SD 25-32)</v>
      </c>
      <c r="C298">
        <v>294</v>
      </c>
      <c r="D298">
        <f>'Final list of total hauls pros'!A295</f>
        <v>28160</v>
      </c>
      <c r="E298" t="str">
        <f t="shared" si="138"/>
        <v>28</v>
      </c>
      <c r="F298" t="str">
        <f>'Final list of total hauls pros'!B295</f>
        <v>42H0</v>
      </c>
      <c r="G298" t="str">
        <f>'Final list of total hauls pros'!I295</f>
        <v>LAT</v>
      </c>
      <c r="H298" t="str">
        <f>'Final list of total hauls pros'!L295</f>
        <v>25-32</v>
      </c>
      <c r="I298" t="str">
        <f t="shared" si="116"/>
        <v>LAT (SD 25-32)</v>
      </c>
      <c r="K298" s="20" t="str">
        <f t="shared" si="117"/>
        <v/>
      </c>
      <c r="L298" s="23"/>
      <c r="M298" s="21" t="str">
        <f t="shared" si="118"/>
        <v/>
      </c>
      <c r="N298" s="23"/>
      <c r="O298" s="21" t="str">
        <f t="shared" si="119"/>
        <v/>
      </c>
      <c r="P298" s="23"/>
      <c r="Q298" s="21" t="str">
        <f t="shared" si="120"/>
        <v/>
      </c>
      <c r="R298" s="23"/>
      <c r="S298" s="21" t="str">
        <f t="shared" si="121"/>
        <v/>
      </c>
      <c r="T298" s="23"/>
      <c r="U298" s="21">
        <f t="shared" si="122"/>
        <v>1</v>
      </c>
      <c r="V298" s="23"/>
      <c r="W298" s="21" t="str">
        <f t="shared" si="123"/>
        <v/>
      </c>
      <c r="X298" s="23"/>
      <c r="Y298" s="21" t="str">
        <f t="shared" si="124"/>
        <v/>
      </c>
      <c r="Z298" s="23"/>
      <c r="AA298" s="21" t="str">
        <f t="shared" si="125"/>
        <v/>
      </c>
      <c r="AB298" s="23"/>
      <c r="AC298" s="21" t="str">
        <f t="shared" si="126"/>
        <v/>
      </c>
      <c r="AD298" s="23"/>
      <c r="AG298" s="25" t="str">
        <f t="shared" si="127"/>
        <v/>
      </c>
      <c r="AK298" s="10" t="str">
        <f t="shared" si="128"/>
        <v/>
      </c>
      <c r="AL298" s="11" t="str">
        <f t="shared" si="129"/>
        <v/>
      </c>
      <c r="AM298" s="11" t="str">
        <f t="shared" si="130"/>
        <v/>
      </c>
      <c r="AN298" s="11" t="str">
        <f t="shared" si="131"/>
        <v/>
      </c>
      <c r="AO298" s="11" t="str">
        <f t="shared" si="132"/>
        <v/>
      </c>
      <c r="AP298" s="11">
        <f t="shared" si="133"/>
        <v>1</v>
      </c>
      <c r="AQ298" s="11" t="str">
        <f t="shared" si="134"/>
        <v/>
      </c>
      <c r="AR298" s="11" t="str">
        <f t="shared" si="135"/>
        <v/>
      </c>
      <c r="AS298" s="11" t="str">
        <f t="shared" si="136"/>
        <v/>
      </c>
      <c r="AT298" s="12" t="str">
        <f t="shared" si="137"/>
        <v/>
      </c>
    </row>
    <row r="299" spans="1:46" ht="18.75" x14ac:dyDescent="0.25">
      <c r="A299" s="5" t="s">
        <v>26</v>
      </c>
      <c r="B299" t="str">
        <f>'Final list of total hauls pros'!M296</f>
        <v>LAT (SD 25-32)</v>
      </c>
      <c r="C299">
        <v>295</v>
      </c>
      <c r="D299">
        <f>'Final list of total hauls pros'!A296</f>
        <v>28173</v>
      </c>
      <c r="E299" t="str">
        <f t="shared" si="138"/>
        <v>28</v>
      </c>
      <c r="F299" t="str">
        <f>'Final list of total hauls pros'!B296</f>
        <v>42H0</v>
      </c>
      <c r="G299" t="str">
        <f>'Final list of total hauls pros'!I296</f>
        <v>LAT</v>
      </c>
      <c r="H299" t="str">
        <f>'Final list of total hauls pros'!L296</f>
        <v>25-32</v>
      </c>
      <c r="I299" t="str">
        <f t="shared" si="116"/>
        <v>LAT (SD 25-32)</v>
      </c>
      <c r="K299" s="20" t="str">
        <f t="shared" si="117"/>
        <v/>
      </c>
      <c r="L299" s="23"/>
      <c r="M299" s="21" t="str">
        <f t="shared" si="118"/>
        <v/>
      </c>
      <c r="N299" s="23"/>
      <c r="O299" s="21" t="str">
        <f t="shared" si="119"/>
        <v/>
      </c>
      <c r="P299" s="23"/>
      <c r="Q299" s="21" t="str">
        <f t="shared" si="120"/>
        <v/>
      </c>
      <c r="R299" s="23"/>
      <c r="S299" s="21" t="str">
        <f t="shared" si="121"/>
        <v/>
      </c>
      <c r="T299" s="23"/>
      <c r="U299" s="21">
        <f t="shared" si="122"/>
        <v>1</v>
      </c>
      <c r="V299" s="23"/>
      <c r="W299" s="21" t="str">
        <f t="shared" si="123"/>
        <v/>
      </c>
      <c r="X299" s="23"/>
      <c r="Y299" s="21" t="str">
        <f t="shared" si="124"/>
        <v/>
      </c>
      <c r="Z299" s="23"/>
      <c r="AA299" s="21" t="str">
        <f t="shared" si="125"/>
        <v/>
      </c>
      <c r="AB299" s="23"/>
      <c r="AC299" s="21" t="str">
        <f t="shared" si="126"/>
        <v/>
      </c>
      <c r="AD299" s="23"/>
      <c r="AG299" s="25" t="str">
        <f t="shared" si="127"/>
        <v/>
      </c>
      <c r="AK299" s="10" t="str">
        <f t="shared" si="128"/>
        <v/>
      </c>
      <c r="AL299" s="11" t="str">
        <f t="shared" si="129"/>
        <v/>
      </c>
      <c r="AM299" s="11" t="str">
        <f t="shared" si="130"/>
        <v/>
      </c>
      <c r="AN299" s="11" t="str">
        <f t="shared" si="131"/>
        <v/>
      </c>
      <c r="AO299" s="11" t="str">
        <f t="shared" si="132"/>
        <v/>
      </c>
      <c r="AP299" s="11">
        <f t="shared" si="133"/>
        <v>1</v>
      </c>
      <c r="AQ299" s="11" t="str">
        <f t="shared" si="134"/>
        <v/>
      </c>
      <c r="AR299" s="11" t="str">
        <f t="shared" si="135"/>
        <v/>
      </c>
      <c r="AS299" s="11" t="str">
        <f t="shared" si="136"/>
        <v/>
      </c>
      <c r="AT299" s="12" t="str">
        <f t="shared" si="137"/>
        <v/>
      </c>
    </row>
    <row r="300" spans="1:46" ht="18.75" hidden="1" x14ac:dyDescent="0.25">
      <c r="A300" s="5" t="s">
        <v>26</v>
      </c>
      <c r="B300">
        <f>'Final list of total hauls pros'!M297</f>
        <v>0</v>
      </c>
      <c r="C300">
        <v>296</v>
      </c>
      <c r="D300">
        <f>'Final list of total hauls pros'!A297</f>
        <v>0</v>
      </c>
      <c r="E300" t="str">
        <f t="shared" si="138"/>
        <v>0</v>
      </c>
      <c r="F300">
        <f>'Final list of total hauls pros'!B297</f>
        <v>0</v>
      </c>
      <c r="G300">
        <f>'Final list of total hauls pros'!I297</f>
        <v>0</v>
      </c>
      <c r="H300">
        <f>'Final list of total hauls pros'!L297</f>
        <v>0</v>
      </c>
      <c r="I300">
        <f t="shared" si="116"/>
        <v>0</v>
      </c>
      <c r="K300" s="20" t="str">
        <f t="shared" si="117"/>
        <v/>
      </c>
      <c r="L300" s="23"/>
      <c r="M300" s="21" t="str">
        <f t="shared" si="118"/>
        <v/>
      </c>
      <c r="N300" s="23"/>
      <c r="O300" s="21" t="str">
        <f t="shared" si="119"/>
        <v/>
      </c>
      <c r="P300" s="23"/>
      <c r="Q300" s="21" t="str">
        <f t="shared" si="120"/>
        <v/>
      </c>
      <c r="R300" s="23"/>
      <c r="S300" s="21" t="str">
        <f t="shared" si="121"/>
        <v/>
      </c>
      <c r="T300" s="23"/>
      <c r="U300" s="21" t="str">
        <f t="shared" si="122"/>
        <v/>
      </c>
      <c r="V300" s="23"/>
      <c r="W300" s="21" t="str">
        <f t="shared" si="123"/>
        <v/>
      </c>
      <c r="X300" s="23"/>
      <c r="Y300" s="21" t="str">
        <f t="shared" si="124"/>
        <v/>
      </c>
      <c r="Z300" s="23"/>
      <c r="AA300" s="21" t="str">
        <f t="shared" si="125"/>
        <v/>
      </c>
      <c r="AB300" s="23"/>
      <c r="AC300" s="21" t="str">
        <f t="shared" si="126"/>
        <v/>
      </c>
      <c r="AD300" s="23"/>
      <c r="AG300" s="25" t="str">
        <f t="shared" si="127"/>
        <v>FEJL</v>
      </c>
      <c r="AK300" s="10" t="str">
        <f t="shared" si="128"/>
        <v/>
      </c>
      <c r="AL300" s="11" t="str">
        <f t="shared" si="129"/>
        <v/>
      </c>
      <c r="AM300" s="11" t="str">
        <f t="shared" si="130"/>
        <v/>
      </c>
      <c r="AN300" s="11" t="str">
        <f t="shared" si="131"/>
        <v/>
      </c>
      <c r="AO300" s="11" t="str">
        <f t="shared" si="132"/>
        <v/>
      </c>
      <c r="AP300" s="11" t="str">
        <f t="shared" si="133"/>
        <v/>
      </c>
      <c r="AQ300" s="11" t="str">
        <f t="shared" si="134"/>
        <v/>
      </c>
      <c r="AR300" s="11" t="str">
        <f t="shared" si="135"/>
        <v/>
      </c>
      <c r="AS300" s="11" t="str">
        <f t="shared" si="136"/>
        <v/>
      </c>
      <c r="AT300" s="12" t="str">
        <f t="shared" si="137"/>
        <v/>
      </c>
    </row>
    <row r="301" spans="1:46" ht="18.75" hidden="1" x14ac:dyDescent="0.25">
      <c r="A301" s="5" t="s">
        <v>26</v>
      </c>
      <c r="B301">
        <f>'Final list of total hauls pros'!M298</f>
        <v>0</v>
      </c>
      <c r="C301">
        <v>297</v>
      </c>
      <c r="D301">
        <f>'Final list of total hauls pros'!A298</f>
        <v>0</v>
      </c>
      <c r="E301" t="str">
        <f t="shared" si="138"/>
        <v>0</v>
      </c>
      <c r="F301">
        <f>'Final list of total hauls pros'!B298</f>
        <v>0</v>
      </c>
      <c r="G301">
        <f>'Final list of total hauls pros'!I298</f>
        <v>0</v>
      </c>
      <c r="H301">
        <f>'Final list of total hauls pros'!L298</f>
        <v>0</v>
      </c>
      <c r="I301">
        <f t="shared" si="116"/>
        <v>0</v>
      </c>
      <c r="K301" s="20" t="str">
        <f t="shared" si="117"/>
        <v/>
      </c>
      <c r="L301" s="23"/>
      <c r="M301" s="21" t="str">
        <f t="shared" si="118"/>
        <v/>
      </c>
      <c r="N301" s="23"/>
      <c r="O301" s="21" t="str">
        <f t="shared" si="119"/>
        <v/>
      </c>
      <c r="P301" s="23"/>
      <c r="Q301" s="21" t="str">
        <f t="shared" si="120"/>
        <v/>
      </c>
      <c r="R301" s="23"/>
      <c r="S301" s="21" t="str">
        <f t="shared" si="121"/>
        <v/>
      </c>
      <c r="T301" s="23"/>
      <c r="U301" s="21" t="str">
        <f t="shared" si="122"/>
        <v/>
      </c>
      <c r="V301" s="23"/>
      <c r="W301" s="21" t="str">
        <f t="shared" si="123"/>
        <v/>
      </c>
      <c r="X301" s="23"/>
      <c r="Y301" s="21" t="str">
        <f t="shared" si="124"/>
        <v/>
      </c>
      <c r="Z301" s="23"/>
      <c r="AA301" s="21" t="str">
        <f t="shared" si="125"/>
        <v/>
      </c>
      <c r="AB301" s="23"/>
      <c r="AC301" s="21" t="str">
        <f t="shared" si="126"/>
        <v/>
      </c>
      <c r="AD301" s="23"/>
      <c r="AG301" s="25" t="str">
        <f t="shared" si="127"/>
        <v>FEJL</v>
      </c>
      <c r="AK301" s="10" t="str">
        <f t="shared" si="128"/>
        <v/>
      </c>
      <c r="AL301" s="11" t="str">
        <f t="shared" si="129"/>
        <v/>
      </c>
      <c r="AM301" s="11" t="str">
        <f t="shared" si="130"/>
        <v/>
      </c>
      <c r="AN301" s="11" t="str">
        <f t="shared" si="131"/>
        <v/>
      </c>
      <c r="AO301" s="11" t="str">
        <f t="shared" si="132"/>
        <v/>
      </c>
      <c r="AP301" s="11" t="str">
        <f t="shared" si="133"/>
        <v/>
      </c>
      <c r="AQ301" s="11" t="str">
        <f t="shared" si="134"/>
        <v/>
      </c>
      <c r="AR301" s="11" t="str">
        <f t="shared" si="135"/>
        <v/>
      </c>
      <c r="AS301" s="11" t="str">
        <f t="shared" si="136"/>
        <v/>
      </c>
      <c r="AT301" s="12" t="str">
        <f t="shared" si="137"/>
        <v/>
      </c>
    </row>
    <row r="302" spans="1:46" ht="18.75" hidden="1" x14ac:dyDescent="0.25">
      <c r="A302" s="5" t="s">
        <v>26</v>
      </c>
      <c r="B302">
        <f>'Final list of total hauls pros'!M299</f>
        <v>0</v>
      </c>
      <c r="C302">
        <v>298</v>
      </c>
      <c r="D302">
        <f>'Final list of total hauls pros'!A299</f>
        <v>0</v>
      </c>
      <c r="E302" t="str">
        <f t="shared" si="138"/>
        <v>0</v>
      </c>
      <c r="F302">
        <f>'Final list of total hauls pros'!B299</f>
        <v>0</v>
      </c>
      <c r="G302">
        <f>'Final list of total hauls pros'!I299</f>
        <v>0</v>
      </c>
      <c r="H302">
        <f>'Final list of total hauls pros'!L299</f>
        <v>0</v>
      </c>
      <c r="I302">
        <f t="shared" si="116"/>
        <v>0</v>
      </c>
      <c r="K302" s="20" t="str">
        <f t="shared" si="117"/>
        <v/>
      </c>
      <c r="L302" s="23"/>
      <c r="M302" s="21" t="str">
        <f t="shared" si="118"/>
        <v/>
      </c>
      <c r="N302" s="23"/>
      <c r="O302" s="21" t="str">
        <f t="shared" si="119"/>
        <v/>
      </c>
      <c r="P302" s="23"/>
      <c r="Q302" s="21" t="str">
        <f t="shared" si="120"/>
        <v/>
      </c>
      <c r="R302" s="23"/>
      <c r="S302" s="21" t="str">
        <f t="shared" si="121"/>
        <v/>
      </c>
      <c r="T302" s="23"/>
      <c r="U302" s="21" t="str">
        <f t="shared" si="122"/>
        <v/>
      </c>
      <c r="V302" s="23"/>
      <c r="W302" s="21" t="str">
        <f t="shared" si="123"/>
        <v/>
      </c>
      <c r="X302" s="23"/>
      <c r="Y302" s="21" t="str">
        <f t="shared" si="124"/>
        <v/>
      </c>
      <c r="Z302" s="23"/>
      <c r="AA302" s="21" t="str">
        <f t="shared" si="125"/>
        <v/>
      </c>
      <c r="AB302" s="23"/>
      <c r="AC302" s="21" t="str">
        <f t="shared" si="126"/>
        <v/>
      </c>
      <c r="AD302" s="23"/>
      <c r="AG302" s="25" t="str">
        <f t="shared" si="127"/>
        <v>FEJL</v>
      </c>
      <c r="AK302" s="10" t="str">
        <f t="shared" si="128"/>
        <v/>
      </c>
      <c r="AL302" s="11" t="str">
        <f t="shared" si="129"/>
        <v/>
      </c>
      <c r="AM302" s="11" t="str">
        <f t="shared" si="130"/>
        <v/>
      </c>
      <c r="AN302" s="11" t="str">
        <f t="shared" si="131"/>
        <v/>
      </c>
      <c r="AO302" s="11" t="str">
        <f t="shared" si="132"/>
        <v/>
      </c>
      <c r="AP302" s="11" t="str">
        <f t="shared" si="133"/>
        <v/>
      </c>
      <c r="AQ302" s="11" t="str">
        <f t="shared" si="134"/>
        <v/>
      </c>
      <c r="AR302" s="11" t="str">
        <f t="shared" si="135"/>
        <v/>
      </c>
      <c r="AS302" s="11" t="str">
        <f t="shared" si="136"/>
        <v/>
      </c>
      <c r="AT302" s="12" t="str">
        <f t="shared" si="137"/>
        <v/>
      </c>
    </row>
    <row r="303" spans="1:46" ht="18.75" hidden="1" x14ac:dyDescent="0.25">
      <c r="A303" s="5" t="s">
        <v>26</v>
      </c>
      <c r="B303">
        <f>'Final list of total hauls pros'!M300</f>
        <v>0</v>
      </c>
      <c r="C303">
        <v>299</v>
      </c>
      <c r="D303">
        <f>'Final list of total hauls pros'!A300</f>
        <v>0</v>
      </c>
      <c r="E303" t="str">
        <f t="shared" si="138"/>
        <v>0</v>
      </c>
      <c r="F303">
        <f>'Final list of total hauls pros'!B300</f>
        <v>0</v>
      </c>
      <c r="G303">
        <f>'Final list of total hauls pros'!I300</f>
        <v>0</v>
      </c>
      <c r="H303">
        <f>'Final list of total hauls pros'!L300</f>
        <v>0</v>
      </c>
      <c r="I303">
        <f t="shared" si="116"/>
        <v>0</v>
      </c>
      <c r="K303" s="20" t="str">
        <f t="shared" si="117"/>
        <v/>
      </c>
      <c r="L303" s="23"/>
      <c r="M303" s="21" t="str">
        <f t="shared" si="118"/>
        <v/>
      </c>
      <c r="N303" s="23"/>
      <c r="O303" s="21" t="str">
        <f t="shared" si="119"/>
        <v/>
      </c>
      <c r="P303" s="23"/>
      <c r="Q303" s="21" t="str">
        <f t="shared" si="120"/>
        <v/>
      </c>
      <c r="R303" s="23"/>
      <c r="S303" s="21" t="str">
        <f t="shared" si="121"/>
        <v/>
      </c>
      <c r="T303" s="23"/>
      <c r="U303" s="21" t="str">
        <f t="shared" si="122"/>
        <v/>
      </c>
      <c r="V303" s="23"/>
      <c r="W303" s="21" t="str">
        <f t="shared" si="123"/>
        <v/>
      </c>
      <c r="X303" s="23"/>
      <c r="Y303" s="21" t="str">
        <f t="shared" si="124"/>
        <v/>
      </c>
      <c r="Z303" s="23"/>
      <c r="AA303" s="21" t="str">
        <f t="shared" si="125"/>
        <v/>
      </c>
      <c r="AB303" s="23"/>
      <c r="AC303" s="21" t="str">
        <f t="shared" si="126"/>
        <v/>
      </c>
      <c r="AD303" s="23"/>
      <c r="AG303" s="25" t="str">
        <f t="shared" si="127"/>
        <v>FEJL</v>
      </c>
      <c r="AK303" s="10" t="str">
        <f t="shared" si="128"/>
        <v/>
      </c>
      <c r="AL303" s="11" t="str">
        <f t="shared" si="129"/>
        <v/>
      </c>
      <c r="AM303" s="11" t="str">
        <f t="shared" si="130"/>
        <v/>
      </c>
      <c r="AN303" s="11" t="str">
        <f t="shared" si="131"/>
        <v/>
      </c>
      <c r="AO303" s="11" t="str">
        <f t="shared" si="132"/>
        <v/>
      </c>
      <c r="AP303" s="11" t="str">
        <f t="shared" si="133"/>
        <v/>
      </c>
      <c r="AQ303" s="11" t="str">
        <f t="shared" si="134"/>
        <v/>
      </c>
      <c r="AR303" s="11" t="str">
        <f t="shared" si="135"/>
        <v/>
      </c>
      <c r="AS303" s="11" t="str">
        <f t="shared" si="136"/>
        <v/>
      </c>
      <c r="AT303" s="12" t="str">
        <f t="shared" si="137"/>
        <v/>
      </c>
    </row>
    <row r="304" spans="1:46" ht="18.75" hidden="1" x14ac:dyDescent="0.25">
      <c r="A304" s="5" t="s">
        <v>26</v>
      </c>
      <c r="B304">
        <f>'Final list of total hauls pros'!M301</f>
        <v>0</v>
      </c>
      <c r="C304">
        <v>300</v>
      </c>
      <c r="D304">
        <f>'Final list of total hauls pros'!A301</f>
        <v>0</v>
      </c>
      <c r="E304" t="str">
        <f t="shared" si="138"/>
        <v>0</v>
      </c>
      <c r="F304">
        <f>'Final list of total hauls pros'!B301</f>
        <v>0</v>
      </c>
      <c r="G304">
        <f>'Final list of total hauls pros'!I301</f>
        <v>0</v>
      </c>
      <c r="H304">
        <f>'Final list of total hauls pros'!L301</f>
        <v>0</v>
      </c>
      <c r="I304">
        <f t="shared" si="116"/>
        <v>0</v>
      </c>
      <c r="K304" s="20" t="str">
        <f t="shared" si="117"/>
        <v/>
      </c>
      <c r="L304" s="23"/>
      <c r="M304" s="21" t="str">
        <f t="shared" si="118"/>
        <v/>
      </c>
      <c r="N304" s="23"/>
      <c r="O304" s="21" t="str">
        <f t="shared" si="119"/>
        <v/>
      </c>
      <c r="P304" s="23"/>
      <c r="Q304" s="21" t="str">
        <f t="shared" si="120"/>
        <v/>
      </c>
      <c r="R304" s="23"/>
      <c r="S304" s="21" t="str">
        <f t="shared" si="121"/>
        <v/>
      </c>
      <c r="T304" s="23"/>
      <c r="U304" s="21" t="str">
        <f t="shared" si="122"/>
        <v/>
      </c>
      <c r="V304" s="23"/>
      <c r="W304" s="21" t="str">
        <f t="shared" si="123"/>
        <v/>
      </c>
      <c r="X304" s="23"/>
      <c r="Y304" s="21" t="str">
        <f t="shared" si="124"/>
        <v/>
      </c>
      <c r="Z304" s="23"/>
      <c r="AA304" s="21" t="str">
        <f t="shared" si="125"/>
        <v/>
      </c>
      <c r="AB304" s="23"/>
      <c r="AC304" s="21" t="str">
        <f t="shared" si="126"/>
        <v/>
      </c>
      <c r="AD304" s="23"/>
      <c r="AG304" s="25" t="str">
        <f t="shared" si="127"/>
        <v>FEJL</v>
      </c>
      <c r="AK304" s="10" t="str">
        <f t="shared" si="128"/>
        <v/>
      </c>
      <c r="AL304" s="11" t="str">
        <f t="shared" si="129"/>
        <v/>
      </c>
      <c r="AM304" s="11" t="str">
        <f t="shared" si="130"/>
        <v/>
      </c>
      <c r="AN304" s="11" t="str">
        <f t="shared" si="131"/>
        <v/>
      </c>
      <c r="AO304" s="11" t="str">
        <f t="shared" si="132"/>
        <v/>
      </c>
      <c r="AP304" s="11" t="str">
        <f t="shared" si="133"/>
        <v/>
      </c>
      <c r="AQ304" s="11" t="str">
        <f t="shared" si="134"/>
        <v/>
      </c>
      <c r="AR304" s="11" t="str">
        <f t="shared" si="135"/>
        <v/>
      </c>
      <c r="AS304" s="11" t="str">
        <f t="shared" si="136"/>
        <v/>
      </c>
      <c r="AT304" s="12" t="str">
        <f t="shared" si="137"/>
        <v/>
      </c>
    </row>
    <row r="305" spans="1:46" ht="18.75" hidden="1" x14ac:dyDescent="0.25">
      <c r="A305" s="5" t="s">
        <v>26</v>
      </c>
      <c r="B305">
        <f>'Final list of total hauls pros'!M302</f>
        <v>0</v>
      </c>
      <c r="C305">
        <v>301</v>
      </c>
      <c r="D305">
        <f>'Final list of total hauls pros'!A302</f>
        <v>0</v>
      </c>
      <c r="E305" t="str">
        <f t="shared" si="138"/>
        <v>0</v>
      </c>
      <c r="F305">
        <f>'Final list of total hauls pros'!B302</f>
        <v>0</v>
      </c>
      <c r="G305">
        <f>'Final list of total hauls pros'!I302</f>
        <v>0</v>
      </c>
      <c r="H305">
        <f>'Final list of total hauls pros'!L302</f>
        <v>0</v>
      </c>
      <c r="I305">
        <f t="shared" si="116"/>
        <v>0</v>
      </c>
      <c r="K305" s="20" t="str">
        <f t="shared" si="117"/>
        <v/>
      </c>
      <c r="L305" s="23"/>
      <c r="M305" s="21" t="str">
        <f t="shared" si="118"/>
        <v/>
      </c>
      <c r="N305" s="23"/>
      <c r="O305" s="21" t="str">
        <f t="shared" si="119"/>
        <v/>
      </c>
      <c r="P305" s="23"/>
      <c r="Q305" s="21" t="str">
        <f t="shared" si="120"/>
        <v/>
      </c>
      <c r="R305" s="23"/>
      <c r="S305" s="21" t="str">
        <f t="shared" si="121"/>
        <v/>
      </c>
      <c r="T305" s="23"/>
      <c r="U305" s="21" t="str">
        <f t="shared" si="122"/>
        <v/>
      </c>
      <c r="V305" s="23"/>
      <c r="W305" s="21" t="str">
        <f t="shared" si="123"/>
        <v/>
      </c>
      <c r="X305" s="23"/>
      <c r="Y305" s="21" t="str">
        <f t="shared" si="124"/>
        <v/>
      </c>
      <c r="Z305" s="23"/>
      <c r="AA305" s="21" t="str">
        <f t="shared" si="125"/>
        <v/>
      </c>
      <c r="AB305" s="23"/>
      <c r="AC305" s="21" t="str">
        <f t="shared" si="126"/>
        <v/>
      </c>
      <c r="AD305" s="23"/>
      <c r="AG305" s="26" t="str">
        <f t="shared" si="127"/>
        <v>FEJL</v>
      </c>
      <c r="AK305" s="10" t="str">
        <f t="shared" si="128"/>
        <v/>
      </c>
      <c r="AL305" s="11" t="str">
        <f t="shared" si="129"/>
        <v/>
      </c>
      <c r="AM305" s="11" t="str">
        <f t="shared" si="130"/>
        <v/>
      </c>
      <c r="AN305" s="11" t="str">
        <f t="shared" si="131"/>
        <v/>
      </c>
      <c r="AO305" s="11" t="str">
        <f t="shared" si="132"/>
        <v/>
      </c>
      <c r="AP305" s="11" t="str">
        <f t="shared" si="133"/>
        <v/>
      </c>
      <c r="AQ305" s="11" t="str">
        <f t="shared" si="134"/>
        <v/>
      </c>
      <c r="AR305" s="11" t="str">
        <f t="shared" si="135"/>
        <v/>
      </c>
      <c r="AS305" s="11" t="str">
        <f t="shared" si="136"/>
        <v/>
      </c>
      <c r="AT305" s="12" t="str">
        <f t="shared" si="137"/>
        <v/>
      </c>
    </row>
    <row r="308" spans="1:46" x14ac:dyDescent="0.25">
      <c r="H308" t="s">
        <v>50</v>
      </c>
      <c r="K308" s="14">
        <f>SUBTOTAL(9,K5:K305)</f>
        <v>29</v>
      </c>
      <c r="M308" s="14">
        <f>SUBTOTAL(9,M5:M305)</f>
        <v>55</v>
      </c>
      <c r="O308" s="14">
        <f>SUBTOTAL(9,O5:O305)</f>
        <v>51</v>
      </c>
      <c r="Q308" s="14">
        <f>SUBTOTAL(9,Q5:Q305)</f>
        <v>0</v>
      </c>
      <c r="S308" s="14">
        <f>SUBTOTAL(9,S5:S305)</f>
        <v>74</v>
      </c>
      <c r="U308" s="14">
        <f>SUBTOTAL(9,U5:U305)</f>
        <v>25</v>
      </c>
      <c r="W308" s="14">
        <f>SUBTOTAL(9,W5:W305)</f>
        <v>0</v>
      </c>
      <c r="Y308" s="14">
        <f>SUBTOTAL(9,Y5:Y305)</f>
        <v>57</v>
      </c>
      <c r="AA308" s="14">
        <f>SUBTOTAL(9,AA5:AA305)</f>
        <v>4</v>
      </c>
      <c r="AC308" s="14">
        <f>SUBTOTAL(9,AC5:AC305)</f>
        <v>0</v>
      </c>
      <c r="AD308" s="14" t="s">
        <v>21</v>
      </c>
      <c r="AE308">
        <f>SUM(K308:AC308)</f>
        <v>295</v>
      </c>
    </row>
    <row r="309" spans="1:46" x14ac:dyDescent="0.25">
      <c r="H309" s="1" t="s">
        <v>22</v>
      </c>
      <c r="I309" s="1"/>
      <c r="J309" s="1"/>
      <c r="K309" s="18">
        <f>VLOOKUP(CONCATENATE(K3,$D$1),PlannedStations!$A$2:$H$23,8,FALSE)</f>
        <v>30</v>
      </c>
      <c r="L309" s="18"/>
      <c r="M309" s="18">
        <f>VLOOKUP(CONCATENATE(M3,$D$1),PlannedStations!$A$2:$H$23,8,FALSE)</f>
        <v>55</v>
      </c>
      <c r="N309" s="18"/>
      <c r="O309" s="18">
        <f>VLOOKUP(CONCATENATE(O3,$D$1),PlannedStations!$A$2:$H$23,8,FALSE)</f>
        <v>50</v>
      </c>
      <c r="P309" s="18"/>
      <c r="Q309" s="18">
        <f>VLOOKUP(CONCATENATE(Q3,$D$1),PlannedStations!$A$2:$H$23,8,FALSE)</f>
        <v>0</v>
      </c>
      <c r="R309" s="18"/>
      <c r="S309" s="18">
        <f>VLOOKUP(CONCATENATE(S3,$D$1),PlannedStations!$A$2:$H$23,8,FALSE)</f>
        <v>70</v>
      </c>
      <c r="T309" s="18"/>
      <c r="U309" s="18">
        <f>VLOOKUP(CONCATENATE(U3,$D$1),PlannedStations!$A$2:$H$23,8,FALSE)</f>
        <v>25</v>
      </c>
      <c r="V309" s="18"/>
      <c r="W309" s="18">
        <f>VLOOKUP(CONCATENATE(W3,$D$1),PlannedStations!$A$2:$H$23,8,FALSE)</f>
        <v>0</v>
      </c>
      <c r="X309" s="18"/>
      <c r="Y309" s="18">
        <f>VLOOKUP(CONCATENATE(Y3,$D$1),PlannedStations!$A$2:$H$23,8,FALSE)</f>
        <v>60</v>
      </c>
      <c r="Z309" s="18"/>
      <c r="AA309" s="18">
        <f>VLOOKUP(CONCATENATE(AA3,$D$1),PlannedStations!$A$2:$H$23,8,FALSE)</f>
        <v>6</v>
      </c>
      <c r="AB309" s="18"/>
      <c r="AC309" s="18">
        <f>VLOOKUP(CONCATENATE(AC3,$D$1),PlannedStations!$A$2:$H$23,8,FALSE)</f>
        <v>0</v>
      </c>
      <c r="AD309" s="14" t="s">
        <v>21</v>
      </c>
      <c r="AE309" s="1">
        <f>SUM(K309:AC309)</f>
        <v>296</v>
      </c>
    </row>
    <row r="310" spans="1:46" x14ac:dyDescent="0.25">
      <c r="H310" t="s">
        <v>23</v>
      </c>
      <c r="K310" s="22">
        <f t="shared" ref="K310:Y310" si="139">K309-K308</f>
        <v>1</v>
      </c>
      <c r="L310" s="22"/>
      <c r="M310" s="22">
        <f t="shared" si="139"/>
        <v>0</v>
      </c>
      <c r="N310" s="22"/>
      <c r="O310" s="22">
        <f t="shared" si="139"/>
        <v>-1</v>
      </c>
      <c r="P310" s="22"/>
      <c r="Q310" s="22">
        <f t="shared" si="139"/>
        <v>0</v>
      </c>
      <c r="R310" s="22"/>
      <c r="S310" s="22">
        <f t="shared" si="139"/>
        <v>-4</v>
      </c>
      <c r="T310" s="22"/>
      <c r="U310" s="22">
        <f t="shared" si="139"/>
        <v>0</v>
      </c>
      <c r="V310" s="22"/>
      <c r="W310" s="22">
        <f t="shared" si="139"/>
        <v>0</v>
      </c>
      <c r="X310" s="22"/>
      <c r="Y310" s="22">
        <f t="shared" si="139"/>
        <v>3</v>
      </c>
      <c r="Z310" s="22"/>
      <c r="AA310" s="22">
        <f>AA309-AA308</f>
        <v>2</v>
      </c>
      <c r="AB310" s="22"/>
      <c r="AC310" s="22">
        <f t="shared" ref="AC310" si="140">AC309-AC308</f>
        <v>0</v>
      </c>
      <c r="AE310" s="2">
        <f>AE309-AE308</f>
        <v>1</v>
      </c>
      <c r="AF310" s="2">
        <f>SUM(K310:AC310)</f>
        <v>1</v>
      </c>
    </row>
    <row r="313" spans="1:46" x14ac:dyDescent="0.25">
      <c r="H313" s="6" t="s">
        <v>137</v>
      </c>
    </row>
    <row r="314" spans="1:46" x14ac:dyDescent="0.25">
      <c r="H314" t="s">
        <v>44</v>
      </c>
    </row>
  </sheetData>
  <autoFilter ref="A4:AT305">
    <filterColumn colId="8">
      <filters>
        <filter val="DEN (SD 21-24)"/>
        <filter val="DEN (SD 25-32)"/>
        <filter val="GFR (SD 21-24)"/>
        <filter val="LAT (SD 25-32)"/>
        <filter val="LTU (SD 25-32)"/>
        <filter val="POL (SD 21-24)"/>
        <filter val="POL (SD 25-32)"/>
        <filter val="SWE (SD 25-32)"/>
      </filters>
    </filterColumn>
  </autoFilter>
  <mergeCells count="10">
    <mergeCell ref="AC3:AD3"/>
    <mergeCell ref="AA3:AB3"/>
    <mergeCell ref="K3:L3"/>
    <mergeCell ref="M3:N3"/>
    <mergeCell ref="Y3:Z3"/>
    <mergeCell ref="W3:X3"/>
    <mergeCell ref="U3:V3"/>
    <mergeCell ref="S3:T3"/>
    <mergeCell ref="Q3:R3"/>
    <mergeCell ref="O3:P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workbookViewId="0">
      <selection activeCell="K307" sqref="K307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Processing!F4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22002</v>
      </c>
      <c r="C2" t="str">
        <f>Processing!F5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11.27</v>
      </c>
      <c r="G2">
        <f>'Final list of total hauls pros'!F2</f>
        <v>11</v>
      </c>
      <c r="H2">
        <f>'Final list of total hauls pros'!G2</f>
        <v>55.26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54.187833333333302</v>
      </c>
      <c r="L2" s="13">
        <f>'Final list of total hauls pros'!K2</f>
        <v>11.920999999999999</v>
      </c>
      <c r="M2" t="str">
        <f>'Final list of total hauls pros'!L2</f>
        <v>21-24</v>
      </c>
      <c r="N2" t="str">
        <f>Processing!I5</f>
        <v>GFR (SD 21-24)</v>
      </c>
    </row>
    <row r="3" spans="2:14" x14ac:dyDescent="0.25">
      <c r="B3">
        <f>Processing!D6</f>
        <v>22008</v>
      </c>
      <c r="C3" t="str">
        <f>Processing!F6</f>
        <v>37G1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20.8</v>
      </c>
      <c r="G3">
        <f>'Final list of total hauls pros'!F3</f>
        <v>11</v>
      </c>
      <c r="H3">
        <f>'Final list of total hauls pros'!G3</f>
        <v>55.3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54.3466666666667</v>
      </c>
      <c r="L3" s="13">
        <f>'Final list of total hauls pros'!K3</f>
        <v>11.921666666666701</v>
      </c>
      <c r="M3" t="str">
        <f>'Final list of total hauls pros'!L3</f>
        <v>21-24</v>
      </c>
      <c r="N3" t="str">
        <f>Processing!I6</f>
        <v>GFR (SD 21-24)</v>
      </c>
    </row>
    <row r="4" spans="2:14" x14ac:dyDescent="0.25">
      <c r="B4">
        <f>Processing!D7</f>
        <v>22018</v>
      </c>
      <c r="C4" t="str">
        <f>Processing!F7</f>
        <v>39G1</v>
      </c>
      <c r="D4">
        <f>'Final list of total hauls pros'!C4</f>
        <v>22</v>
      </c>
      <c r="E4">
        <f>'Final list of total hauls pros'!D4</f>
        <v>55</v>
      </c>
      <c r="F4">
        <f>'Final list of total hauls pros'!E4</f>
        <v>4.2</v>
      </c>
      <c r="G4">
        <f>'Final list of total hauls pros'!F4</f>
        <v>11</v>
      </c>
      <c r="H4">
        <f>'Final list of total hauls pros'!G4</f>
        <v>4.0999999999999996</v>
      </c>
      <c r="I4">
        <f>'Final list of total hauls pros'!H4</f>
        <v>2</v>
      </c>
      <c r="J4" t="str">
        <f>'Final list of total hauls pros'!I4</f>
        <v>DEN</v>
      </c>
      <c r="K4" s="13">
        <f>'Final list of total hauls pros'!J4</f>
        <v>55.07</v>
      </c>
      <c r="L4" s="13">
        <f>'Final list of total hauls pros'!K4</f>
        <v>11.0683333333333</v>
      </c>
      <c r="M4" t="str">
        <f>'Final list of total hauls pros'!L4</f>
        <v>21-24</v>
      </c>
      <c r="N4" t="str">
        <f>Processing!I7</f>
        <v>DEN (SD 21-24)</v>
      </c>
    </row>
    <row r="5" spans="2:14" x14ac:dyDescent="0.25">
      <c r="B5">
        <f>Processing!D8</f>
        <v>22020</v>
      </c>
      <c r="C5" t="str">
        <f>Processing!F8</f>
        <v>39G0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12.7</v>
      </c>
      <c r="G5">
        <f>'Final list of total hauls pros'!F5</f>
        <v>10</v>
      </c>
      <c r="H5">
        <f>'Final list of total hauls pros'!G5</f>
        <v>56.3</v>
      </c>
      <c r="I5">
        <f>'Final list of total hauls pros'!H5</f>
        <v>2</v>
      </c>
      <c r="J5" t="str">
        <f>'Final list of total hauls pros'!I5</f>
        <v>DEN</v>
      </c>
      <c r="K5" s="13">
        <f>'Final list of total hauls pros'!J5</f>
        <v>55.211666666666702</v>
      </c>
      <c r="L5" s="13">
        <f>'Final list of total hauls pros'!K5</f>
        <v>10.938333333333301</v>
      </c>
      <c r="M5" t="str">
        <f>'Final list of total hauls pros'!L5</f>
        <v>21-24</v>
      </c>
      <c r="N5" t="str">
        <f>Processing!I8</f>
        <v>DEN (SD 21-24)</v>
      </c>
    </row>
    <row r="6" spans="2:14" x14ac:dyDescent="0.25">
      <c r="B6">
        <f>Processing!D9</f>
        <v>22023</v>
      </c>
      <c r="C6" t="str">
        <f>Processing!F9</f>
        <v>39G1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18.47</v>
      </c>
      <c r="G6">
        <f>'Final list of total hauls pros'!F6</f>
        <v>11</v>
      </c>
      <c r="H6">
        <f>'Final list of total hauls pros'!G6</f>
        <v>1.28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55.307833333333299</v>
      </c>
      <c r="L6" s="13">
        <f>'Final list of total hauls pros'!K6</f>
        <v>11.021333333333301</v>
      </c>
      <c r="M6" t="str">
        <f>'Final list of total hauls pros'!L6</f>
        <v>21-24</v>
      </c>
      <c r="N6" t="str">
        <f>Processing!I9</f>
        <v>DEN (SD 21-24)</v>
      </c>
    </row>
    <row r="7" spans="2:14" x14ac:dyDescent="0.25">
      <c r="B7">
        <f>Processing!D10</f>
        <v>22024</v>
      </c>
      <c r="C7" t="str">
        <f>Processing!F10</f>
        <v>39F9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21.9</v>
      </c>
      <c r="G7">
        <f>'Final list of total hauls pros'!F7</f>
        <v>9</v>
      </c>
      <c r="H7">
        <f>'Final list of total hauls pros'!G7</f>
        <v>45.16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55.365000000000002</v>
      </c>
      <c r="L7" s="13">
        <f>'Final list of total hauls pros'!K7</f>
        <v>9.7526666666666699</v>
      </c>
      <c r="M7" t="str">
        <f>'Final list of total hauls pros'!L7</f>
        <v>21-24</v>
      </c>
      <c r="N7" t="str">
        <f>Processing!I10</f>
        <v>DEN (SD 21-24)</v>
      </c>
    </row>
    <row r="8" spans="2:14" x14ac:dyDescent="0.25">
      <c r="B8">
        <f>Processing!D11</f>
        <v>22025</v>
      </c>
      <c r="C8" t="str">
        <f>Processing!F11</f>
        <v>39G0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23.14</v>
      </c>
      <c r="G8">
        <f>'Final list of total hauls pros'!F8</f>
        <v>10</v>
      </c>
      <c r="H8">
        <f>'Final list of total hauls pros'!G8</f>
        <v>50.56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55.385666666666701</v>
      </c>
      <c r="L8" s="13">
        <f>'Final list of total hauls pros'!K8</f>
        <v>10.8426666666667</v>
      </c>
      <c r="M8" t="str">
        <f>'Final list of total hauls pros'!L8</f>
        <v>21-24</v>
      </c>
      <c r="N8" t="str">
        <f>Processing!I11</f>
        <v>DEN (SD 21-24)</v>
      </c>
    </row>
    <row r="9" spans="2:14" x14ac:dyDescent="0.25">
      <c r="B9">
        <f>Processing!D12</f>
        <v>22026</v>
      </c>
      <c r="C9" t="str">
        <f>Processing!F12</f>
        <v>39G0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25.4</v>
      </c>
      <c r="G9">
        <f>'Final list of total hauls pros'!F9</f>
        <v>10</v>
      </c>
      <c r="H9">
        <f>'Final list of total hauls pros'!G9</f>
        <v>46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55.423333333333296</v>
      </c>
      <c r="L9" s="13">
        <f>'Final list of total hauls pros'!K9</f>
        <v>10.766666666666699</v>
      </c>
      <c r="M9" t="str">
        <f>'Final list of total hauls pros'!L9</f>
        <v>21-24</v>
      </c>
      <c r="N9" t="str">
        <f>Processing!I12</f>
        <v>DEN (SD 21-24)</v>
      </c>
    </row>
    <row r="10" spans="2:14" x14ac:dyDescent="0.25">
      <c r="B10">
        <f>Processing!D13</f>
        <v>22027</v>
      </c>
      <c r="C10" t="str">
        <f>Processing!F13</f>
        <v>40G0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38.1</v>
      </c>
      <c r="G10">
        <f>'Final list of total hauls pros'!F10</f>
        <v>10</v>
      </c>
      <c r="H10">
        <f>'Final list of total hauls pros'!G10</f>
        <v>0.4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55.634999999999998</v>
      </c>
      <c r="L10" s="13">
        <f>'Final list of total hauls pros'!K10</f>
        <v>10.0066666666667</v>
      </c>
      <c r="M10" t="str">
        <f>'Final list of total hauls pros'!L10</f>
        <v>21-24</v>
      </c>
      <c r="N10" t="str">
        <f>Processing!I13</f>
        <v>DEN (SD 21-24)</v>
      </c>
    </row>
    <row r="11" spans="2:14" x14ac:dyDescent="0.25">
      <c r="B11">
        <f>Processing!D14</f>
        <v>22032</v>
      </c>
      <c r="C11" t="str">
        <f>Processing!F14</f>
        <v>40G0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46.7</v>
      </c>
      <c r="G11">
        <f>'Final list of total hauls pros'!F11</f>
        <v>10</v>
      </c>
      <c r="H11">
        <f>'Final list of total hauls pros'!G11</f>
        <v>40.799999999999997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55.7783333333333</v>
      </c>
      <c r="L11" s="13">
        <f>'Final list of total hauls pros'!K11</f>
        <v>10.68</v>
      </c>
      <c r="M11" t="str">
        <f>'Final list of total hauls pros'!L11</f>
        <v>21-24</v>
      </c>
      <c r="N11" t="str">
        <f>Processing!I14</f>
        <v>DEN (SD 21-24)</v>
      </c>
    </row>
    <row r="12" spans="2:14" x14ac:dyDescent="0.25">
      <c r="B12">
        <f>Processing!D15</f>
        <v>22034</v>
      </c>
      <c r="C12" t="str">
        <f>Processing!F15</f>
        <v>40G0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59.6</v>
      </c>
      <c r="G12">
        <f>'Final list of total hauls pros'!F12</f>
        <v>10</v>
      </c>
      <c r="H12">
        <f>'Final list of total hauls pros'!G12</f>
        <v>38.4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55.993333333333297</v>
      </c>
      <c r="L12" s="13">
        <f>'Final list of total hauls pros'!K12</f>
        <v>10.64</v>
      </c>
      <c r="M12" t="str">
        <f>'Final list of total hauls pros'!L12</f>
        <v>21-24</v>
      </c>
      <c r="N12" t="str">
        <f>Processing!I15</f>
        <v>DEN (SD 21-24)</v>
      </c>
    </row>
    <row r="13" spans="2:14" x14ac:dyDescent="0.25">
      <c r="B13">
        <f>Processing!D16</f>
        <v>22036</v>
      </c>
      <c r="C13" t="str">
        <f>Processing!F16</f>
        <v>40G1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55.3</v>
      </c>
      <c r="G13">
        <f>'Final list of total hauls pros'!F13</f>
        <v>11</v>
      </c>
      <c r="H13">
        <f>'Final list of total hauls pros'!G13</f>
        <v>13.6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55.921666666666702</v>
      </c>
      <c r="L13" s="13">
        <f>'Final list of total hauls pros'!K13</f>
        <v>11.2266666666667</v>
      </c>
      <c r="M13" t="str">
        <f>'Final list of total hauls pros'!L13</f>
        <v>21-24</v>
      </c>
      <c r="N13" t="str">
        <f>Processing!I16</f>
        <v>DEN (SD 21-24)</v>
      </c>
    </row>
    <row r="14" spans="2:14" x14ac:dyDescent="0.25">
      <c r="B14">
        <f>Processing!D17</f>
        <v>22037</v>
      </c>
      <c r="C14" t="str">
        <f>Processing!F17</f>
        <v>40G1</v>
      </c>
      <c r="D14">
        <f>'Final list of total hauls pros'!C14</f>
        <v>22</v>
      </c>
      <c r="E14">
        <f>'Final list of total hauls pros'!D14</f>
        <v>55</v>
      </c>
      <c r="F14">
        <f>'Final list of total hauls pros'!E14</f>
        <v>58.9</v>
      </c>
      <c r="G14">
        <f>'Final list of total hauls pros'!F14</f>
        <v>11</v>
      </c>
      <c r="H14">
        <f>'Final list of total hauls pros'!G14</f>
        <v>1.8</v>
      </c>
      <c r="I14">
        <f>'Final list of total hauls pros'!H14</f>
        <v>2</v>
      </c>
      <c r="J14" t="str">
        <f>'Final list of total hauls pros'!I14</f>
        <v>DEN</v>
      </c>
      <c r="K14" s="13">
        <f>'Final list of total hauls pros'!J14</f>
        <v>55.981666666666698</v>
      </c>
      <c r="L14" s="13">
        <f>'Final list of total hauls pros'!K14</f>
        <v>11.03</v>
      </c>
      <c r="M14" t="str">
        <f>'Final list of total hauls pros'!L14</f>
        <v>21-24</v>
      </c>
      <c r="N14" t="str">
        <f>Processing!I17</f>
        <v>DEN (SD 21-24)</v>
      </c>
    </row>
    <row r="15" spans="2:14" x14ac:dyDescent="0.25">
      <c r="B15">
        <f>Processing!D18</f>
        <v>22044</v>
      </c>
      <c r="C15" t="str">
        <f>Processing!F18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7.13</v>
      </c>
      <c r="G15">
        <f>'Final list of total hauls pros'!F15</f>
        <v>11</v>
      </c>
      <c r="H15">
        <f>'Final list of total hauls pros'!G15</f>
        <v>10.01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54.118833333333299</v>
      </c>
      <c r="L15" s="13">
        <f>'Final list of total hauls pros'!K15</f>
        <v>11.166833333333299</v>
      </c>
      <c r="M15" t="str">
        <f>'Final list of total hauls pros'!L15</f>
        <v>21-24</v>
      </c>
      <c r="N15" t="str">
        <f>Processing!I18</f>
        <v>GFR (SD 21-24)</v>
      </c>
    </row>
    <row r="16" spans="2:14" x14ac:dyDescent="0.25">
      <c r="B16">
        <f>Processing!D19</f>
        <v>22045</v>
      </c>
      <c r="C16" t="str">
        <f>Processing!F19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17.28</v>
      </c>
      <c r="G16">
        <f>'Final list of total hauls pros'!F16</f>
        <v>11</v>
      </c>
      <c r="H16">
        <f>'Final list of total hauls pros'!G16</f>
        <v>18.11</v>
      </c>
      <c r="I16">
        <f>'Final list of total hauls pros'!H16</f>
        <v>2</v>
      </c>
      <c r="J16" t="str">
        <f>'Final list of total hauls pros'!I16</f>
        <v>GFR</v>
      </c>
      <c r="K16" s="13">
        <f>'Final list of total hauls pros'!J16</f>
        <v>54.287999999999997</v>
      </c>
      <c r="L16" s="13">
        <f>'Final list of total hauls pros'!K16</f>
        <v>11.301833333333301</v>
      </c>
      <c r="M16" t="str">
        <f>'Final list of total hauls pros'!L16</f>
        <v>21-24</v>
      </c>
      <c r="N16" t="str">
        <f>Processing!I19</f>
        <v>GFR (SD 21-24)</v>
      </c>
    </row>
    <row r="17" spans="2:14" x14ac:dyDescent="0.25">
      <c r="B17">
        <f>Processing!D20</f>
        <v>22051</v>
      </c>
      <c r="C17" t="str">
        <f>Processing!F20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14.48</v>
      </c>
      <c r="G17">
        <f>'Final list of total hauls pros'!F17</f>
        <v>11</v>
      </c>
      <c r="H17">
        <f>'Final list of total hauls pros'!G17</f>
        <v>43.21</v>
      </c>
      <c r="I17">
        <f>'Final list of total hauls pros'!H17</f>
        <v>2</v>
      </c>
      <c r="J17" t="str">
        <f>'Final list of total hauls pros'!I17</f>
        <v>GFR</v>
      </c>
      <c r="K17" s="13">
        <f>'Final list of total hauls pros'!J17</f>
        <v>54.241333333333301</v>
      </c>
      <c r="L17" s="13">
        <f>'Final list of total hauls pros'!K17</f>
        <v>11.720166666666699</v>
      </c>
      <c r="M17" t="str">
        <f>'Final list of total hauls pros'!L17</f>
        <v>21-24</v>
      </c>
      <c r="N17" t="str">
        <f>Processing!I20</f>
        <v>GFR (SD 21-24)</v>
      </c>
    </row>
    <row r="18" spans="2:14" x14ac:dyDescent="0.25">
      <c r="B18">
        <f>Processing!D21</f>
        <v>22058</v>
      </c>
      <c r="C18" t="str">
        <f>Processing!F21</f>
        <v>37G1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27.17</v>
      </c>
      <c r="G18">
        <f>'Final list of total hauls pros'!F18</f>
        <v>11</v>
      </c>
      <c r="H18">
        <f>'Final list of total hauls pros'!G18</f>
        <v>25.18</v>
      </c>
      <c r="I18">
        <f>'Final list of total hauls pros'!H18</f>
        <v>2</v>
      </c>
      <c r="J18" t="str">
        <f>'Final list of total hauls pros'!I18</f>
        <v>GFR</v>
      </c>
      <c r="K18" s="13">
        <f>'Final list of total hauls pros'!J18</f>
        <v>54.452833333333302</v>
      </c>
      <c r="L18" s="13">
        <f>'Final list of total hauls pros'!K18</f>
        <v>11.4196666666667</v>
      </c>
      <c r="M18" t="str">
        <f>'Final list of total hauls pros'!L18</f>
        <v>21-24</v>
      </c>
      <c r="N18" t="str">
        <f>Processing!I21</f>
        <v>GFR (SD 21-24)</v>
      </c>
    </row>
    <row r="19" spans="2:14" x14ac:dyDescent="0.25">
      <c r="B19">
        <f>Processing!D22</f>
        <v>22071</v>
      </c>
      <c r="C19" t="str">
        <f>Processing!F22</f>
        <v>38G1</v>
      </c>
      <c r="D19">
        <f>'Final list of total hauls pros'!C19</f>
        <v>22</v>
      </c>
      <c r="E19">
        <f>'Final list of total hauls pros'!D19</f>
        <v>54</v>
      </c>
      <c r="F19">
        <f>'Final list of total hauls pros'!E19</f>
        <v>32.4</v>
      </c>
      <c r="G19">
        <f>'Final list of total hauls pros'!F19</f>
        <v>11</v>
      </c>
      <c r="H19">
        <f>'Final list of total hauls pros'!G19</f>
        <v>24.4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54.54</v>
      </c>
      <c r="L19" s="13">
        <f>'Final list of total hauls pros'!K19</f>
        <v>11.4066666666667</v>
      </c>
      <c r="M19" t="str">
        <f>'Final list of total hauls pros'!L19</f>
        <v>21-24</v>
      </c>
      <c r="N19" t="str">
        <f>Processing!I22</f>
        <v>GFR (SD 21-24)</v>
      </c>
    </row>
    <row r="20" spans="2:14" x14ac:dyDescent="0.25">
      <c r="B20">
        <f>Processing!D23</f>
        <v>22072</v>
      </c>
      <c r="C20" t="str">
        <f>Processing!F23</f>
        <v>38G1</v>
      </c>
      <c r="D20">
        <f>'Final list of total hauls pros'!C20</f>
        <v>22</v>
      </c>
      <c r="E20">
        <f>'Final list of total hauls pros'!D20</f>
        <v>54</v>
      </c>
      <c r="F20">
        <f>'Final list of total hauls pros'!E20</f>
        <v>33.53</v>
      </c>
      <c r="G20">
        <f>'Final list of total hauls pros'!F20</f>
        <v>11</v>
      </c>
      <c r="H20">
        <f>'Final list of total hauls pros'!G20</f>
        <v>21.74</v>
      </c>
      <c r="I20">
        <f>'Final list of total hauls pros'!H20</f>
        <v>2</v>
      </c>
      <c r="J20" t="str">
        <f>'Final list of total hauls pros'!I20</f>
        <v>GFR</v>
      </c>
      <c r="K20" s="13">
        <f>'Final list of total hauls pros'!J20</f>
        <v>54.558833333333297</v>
      </c>
      <c r="L20" s="13">
        <f>'Final list of total hauls pros'!K20</f>
        <v>11.3623333333333</v>
      </c>
      <c r="M20" t="str">
        <f>'Final list of total hauls pros'!L20</f>
        <v>21-24</v>
      </c>
      <c r="N20" t="str">
        <f>Processing!I23</f>
        <v>GFR (SD 21-24)</v>
      </c>
    </row>
    <row r="21" spans="2:14" x14ac:dyDescent="0.25">
      <c r="B21">
        <f>Processing!D24</f>
        <v>22075</v>
      </c>
      <c r="C21" t="str">
        <f>Processing!F24</f>
        <v>38G0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48.3</v>
      </c>
      <c r="G21">
        <f>'Final list of total hauls pros'!F21</f>
        <v>10</v>
      </c>
      <c r="H21">
        <f>'Final list of total hauls pros'!G21</f>
        <v>8.6999999999999993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54.805</v>
      </c>
      <c r="L21" s="13">
        <f>'Final list of total hauls pros'!K21</f>
        <v>10.145</v>
      </c>
      <c r="M21" t="str">
        <f>'Final list of total hauls pros'!L21</f>
        <v>21-24</v>
      </c>
      <c r="N21" t="str">
        <f>Processing!I24</f>
        <v>DEN (SD 21-24)</v>
      </c>
    </row>
    <row r="22" spans="2:14" x14ac:dyDescent="0.25">
      <c r="B22">
        <f>Processing!D25</f>
        <v>22076</v>
      </c>
      <c r="C22" t="str">
        <f>Processing!F25</f>
        <v>38G0</v>
      </c>
      <c r="D22">
        <f>'Final list of total hauls pros'!C22</f>
        <v>22</v>
      </c>
      <c r="E22">
        <f>'Final list of total hauls pros'!D22</f>
        <v>54</v>
      </c>
      <c r="F22">
        <f>'Final list of total hauls pros'!E22</f>
        <v>49.11</v>
      </c>
      <c r="G22">
        <f>'Final list of total hauls pros'!F22</f>
        <v>10</v>
      </c>
      <c r="H22">
        <f>'Final list of total hauls pros'!G22</f>
        <v>16.47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54.8185</v>
      </c>
      <c r="L22" s="13">
        <f>'Final list of total hauls pros'!K22</f>
        <v>10.2745</v>
      </c>
      <c r="M22" t="str">
        <f>'Final list of total hauls pros'!L22</f>
        <v>21-24</v>
      </c>
      <c r="N22" t="str">
        <f>Processing!I25</f>
        <v>DEN (SD 21-24)</v>
      </c>
    </row>
    <row r="23" spans="2:14" x14ac:dyDescent="0.25">
      <c r="B23">
        <f>Processing!D26</f>
        <v>22077</v>
      </c>
      <c r="C23" t="str">
        <f>Processing!F26</f>
        <v>38G0</v>
      </c>
      <c r="D23">
        <f>'Final list of total hauls pros'!C23</f>
        <v>22</v>
      </c>
      <c r="E23">
        <f>'Final list of total hauls pros'!D23</f>
        <v>54</v>
      </c>
      <c r="F23">
        <f>'Final list of total hauls pros'!E23</f>
        <v>41.63</v>
      </c>
      <c r="G23">
        <f>'Final list of total hauls pros'!F23</f>
        <v>10</v>
      </c>
      <c r="H23">
        <f>'Final list of total hauls pros'!G23</f>
        <v>19.45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54.693833333333302</v>
      </c>
      <c r="L23" s="13">
        <f>'Final list of total hauls pros'!K23</f>
        <v>10.3241666666667</v>
      </c>
      <c r="M23" t="str">
        <f>'Final list of total hauls pros'!L23</f>
        <v>21-24</v>
      </c>
      <c r="N23" t="str">
        <f>Processing!I26</f>
        <v>DEN (SD 21-24)</v>
      </c>
    </row>
    <row r="24" spans="2:14" x14ac:dyDescent="0.25">
      <c r="B24">
        <f>Processing!D27</f>
        <v>22079</v>
      </c>
      <c r="C24" t="str">
        <f>Processing!F27</f>
        <v>38G0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5.09</v>
      </c>
      <c r="G24">
        <f>'Final list of total hauls pros'!F24</f>
        <v>9</v>
      </c>
      <c r="H24">
        <f>'Final list of total hauls pros'!G24</f>
        <v>59.08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55.0848333333333</v>
      </c>
      <c r="L24" s="13">
        <f>'Final list of total hauls pros'!K24</f>
        <v>9.9846666666666692</v>
      </c>
      <c r="M24" t="str">
        <f>'Final list of total hauls pros'!L24</f>
        <v>21-24</v>
      </c>
      <c r="N24" t="str">
        <f>Processing!I27</f>
        <v>DEN (SD 21-24)</v>
      </c>
    </row>
    <row r="25" spans="2:14" x14ac:dyDescent="0.25">
      <c r="B25">
        <f>Processing!D28</f>
        <v>22081</v>
      </c>
      <c r="C25" t="str">
        <f>Processing!F28</f>
        <v>39F9</v>
      </c>
      <c r="D25">
        <f>'Final list of total hauls pros'!C25</f>
        <v>22</v>
      </c>
      <c r="E25">
        <f>'Final list of total hauls pros'!D25</f>
        <v>55</v>
      </c>
      <c r="F25">
        <f>'Final list of total hauls pros'!E25</f>
        <v>6.3</v>
      </c>
      <c r="G25">
        <f>'Final list of total hauls pros'!F25</f>
        <v>9</v>
      </c>
      <c r="H25">
        <f>'Final list of total hauls pros'!G25</f>
        <v>59.28</v>
      </c>
      <c r="I25">
        <f>'Final list of total hauls pros'!H25</f>
        <v>2</v>
      </c>
      <c r="J25" t="str">
        <f>'Final list of total hauls pros'!I25</f>
        <v>DEN</v>
      </c>
      <c r="K25" s="13">
        <f>'Final list of total hauls pros'!J25</f>
        <v>55.104999999999997</v>
      </c>
      <c r="L25" s="13">
        <f>'Final list of total hauls pros'!K25</f>
        <v>9.9879999999999995</v>
      </c>
      <c r="M25" t="str">
        <f>'Final list of total hauls pros'!L25</f>
        <v>21-24</v>
      </c>
      <c r="N25" t="str">
        <f>Processing!I28</f>
        <v>DEN (SD 21-24)</v>
      </c>
    </row>
    <row r="26" spans="2:14" x14ac:dyDescent="0.25">
      <c r="B26">
        <f>Processing!D29</f>
        <v>22084</v>
      </c>
      <c r="C26" t="str">
        <f>Processing!F29</f>
        <v>39G1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11.9</v>
      </c>
      <c r="G26">
        <f>'Final list of total hauls pros'!F26</f>
        <v>11</v>
      </c>
      <c r="H26">
        <f>'Final list of total hauls pros'!G26</f>
        <v>4.5999999999999996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55.198333333333302</v>
      </c>
      <c r="L26" s="13">
        <f>'Final list of total hauls pros'!K26</f>
        <v>11.0766666666667</v>
      </c>
      <c r="M26" t="str">
        <f>'Final list of total hauls pros'!L26</f>
        <v>21-24</v>
      </c>
      <c r="N26" t="str">
        <f>Processing!I29</f>
        <v>DEN (SD 21-24)</v>
      </c>
    </row>
    <row r="27" spans="2:14" x14ac:dyDescent="0.25">
      <c r="B27">
        <f>Processing!D30</f>
        <v>22085</v>
      </c>
      <c r="C27" t="str">
        <f>Processing!F30</f>
        <v>40G0</v>
      </c>
      <c r="D27">
        <f>'Final list of total hauls pros'!C27</f>
        <v>22</v>
      </c>
      <c r="E27">
        <f>'Final list of total hauls pros'!D27</f>
        <v>55</v>
      </c>
      <c r="F27">
        <f>'Final list of total hauls pros'!E27</f>
        <v>38.659999999999997</v>
      </c>
      <c r="G27">
        <f>'Final list of total hauls pros'!F27</f>
        <v>10</v>
      </c>
      <c r="H27">
        <f>'Final list of total hauls pros'!G27</f>
        <v>32.11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55.6443333333333</v>
      </c>
      <c r="L27" s="13">
        <f>'Final list of total hauls pros'!K27</f>
        <v>10.535166666666701</v>
      </c>
      <c r="M27" t="str">
        <f>'Final list of total hauls pros'!L27</f>
        <v>21-24</v>
      </c>
      <c r="N27" t="str">
        <f>Processing!I30</f>
        <v>DEN (SD 21-24)</v>
      </c>
    </row>
    <row r="28" spans="2:14" x14ac:dyDescent="0.25">
      <c r="B28">
        <f>Processing!D31</f>
        <v>22086</v>
      </c>
      <c r="C28" t="str">
        <f>Processing!F31</f>
        <v>40G0</v>
      </c>
      <c r="D28">
        <f>'Final list of total hauls pros'!C28</f>
        <v>22</v>
      </c>
      <c r="E28">
        <f>'Final list of total hauls pros'!D28</f>
        <v>55</v>
      </c>
      <c r="F28">
        <f>'Final list of total hauls pros'!E28</f>
        <v>35.96</v>
      </c>
      <c r="G28">
        <f>'Final list of total hauls pros'!F28</f>
        <v>10</v>
      </c>
      <c r="H28">
        <f>'Final list of total hauls pros'!G28</f>
        <v>55.36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55.599333333333298</v>
      </c>
      <c r="L28" s="13">
        <f>'Final list of total hauls pros'!K28</f>
        <v>10.9226666666667</v>
      </c>
      <c r="M28" t="str">
        <f>'Final list of total hauls pros'!L28</f>
        <v>21-24</v>
      </c>
      <c r="N28" t="str">
        <f>Processing!I31</f>
        <v>DEN (SD 21-24)</v>
      </c>
    </row>
    <row r="29" spans="2:14" x14ac:dyDescent="0.25">
      <c r="B29">
        <f>Processing!D32</f>
        <v>22092</v>
      </c>
      <c r="C29" t="str">
        <f>Processing!F32</f>
        <v>40G0</v>
      </c>
      <c r="D29">
        <f>'Final list of total hauls pros'!C29</f>
        <v>22</v>
      </c>
      <c r="E29">
        <f>'Final list of total hauls pros'!D29</f>
        <v>55</v>
      </c>
      <c r="F29">
        <f>'Final list of total hauls pros'!E29</f>
        <v>49.8</v>
      </c>
      <c r="G29">
        <f>'Final list of total hauls pros'!F29</f>
        <v>10</v>
      </c>
      <c r="H29">
        <f>'Final list of total hauls pros'!G29</f>
        <v>49.2</v>
      </c>
      <c r="I29">
        <f>'Final list of total hauls pros'!H29</f>
        <v>2</v>
      </c>
      <c r="J29" t="str">
        <f>'Final list of total hauls pros'!I29</f>
        <v>DEN</v>
      </c>
      <c r="K29" s="13">
        <f>'Final list of total hauls pros'!J29</f>
        <v>55.83</v>
      </c>
      <c r="L29" s="13">
        <f>'Final list of total hauls pros'!K29</f>
        <v>10.82</v>
      </c>
      <c r="M29" t="str">
        <f>'Final list of total hauls pros'!L29</f>
        <v>21-24</v>
      </c>
      <c r="N29" t="str">
        <f>Processing!I32</f>
        <v>DEN (SD 21-24)</v>
      </c>
    </row>
    <row r="30" spans="2:14" x14ac:dyDescent="0.25">
      <c r="B30">
        <f>Processing!D33</f>
        <v>22103</v>
      </c>
      <c r="C30" t="str">
        <f>Processing!F33</f>
        <v>39G1</v>
      </c>
      <c r="D30">
        <f>'Final list of total hauls pros'!C30</f>
        <v>22</v>
      </c>
      <c r="E30">
        <f>'Final list of total hauls pros'!D30</f>
        <v>55</v>
      </c>
      <c r="F30">
        <f>'Final list of total hauls pros'!E30</f>
        <v>3.32</v>
      </c>
      <c r="G30">
        <f>'Final list of total hauls pros'!F30</f>
        <v>11</v>
      </c>
      <c r="H30">
        <f>'Final list of total hauls pros'!G30</f>
        <v>1.82</v>
      </c>
      <c r="I30">
        <f>'Final list of total hauls pros'!H30</f>
        <v>2</v>
      </c>
      <c r="J30" t="str">
        <f>'Final list of total hauls pros'!I30</f>
        <v>DEN</v>
      </c>
      <c r="K30" s="13">
        <f>'Final list of total hauls pros'!J30</f>
        <v>55.055333333333301</v>
      </c>
      <c r="L30" s="13">
        <f>'Final list of total hauls pros'!K30</f>
        <v>11.030333333333299</v>
      </c>
      <c r="M30" t="str">
        <f>'Final list of total hauls pros'!L30</f>
        <v>21-24</v>
      </c>
      <c r="N30" t="str">
        <f>Processing!I33</f>
        <v>DEN (SD 21-24)</v>
      </c>
    </row>
    <row r="31" spans="2:14" x14ac:dyDescent="0.25">
      <c r="B31">
        <f>Processing!D34</f>
        <v>22111</v>
      </c>
      <c r="C31" t="str">
        <f>Processing!F34</f>
        <v>38G0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54.83</v>
      </c>
      <c r="G31">
        <f>'Final list of total hauls pros'!F31</f>
        <v>10</v>
      </c>
      <c r="H31">
        <f>'Final list of total hauls pros'!G31</f>
        <v>3.2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54.913833333333301</v>
      </c>
      <c r="L31" s="13">
        <f>'Final list of total hauls pros'!K31</f>
        <v>10.053333333333301</v>
      </c>
      <c r="M31" t="str">
        <f>'Final list of total hauls pros'!L31</f>
        <v>21-24</v>
      </c>
      <c r="N31" t="str">
        <f>Processing!I34</f>
        <v>DEN (SD 21-24)</v>
      </c>
    </row>
    <row r="32" spans="2:14" x14ac:dyDescent="0.25">
      <c r="B32">
        <f>Processing!D35</f>
        <v>22114</v>
      </c>
      <c r="C32" t="str">
        <f>Processing!F35</f>
        <v>37G1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8.6999999999999993</v>
      </c>
      <c r="G32">
        <f>'Final list of total hauls pros'!F32</f>
        <v>11</v>
      </c>
      <c r="H32">
        <f>'Final list of total hauls pros'!G32</f>
        <v>17.68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54.145000000000003</v>
      </c>
      <c r="L32" s="13">
        <f>'Final list of total hauls pros'!K32</f>
        <v>11.2946666666667</v>
      </c>
      <c r="M32" t="str">
        <f>'Final list of total hauls pros'!L32</f>
        <v>21-24</v>
      </c>
      <c r="N32" t="str">
        <f>Processing!I35</f>
        <v>GFR (SD 21-24)</v>
      </c>
    </row>
    <row r="33" spans="2:14" x14ac:dyDescent="0.25">
      <c r="B33">
        <f>Processing!D36</f>
        <v>22117</v>
      </c>
      <c r="C33" t="str">
        <f>Processing!F36</f>
        <v>40G0</v>
      </c>
      <c r="D33">
        <f>'Final list of total hauls pros'!C33</f>
        <v>22</v>
      </c>
      <c r="E33">
        <f>'Final list of total hauls pros'!D33</f>
        <v>55</v>
      </c>
      <c r="F33">
        <f>'Final list of total hauls pros'!E33</f>
        <v>30.3</v>
      </c>
      <c r="G33">
        <f>'Final list of total hauls pros'!F33</f>
        <v>10</v>
      </c>
      <c r="H33">
        <f>'Final list of total hauls pros'!G33</f>
        <v>41.58</v>
      </c>
      <c r="I33">
        <f>'Final list of total hauls pros'!H33</f>
        <v>2</v>
      </c>
      <c r="J33" t="str">
        <f>'Final list of total hauls pros'!I33</f>
        <v>DEN</v>
      </c>
      <c r="K33" s="13">
        <f>'Final list of total hauls pros'!J33</f>
        <v>55.505000000000003</v>
      </c>
      <c r="L33" s="13">
        <f>'Final list of total hauls pros'!K33</f>
        <v>10.693</v>
      </c>
      <c r="M33" t="str">
        <f>'Final list of total hauls pros'!L33</f>
        <v>21-24</v>
      </c>
      <c r="N33" t="str">
        <f>Processing!I36</f>
        <v>DEN (SD 21-24)</v>
      </c>
    </row>
    <row r="34" spans="2:14" x14ac:dyDescent="0.25">
      <c r="B34">
        <f>Processing!D37</f>
        <v>22118</v>
      </c>
      <c r="C34" t="str">
        <f>Processing!F37</f>
        <v>40G0</v>
      </c>
      <c r="D34">
        <f>'Final list of total hauls pros'!C34</f>
        <v>22</v>
      </c>
      <c r="E34">
        <f>'Final list of total hauls pros'!D34</f>
        <v>55</v>
      </c>
      <c r="F34">
        <f>'Final list of total hauls pros'!E34</f>
        <v>37.770000000000003</v>
      </c>
      <c r="G34">
        <f>'Final list of total hauls pros'!F34</f>
        <v>10</v>
      </c>
      <c r="H34">
        <f>'Final list of total hauls pros'!G34</f>
        <v>20.59</v>
      </c>
      <c r="I34">
        <f>'Final list of total hauls pros'!H34</f>
        <v>2</v>
      </c>
      <c r="J34" t="str">
        <f>'Final list of total hauls pros'!I34</f>
        <v>DEN</v>
      </c>
      <c r="K34" s="13">
        <f>'Final list of total hauls pros'!J34</f>
        <v>55.6295</v>
      </c>
      <c r="L34" s="13">
        <f>'Final list of total hauls pros'!K34</f>
        <v>10.343166666666701</v>
      </c>
      <c r="M34" t="str">
        <f>'Final list of total hauls pros'!L34</f>
        <v>21-24</v>
      </c>
      <c r="N34" t="str">
        <f>Processing!I37</f>
        <v>DEN (SD 21-24)</v>
      </c>
    </row>
    <row r="35" spans="2:14" x14ac:dyDescent="0.25">
      <c r="B35">
        <f>Processing!D38</f>
        <v>22122</v>
      </c>
      <c r="C35" t="str">
        <f>Processing!F38</f>
        <v>39G0</v>
      </c>
      <c r="D35">
        <f>'Final list of total hauls pros'!C35</f>
        <v>22</v>
      </c>
      <c r="E35">
        <f>'Final list of total hauls pros'!D35</f>
        <v>55</v>
      </c>
      <c r="F35">
        <f>'Final list of total hauls pros'!E35</f>
        <v>32.49</v>
      </c>
      <c r="G35">
        <f>'Final list of total hauls pros'!F35</f>
        <v>10</v>
      </c>
      <c r="H35">
        <f>'Final list of total hauls pros'!G35</f>
        <v>51.14</v>
      </c>
      <c r="I35">
        <f>'Final list of total hauls pros'!H35</f>
        <v>2</v>
      </c>
      <c r="J35" t="str">
        <f>'Final list of total hauls pros'!I35</f>
        <v>DEN</v>
      </c>
      <c r="K35" s="13">
        <f>'Final list of total hauls pros'!J35</f>
        <v>55.541499999999999</v>
      </c>
      <c r="L35" s="13">
        <f>'Final list of total hauls pros'!K35</f>
        <v>10.8523333333333</v>
      </c>
      <c r="M35" t="str">
        <f>'Final list of total hauls pros'!L35</f>
        <v>21-24</v>
      </c>
      <c r="N35" t="str">
        <f>Processing!I38</f>
        <v>DEN (SD 21-24)</v>
      </c>
    </row>
    <row r="36" spans="2:14" x14ac:dyDescent="0.25">
      <c r="B36">
        <f>Processing!D39</f>
        <v>22124</v>
      </c>
      <c r="C36" t="str">
        <f>Processing!F39</f>
        <v>38F9</v>
      </c>
      <c r="D36">
        <f>'Final list of total hauls pros'!C36</f>
        <v>22</v>
      </c>
      <c r="E36">
        <f>'Final list of total hauls pros'!D36</f>
        <v>54</v>
      </c>
      <c r="F36">
        <f>'Final list of total hauls pros'!E36</f>
        <v>48.88</v>
      </c>
      <c r="G36">
        <f>'Final list of total hauls pros'!F36</f>
        <v>10</v>
      </c>
      <c r="H36">
        <f>'Final list of total hauls pros'!G36</f>
        <v>17.53</v>
      </c>
      <c r="I36">
        <f>'Final list of total hauls pros'!H36</f>
        <v>2</v>
      </c>
      <c r="J36" t="str">
        <f>'Final list of total hauls pros'!I36</f>
        <v>DEN</v>
      </c>
      <c r="K36" s="13">
        <f>'Final list of total hauls pros'!J36</f>
        <v>54.814666666666703</v>
      </c>
      <c r="L36" s="13">
        <f>'Final list of total hauls pros'!K36</f>
        <v>10.2921666666667</v>
      </c>
      <c r="M36" t="str">
        <f>'Final list of total hauls pros'!L36</f>
        <v>21-24</v>
      </c>
      <c r="N36" t="str">
        <f>Processing!I39</f>
        <v>DEN (SD 21-24)</v>
      </c>
    </row>
    <row r="37" spans="2:14" x14ac:dyDescent="0.25">
      <c r="B37">
        <f>Processing!D40</f>
        <v>22125</v>
      </c>
      <c r="C37" t="str">
        <f>Processing!F40</f>
        <v>39G0</v>
      </c>
      <c r="D37">
        <f>'Final list of total hauls pros'!C37</f>
        <v>22</v>
      </c>
      <c r="E37">
        <f>'Final list of total hauls pros'!D37</f>
        <v>55</v>
      </c>
      <c r="F37">
        <f>'Final list of total hauls pros'!E37</f>
        <v>24.08</v>
      </c>
      <c r="G37">
        <f>'Final list of total hauls pros'!F37</f>
        <v>10</v>
      </c>
      <c r="H37">
        <f>'Final list of total hauls pros'!G37</f>
        <v>48.95</v>
      </c>
      <c r="I37">
        <f>'Final list of total hauls pros'!H37</f>
        <v>2</v>
      </c>
      <c r="J37" t="str">
        <f>'Final list of total hauls pros'!I37</f>
        <v>DEN</v>
      </c>
      <c r="K37" s="13">
        <f>'Final list of total hauls pros'!J37</f>
        <v>55.401333333333298</v>
      </c>
      <c r="L37" s="13">
        <f>'Final list of total hauls pros'!K37</f>
        <v>10.8158333333333</v>
      </c>
      <c r="M37" t="str">
        <f>'Final list of total hauls pros'!L37</f>
        <v>21-24</v>
      </c>
      <c r="N37" t="str">
        <f>Processing!I40</f>
        <v>DEN (SD 21-24)</v>
      </c>
    </row>
    <row r="38" spans="2:14" x14ac:dyDescent="0.25">
      <c r="B38">
        <f>Processing!D41</f>
        <v>22130</v>
      </c>
      <c r="C38" t="str">
        <f>Processing!F41</f>
        <v>39G0</v>
      </c>
      <c r="D38">
        <f>'Final list of total hauls pros'!C38</f>
        <v>22</v>
      </c>
      <c r="E38">
        <f>'Final list of total hauls pros'!D38</f>
        <v>55</v>
      </c>
      <c r="F38">
        <f>'Final list of total hauls pros'!E38</f>
        <v>19.93</v>
      </c>
      <c r="G38">
        <f>'Final list of total hauls pros'!F38</f>
        <v>10</v>
      </c>
      <c r="H38">
        <f>'Final list of total hauls pros'!G38</f>
        <v>53.86</v>
      </c>
      <c r="I38">
        <f>'Final list of total hauls pros'!H38</f>
        <v>2</v>
      </c>
      <c r="J38" t="str">
        <f>'Final list of total hauls pros'!I38</f>
        <v>DEN</v>
      </c>
      <c r="K38" s="13">
        <f>'Final list of total hauls pros'!J38</f>
        <v>55.332166666666701</v>
      </c>
      <c r="L38" s="13">
        <f>'Final list of total hauls pros'!K38</f>
        <v>10.8976666666667</v>
      </c>
      <c r="M38" t="str">
        <f>'Final list of total hauls pros'!L38</f>
        <v>21-24</v>
      </c>
      <c r="N38" t="str">
        <f>Processing!I41</f>
        <v>DEN (SD 21-24)</v>
      </c>
    </row>
    <row r="39" spans="2:14" x14ac:dyDescent="0.25">
      <c r="B39">
        <f>Processing!D42</f>
        <v>22131</v>
      </c>
      <c r="C39" t="str">
        <f>Processing!F42</f>
        <v>38G0</v>
      </c>
      <c r="D39">
        <f>'Final list of total hauls pros'!C39</f>
        <v>22</v>
      </c>
      <c r="E39">
        <f>'Final list of total hauls pros'!D39</f>
        <v>54</v>
      </c>
      <c r="F39">
        <f>'Final list of total hauls pros'!E39</f>
        <v>37.700000000000003</v>
      </c>
      <c r="G39">
        <f>'Final list of total hauls pros'!F39</f>
        <v>10</v>
      </c>
      <c r="H39">
        <f>'Final list of total hauls pros'!G39</f>
        <v>38.92</v>
      </c>
      <c r="I39">
        <f>'Final list of total hauls pros'!H39</f>
        <v>2</v>
      </c>
      <c r="J39" t="str">
        <f>'Final list of total hauls pros'!I39</f>
        <v>DEN</v>
      </c>
      <c r="K39" s="13">
        <f>'Final list of total hauls pros'!J39</f>
        <v>54.628333333333302</v>
      </c>
      <c r="L39" s="13">
        <f>'Final list of total hauls pros'!K39</f>
        <v>10.648666666666699</v>
      </c>
      <c r="M39" t="str">
        <f>'Final list of total hauls pros'!L39</f>
        <v>21-24</v>
      </c>
      <c r="N39" t="str">
        <f>Processing!I42</f>
        <v>DEN (SD 21-24)</v>
      </c>
    </row>
    <row r="40" spans="2:14" x14ac:dyDescent="0.25">
      <c r="B40">
        <f>Processing!D43</f>
        <v>22135</v>
      </c>
      <c r="C40" t="str">
        <f>Processing!F43</f>
        <v>38G1</v>
      </c>
      <c r="D40">
        <f>'Final list of total hauls pros'!C40</f>
        <v>22</v>
      </c>
      <c r="E40">
        <f>'Final list of total hauls pros'!D40</f>
        <v>54</v>
      </c>
      <c r="F40">
        <f>'Final list of total hauls pros'!E40</f>
        <v>37.4</v>
      </c>
      <c r="G40">
        <f>'Final list of total hauls pros'!F40</f>
        <v>11</v>
      </c>
      <c r="H40">
        <f>'Final list of total hauls pros'!G40</f>
        <v>5</v>
      </c>
      <c r="I40">
        <f>'Final list of total hauls pros'!H40</f>
        <v>2</v>
      </c>
      <c r="J40" t="str">
        <f>'Final list of total hauls pros'!I40</f>
        <v>GFR</v>
      </c>
      <c r="K40" s="13">
        <f>'Final list of total hauls pros'!J40</f>
        <v>54.623333333333299</v>
      </c>
      <c r="L40" s="13">
        <f>'Final list of total hauls pros'!K40</f>
        <v>11.0833333333333</v>
      </c>
      <c r="M40" t="str">
        <f>'Final list of total hauls pros'!L40</f>
        <v>21-24</v>
      </c>
      <c r="N40" t="str">
        <f>Processing!I43</f>
        <v>GFR (SD 21-24)</v>
      </c>
    </row>
    <row r="41" spans="2:14" x14ac:dyDescent="0.25">
      <c r="B41">
        <f>Processing!D44</f>
        <v>22136</v>
      </c>
      <c r="C41" t="str">
        <f>Processing!F44</f>
        <v>38G0</v>
      </c>
      <c r="D41">
        <f>'Final list of total hauls pros'!C41</f>
        <v>22</v>
      </c>
      <c r="E41">
        <f>'Final list of total hauls pros'!D41</f>
        <v>54</v>
      </c>
      <c r="F41">
        <f>'Final list of total hauls pros'!E41</f>
        <v>44.5</v>
      </c>
      <c r="G41">
        <f>'Final list of total hauls pros'!F41</f>
        <v>10</v>
      </c>
      <c r="H41">
        <f>'Final list of total hauls pros'!G41</f>
        <v>11.9</v>
      </c>
      <c r="I41">
        <f>'Final list of total hauls pros'!H41</f>
        <v>2</v>
      </c>
      <c r="J41" t="str">
        <f>'Final list of total hauls pros'!I41</f>
        <v>GFR</v>
      </c>
      <c r="K41" s="13">
        <f>'Final list of total hauls pros'!J41</f>
        <v>54.741666666666703</v>
      </c>
      <c r="L41" s="13">
        <f>'Final list of total hauls pros'!K41</f>
        <v>10.1983333333333</v>
      </c>
      <c r="M41" t="str">
        <f>'Final list of total hauls pros'!L41</f>
        <v>21-24</v>
      </c>
      <c r="N41" t="str">
        <f>Processing!I44</f>
        <v>GFR (SD 21-24)</v>
      </c>
    </row>
    <row r="42" spans="2:14" x14ac:dyDescent="0.25">
      <c r="B42">
        <f>Processing!D45</f>
        <v>22141</v>
      </c>
      <c r="C42" t="str">
        <f>Processing!F45</f>
        <v>37G1</v>
      </c>
      <c r="D42">
        <f>'Final list of total hauls pros'!C42</f>
        <v>22</v>
      </c>
      <c r="E42">
        <f>'Final list of total hauls pros'!D42</f>
        <v>54</v>
      </c>
      <c r="F42">
        <f>'Final list of total hauls pros'!E42</f>
        <v>14.4</v>
      </c>
      <c r="G42">
        <f>'Final list of total hauls pros'!F42</f>
        <v>11</v>
      </c>
      <c r="H42">
        <f>'Final list of total hauls pros'!G42</f>
        <v>25.3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54.24</v>
      </c>
      <c r="L42" s="13">
        <f>'Final list of total hauls pros'!K42</f>
        <v>11.421666666666701</v>
      </c>
      <c r="M42" t="str">
        <f>'Final list of total hauls pros'!L42</f>
        <v>21-24</v>
      </c>
      <c r="N42" t="str">
        <f>Processing!I45</f>
        <v>GFR (SD 21-24)</v>
      </c>
    </row>
    <row r="43" spans="2:14" x14ac:dyDescent="0.25">
      <c r="B43">
        <f>Processing!D46</f>
        <v>22142</v>
      </c>
      <c r="C43" t="str">
        <f>Processing!F46</f>
        <v>37G1</v>
      </c>
      <c r="D43">
        <f>'Final list of total hauls pros'!C43</f>
        <v>22</v>
      </c>
      <c r="E43">
        <f>'Final list of total hauls pros'!D43</f>
        <v>54</v>
      </c>
      <c r="F43">
        <f>'Final list of total hauls pros'!E43</f>
        <v>15.9</v>
      </c>
      <c r="G43">
        <f>'Final list of total hauls pros'!F43</f>
        <v>11</v>
      </c>
      <c r="H43">
        <f>'Final list of total hauls pros'!G43</f>
        <v>30.1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54.265000000000001</v>
      </c>
      <c r="L43" s="13">
        <f>'Final list of total hauls pros'!K43</f>
        <v>11.501666666666701</v>
      </c>
      <c r="M43" t="str">
        <f>'Final list of total hauls pros'!L43</f>
        <v>21-24</v>
      </c>
      <c r="N43" t="str">
        <f>Processing!I46</f>
        <v>GFR (SD 21-24)</v>
      </c>
    </row>
    <row r="44" spans="2:14" x14ac:dyDescent="0.25">
      <c r="B44">
        <f>Processing!D47</f>
        <v>22143</v>
      </c>
      <c r="C44" t="str">
        <f>Processing!F47</f>
        <v>37G1</v>
      </c>
      <c r="D44">
        <f>'Final list of total hauls pros'!C44</f>
        <v>22</v>
      </c>
      <c r="E44">
        <f>'Final list of total hauls pros'!D44</f>
        <v>54</v>
      </c>
      <c r="F44">
        <f>'Final list of total hauls pros'!E44</f>
        <v>12.9</v>
      </c>
      <c r="G44">
        <f>'Final list of total hauls pros'!F44</f>
        <v>11</v>
      </c>
      <c r="H44">
        <f>'Final list of total hauls pros'!G44</f>
        <v>33.1</v>
      </c>
      <c r="I44">
        <f>'Final list of total hauls pros'!H44</f>
        <v>2</v>
      </c>
      <c r="J44" t="str">
        <f>'Final list of total hauls pros'!I44</f>
        <v>GFR</v>
      </c>
      <c r="K44" s="13">
        <f>'Final list of total hauls pros'!J44</f>
        <v>54.215000000000003</v>
      </c>
      <c r="L44" s="13">
        <f>'Final list of total hauls pros'!K44</f>
        <v>11.5516666666667</v>
      </c>
      <c r="M44" t="str">
        <f>'Final list of total hauls pros'!L44</f>
        <v>21-24</v>
      </c>
      <c r="N44" t="str">
        <f>Processing!I47</f>
        <v>GFR (SD 21-24)</v>
      </c>
    </row>
    <row r="45" spans="2:14" x14ac:dyDescent="0.25">
      <c r="B45">
        <f>Processing!D48</f>
        <v>22144</v>
      </c>
      <c r="C45" t="str">
        <f>Processing!F48</f>
        <v>37G1</v>
      </c>
      <c r="D45">
        <f>'Final list of total hauls pros'!C45</f>
        <v>22</v>
      </c>
      <c r="E45">
        <f>'Final list of total hauls pros'!D45</f>
        <v>54</v>
      </c>
      <c r="F45">
        <f>'Final list of total hauls pros'!E45</f>
        <v>18.23</v>
      </c>
      <c r="G45">
        <f>'Final list of total hauls pros'!F45</f>
        <v>11</v>
      </c>
      <c r="H45">
        <f>'Final list of total hauls pros'!G45</f>
        <v>29.17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54.303833333333301</v>
      </c>
      <c r="L45" s="13">
        <f>'Final list of total hauls pros'!K45</f>
        <v>11.486166666666699</v>
      </c>
      <c r="M45" t="str">
        <f>'Final list of total hauls pros'!L45</f>
        <v>21-24</v>
      </c>
      <c r="N45" t="str">
        <f>Processing!I48</f>
        <v>GFR (SD 21-24)</v>
      </c>
    </row>
    <row r="46" spans="2:14" x14ac:dyDescent="0.25">
      <c r="B46">
        <f>Processing!D49</f>
        <v>22146</v>
      </c>
      <c r="C46" t="str">
        <f>Processing!F49</f>
        <v>37G1</v>
      </c>
      <c r="D46">
        <f>'Final list of total hauls pros'!C46</f>
        <v>22</v>
      </c>
      <c r="E46">
        <f>'Final list of total hauls pros'!D46</f>
        <v>54</v>
      </c>
      <c r="F46">
        <f>'Final list of total hauls pros'!E46</f>
        <v>17.75</v>
      </c>
      <c r="G46">
        <f>'Final list of total hauls pros'!F46</f>
        <v>11</v>
      </c>
      <c r="H46">
        <f>'Final list of total hauls pros'!G46</f>
        <v>36.299999999999997</v>
      </c>
      <c r="I46">
        <f>'Final list of total hauls pros'!H46</f>
        <v>2</v>
      </c>
      <c r="J46" t="str">
        <f>'Final list of total hauls pros'!I46</f>
        <v>GFR</v>
      </c>
      <c r="K46" s="13">
        <f>'Final list of total hauls pros'!J46</f>
        <v>54.295833333333299</v>
      </c>
      <c r="L46" s="13">
        <f>'Final list of total hauls pros'!K46</f>
        <v>11.605</v>
      </c>
      <c r="M46" t="str">
        <f>'Final list of total hauls pros'!L46</f>
        <v>21-24</v>
      </c>
      <c r="N46" t="str">
        <f>Processing!I49</f>
        <v>GFR (SD 21-24)</v>
      </c>
    </row>
    <row r="47" spans="2:14" x14ac:dyDescent="0.25">
      <c r="B47">
        <f>Processing!D50</f>
        <v>24001</v>
      </c>
      <c r="C47" t="str">
        <f>Processing!F50</f>
        <v>37G2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23.05</v>
      </c>
      <c r="G47">
        <f>'Final list of total hauls pros'!F47</f>
        <v>12</v>
      </c>
      <c r="H47">
        <f>'Final list of total hauls pros'!G47</f>
        <v>11.63</v>
      </c>
      <c r="I47">
        <f>'Final list of total hauls pros'!H47</f>
        <v>2</v>
      </c>
      <c r="J47" t="str">
        <f>'Final list of total hauls pros'!I47</f>
        <v>GFR</v>
      </c>
      <c r="K47" s="13">
        <f>'Final list of total hauls pros'!J47</f>
        <v>54.384166666666701</v>
      </c>
      <c r="L47" s="13">
        <f>'Final list of total hauls pros'!K47</f>
        <v>12.1938333333333</v>
      </c>
      <c r="M47" t="str">
        <f>'Final list of total hauls pros'!L47</f>
        <v>21-24</v>
      </c>
      <c r="N47" t="str">
        <f>Processing!I50</f>
        <v>GFR (SD 21-24)</v>
      </c>
    </row>
    <row r="48" spans="2:14" x14ac:dyDescent="0.25">
      <c r="B48">
        <f>Processing!D51</f>
        <v>24002</v>
      </c>
      <c r="C48" t="str">
        <f>Processing!F51</f>
        <v>37G2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26.48</v>
      </c>
      <c r="G48">
        <f>'Final list of total hauls pros'!F48</f>
        <v>12</v>
      </c>
      <c r="H48">
        <f>'Final list of total hauls pros'!G48</f>
        <v>20.88</v>
      </c>
      <c r="I48">
        <f>'Final list of total hauls pros'!H48</f>
        <v>2</v>
      </c>
      <c r="J48" t="str">
        <f>'Final list of total hauls pros'!I48</f>
        <v>GFR</v>
      </c>
      <c r="K48" s="13">
        <f>'Final list of total hauls pros'!J48</f>
        <v>54.441333333333297</v>
      </c>
      <c r="L48" s="13">
        <f>'Final list of total hauls pros'!K48</f>
        <v>12.348000000000001</v>
      </c>
      <c r="M48" t="str">
        <f>'Final list of total hauls pros'!L48</f>
        <v>21-24</v>
      </c>
      <c r="N48" t="str">
        <f>Processing!I51</f>
        <v>GFR (SD 21-24)</v>
      </c>
    </row>
    <row r="49" spans="2:14" x14ac:dyDescent="0.25">
      <c r="B49">
        <f>Processing!D52</f>
        <v>24005</v>
      </c>
      <c r="C49" t="str">
        <f>Processing!F52</f>
        <v>38G2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39.6</v>
      </c>
      <c r="G49">
        <f>'Final list of total hauls pros'!F49</f>
        <v>12</v>
      </c>
      <c r="H49">
        <f>'Final list of total hauls pros'!G49</f>
        <v>11.2</v>
      </c>
      <c r="I49">
        <f>'Final list of total hauls pros'!H49</f>
        <v>2</v>
      </c>
      <c r="J49" t="str">
        <f>'Final list of total hauls pros'!I49</f>
        <v>DEN</v>
      </c>
      <c r="K49" s="13">
        <f>'Final list of total hauls pros'!J49</f>
        <v>54.66</v>
      </c>
      <c r="L49" s="13">
        <f>'Final list of total hauls pros'!K49</f>
        <v>12.186666666666699</v>
      </c>
      <c r="M49" t="str">
        <f>'Final list of total hauls pros'!L49</f>
        <v>21-24</v>
      </c>
      <c r="N49" t="str">
        <f>Processing!I52</f>
        <v>GFR (SD 21-24)</v>
      </c>
    </row>
    <row r="50" spans="2:14" x14ac:dyDescent="0.25">
      <c r="B50">
        <f>Processing!D53</f>
        <v>24006</v>
      </c>
      <c r="C50" t="str">
        <f>Processing!F53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35.31</v>
      </c>
      <c r="G50">
        <f>'Final list of total hauls pros'!F50</f>
        <v>12</v>
      </c>
      <c r="H50">
        <f>'Final list of total hauls pros'!G50</f>
        <v>27.37</v>
      </c>
      <c r="I50">
        <f>'Final list of total hauls pros'!H50</f>
        <v>2</v>
      </c>
      <c r="J50" t="str">
        <f>'Final list of total hauls pros'!I50</f>
        <v>GFR</v>
      </c>
      <c r="K50" s="13">
        <f>'Final list of total hauls pros'!J50</f>
        <v>54.588500000000003</v>
      </c>
      <c r="L50" s="13">
        <f>'Final list of total hauls pros'!K50</f>
        <v>12.4561666666667</v>
      </c>
      <c r="M50" t="str">
        <f>'Final list of total hauls pros'!L50</f>
        <v>21-24</v>
      </c>
      <c r="N50" t="str">
        <f>Processing!I53</f>
        <v>GFR (SD 21-24)</v>
      </c>
    </row>
    <row r="51" spans="2:14" x14ac:dyDescent="0.25">
      <c r="B51">
        <f>Processing!D54</f>
        <v>24016</v>
      </c>
      <c r="C51" t="str">
        <f>Processing!F54</f>
        <v>38G2</v>
      </c>
      <c r="D51">
        <f>'Final list of total hauls pros'!C51</f>
        <v>24</v>
      </c>
      <c r="E51">
        <f>'Final list of total hauls pros'!D51</f>
        <v>54</v>
      </c>
      <c r="F51">
        <f>'Final list of total hauls pros'!E51</f>
        <v>41.28</v>
      </c>
      <c r="G51">
        <f>'Final list of total hauls pros'!F51</f>
        <v>12</v>
      </c>
      <c r="H51">
        <f>'Final list of total hauls pros'!G51</f>
        <v>58.35</v>
      </c>
      <c r="I51">
        <f>'Final list of total hauls pros'!H51</f>
        <v>2</v>
      </c>
      <c r="J51" t="str">
        <f>'Final list of total hauls pros'!I51</f>
        <v>GFR</v>
      </c>
      <c r="K51" s="13">
        <f>'Final list of total hauls pros'!J51</f>
        <v>54.688000000000002</v>
      </c>
      <c r="L51" s="13">
        <f>'Final list of total hauls pros'!K51</f>
        <v>12.9725</v>
      </c>
      <c r="M51" t="str">
        <f>'Final list of total hauls pros'!L51</f>
        <v>21-24</v>
      </c>
      <c r="N51" t="str">
        <f>Processing!I54</f>
        <v>GFR (SD 21-24)</v>
      </c>
    </row>
    <row r="52" spans="2:14" x14ac:dyDescent="0.25">
      <c r="B52">
        <f>Processing!D55</f>
        <v>24022</v>
      </c>
      <c r="C52" t="str">
        <f>Processing!F55</f>
        <v>37G4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26.75</v>
      </c>
      <c r="G52">
        <f>'Final list of total hauls pros'!F52</f>
        <v>14</v>
      </c>
      <c r="H52">
        <f>'Final list of total hauls pros'!G52</f>
        <v>57.3</v>
      </c>
      <c r="I52">
        <f>'Final list of total hauls pros'!H52</f>
        <v>2</v>
      </c>
      <c r="J52" t="str">
        <f>'Final list of total hauls pros'!I52</f>
        <v>POL</v>
      </c>
      <c r="K52" s="13">
        <f>'Final list of total hauls pros'!J52</f>
        <v>54.445833333333297</v>
      </c>
      <c r="L52" s="13">
        <f>'Final list of total hauls pros'!K52</f>
        <v>14.955</v>
      </c>
      <c r="M52" t="str">
        <f>'Final list of total hauls pros'!L52</f>
        <v>21-24</v>
      </c>
      <c r="N52" t="str">
        <f>Processing!I55</f>
        <v>GFR (SD 21-24)</v>
      </c>
    </row>
    <row r="53" spans="2:14" x14ac:dyDescent="0.25">
      <c r="B53">
        <f>Processing!D56</f>
        <v>24024</v>
      </c>
      <c r="C53" t="str">
        <f>Processing!F56</f>
        <v>38G3</v>
      </c>
      <c r="D53">
        <f>'Final list of total hauls pros'!C53</f>
        <v>24</v>
      </c>
      <c r="E53">
        <f>'Final list of total hauls pros'!D53</f>
        <v>54</v>
      </c>
      <c r="F53">
        <f>'Final list of total hauls pros'!E53</f>
        <v>34.4</v>
      </c>
      <c r="G53">
        <f>'Final list of total hauls pros'!F53</f>
        <v>13</v>
      </c>
      <c r="H53">
        <f>'Final list of total hauls pros'!G53</f>
        <v>47.6</v>
      </c>
      <c r="I53">
        <f>'Final list of total hauls pros'!H53</f>
        <v>2</v>
      </c>
      <c r="J53" t="str">
        <f>'Final list of total hauls pros'!I53</f>
        <v>GFR</v>
      </c>
      <c r="K53" s="13">
        <f>'Final list of total hauls pros'!J53</f>
        <v>54.573333333333302</v>
      </c>
      <c r="L53" s="13">
        <f>'Final list of total hauls pros'!K53</f>
        <v>13.793333333333299</v>
      </c>
      <c r="M53" t="str">
        <f>'Final list of total hauls pros'!L53</f>
        <v>21-24</v>
      </c>
      <c r="N53" t="str">
        <f>Processing!I56</f>
        <v>GFR (SD 21-24)</v>
      </c>
    </row>
    <row r="54" spans="2:14" x14ac:dyDescent="0.25">
      <c r="B54">
        <f>Processing!D57</f>
        <v>24039</v>
      </c>
      <c r="C54" t="str">
        <f>Processing!F57</f>
        <v>38G4</v>
      </c>
      <c r="D54">
        <f>'Final list of total hauls pros'!C54</f>
        <v>24</v>
      </c>
      <c r="E54">
        <f>'Final list of total hauls pros'!D54</f>
        <v>54</v>
      </c>
      <c r="F54">
        <f>'Final list of total hauls pros'!E54</f>
        <v>39.36</v>
      </c>
      <c r="G54">
        <f>'Final list of total hauls pros'!F54</f>
        <v>14</v>
      </c>
      <c r="H54">
        <f>'Final list of total hauls pros'!G54</f>
        <v>9.4700000000000006</v>
      </c>
      <c r="I54">
        <f>'Final list of total hauls pros'!H54</f>
        <v>2</v>
      </c>
      <c r="J54" t="str">
        <f>'Final list of total hauls pros'!I54</f>
        <v>GFR</v>
      </c>
      <c r="K54" s="13">
        <f>'Final list of total hauls pros'!J54</f>
        <v>54.655999999999999</v>
      </c>
      <c r="L54" s="13">
        <f>'Final list of total hauls pros'!K54</f>
        <v>14.157833333333301</v>
      </c>
      <c r="M54" t="str">
        <f>'Final list of total hauls pros'!L54</f>
        <v>21-24</v>
      </c>
      <c r="N54" t="str">
        <f>Processing!I57</f>
        <v>GFR (SD 21-24)</v>
      </c>
    </row>
    <row r="55" spans="2:14" x14ac:dyDescent="0.25">
      <c r="B55">
        <f>Processing!D58</f>
        <v>24046</v>
      </c>
      <c r="C55" t="str">
        <f>Processing!F58</f>
        <v>38G4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40.200000000000003</v>
      </c>
      <c r="G55">
        <f>'Final list of total hauls pros'!F55</f>
        <v>14</v>
      </c>
      <c r="H55">
        <f>'Final list of total hauls pros'!G55</f>
        <v>30.7</v>
      </c>
      <c r="I55">
        <f>'Final list of total hauls pros'!H55</f>
        <v>2</v>
      </c>
      <c r="J55" t="str">
        <f>'Final list of total hauls pros'!I55</f>
        <v>DEN</v>
      </c>
      <c r="K55" s="13">
        <f>'Final list of total hauls pros'!J55</f>
        <v>54.67</v>
      </c>
      <c r="L55" s="13">
        <f>'Final list of total hauls pros'!K55</f>
        <v>14.5116666666667</v>
      </c>
      <c r="M55" t="str">
        <f>'Final list of total hauls pros'!L55</f>
        <v>21-24</v>
      </c>
      <c r="N55" t="str">
        <f>Processing!I58</f>
        <v>GFR (SD 21-24)</v>
      </c>
    </row>
    <row r="56" spans="2:14" x14ac:dyDescent="0.25">
      <c r="B56">
        <f>Processing!D59</f>
        <v>24047</v>
      </c>
      <c r="C56" t="str">
        <f>Processing!F59</f>
        <v>38G4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35.4</v>
      </c>
      <c r="G56">
        <f>'Final list of total hauls pros'!F56</f>
        <v>14</v>
      </c>
      <c r="H56">
        <f>'Final list of total hauls pros'!G56</f>
        <v>27.96</v>
      </c>
      <c r="I56">
        <f>'Final list of total hauls pros'!H56</f>
        <v>2</v>
      </c>
      <c r="J56" t="str">
        <f>'Final list of total hauls pros'!I56</f>
        <v>GFR</v>
      </c>
      <c r="K56" s="13">
        <f>'Final list of total hauls pros'!J56</f>
        <v>54.59</v>
      </c>
      <c r="L56" s="13">
        <f>'Final list of total hauls pros'!K56</f>
        <v>14.465999999999999</v>
      </c>
      <c r="M56" t="str">
        <f>'Final list of total hauls pros'!L56</f>
        <v>21-24</v>
      </c>
      <c r="N56" t="str">
        <f>Processing!I59</f>
        <v>GFR (SD 21-24)</v>
      </c>
    </row>
    <row r="57" spans="2:14" x14ac:dyDescent="0.25">
      <c r="B57">
        <f>Processing!D60</f>
        <v>24055</v>
      </c>
      <c r="C57" t="str">
        <f>Processing!F60</f>
        <v>38G4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34.159999999999997</v>
      </c>
      <c r="G57">
        <f>'Final list of total hauls pros'!F57</f>
        <v>14</v>
      </c>
      <c r="H57">
        <f>'Final list of total hauls pros'!G57</f>
        <v>43.13</v>
      </c>
      <c r="I57">
        <f>'Final list of total hauls pros'!H57</f>
        <v>2</v>
      </c>
      <c r="J57" t="str">
        <f>'Final list of total hauls pros'!I57</f>
        <v>POL</v>
      </c>
      <c r="K57" s="13">
        <f>'Final list of total hauls pros'!J57</f>
        <v>54.569333333333297</v>
      </c>
      <c r="L57" s="13">
        <f>'Final list of total hauls pros'!K57</f>
        <v>14.718833333333301</v>
      </c>
      <c r="M57" t="str">
        <f>'Final list of total hauls pros'!L57</f>
        <v>21-24</v>
      </c>
      <c r="N57" t="str">
        <f>Processing!I60</f>
        <v>GFR (SD 21-24)</v>
      </c>
    </row>
    <row r="58" spans="2:14" x14ac:dyDescent="0.25">
      <c r="B58">
        <f>Processing!D61</f>
        <v>24057</v>
      </c>
      <c r="C58" t="str">
        <f>Processing!F61</f>
        <v>37G4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32.299999999999997</v>
      </c>
      <c r="G58">
        <f>'Final list of total hauls pros'!F58</f>
        <v>14</v>
      </c>
      <c r="H58">
        <f>'Final list of total hauls pros'!G58</f>
        <v>56.3</v>
      </c>
      <c r="I58">
        <f>'Final list of total hauls pros'!H58</f>
        <v>2</v>
      </c>
      <c r="J58" t="str">
        <f>'Final list of total hauls pros'!I58</f>
        <v>POL</v>
      </c>
      <c r="K58" s="13">
        <f>'Final list of total hauls pros'!J58</f>
        <v>54.538333333333298</v>
      </c>
      <c r="L58" s="13">
        <f>'Final list of total hauls pros'!K58</f>
        <v>14.938333333333301</v>
      </c>
      <c r="M58" t="str">
        <f>'Final list of total hauls pros'!L58</f>
        <v>21-24</v>
      </c>
      <c r="N58" t="str">
        <f>Processing!I61</f>
        <v>GFR (SD 21-24)</v>
      </c>
    </row>
    <row r="59" spans="2:14" x14ac:dyDescent="0.25">
      <c r="B59">
        <f>Processing!D62</f>
        <v>24059</v>
      </c>
      <c r="C59" t="str">
        <f>Processing!F62</f>
        <v>38G2</v>
      </c>
      <c r="D59">
        <f>'Final list of total hauls pros'!C59</f>
        <v>24</v>
      </c>
      <c r="E59">
        <f>'Final list of total hauls pros'!D59</f>
        <v>54</v>
      </c>
      <c r="F59">
        <f>'Final list of total hauls pros'!E59</f>
        <v>46.77</v>
      </c>
      <c r="G59">
        <f>'Final list of total hauls pros'!F59</f>
        <v>12</v>
      </c>
      <c r="H59">
        <f>'Final list of total hauls pros'!G59</f>
        <v>21.78</v>
      </c>
      <c r="I59">
        <f>'Final list of total hauls pros'!H59</f>
        <v>2</v>
      </c>
      <c r="J59" t="str">
        <f>'Final list of total hauls pros'!I59</f>
        <v>DEN</v>
      </c>
      <c r="K59" s="13">
        <f>'Final list of total hauls pros'!J59</f>
        <v>54.779499999999999</v>
      </c>
      <c r="L59" s="13">
        <f>'Final list of total hauls pros'!K59</f>
        <v>12.363</v>
      </c>
      <c r="M59" t="str">
        <f>'Final list of total hauls pros'!L59</f>
        <v>21-24</v>
      </c>
      <c r="N59" t="str">
        <f>Processing!I62</f>
        <v>GFR (SD 21-24)</v>
      </c>
    </row>
    <row r="60" spans="2:14" x14ac:dyDescent="0.25">
      <c r="B60">
        <f>Processing!D63</f>
        <v>24066</v>
      </c>
      <c r="C60" t="str">
        <f>Processing!F63</f>
        <v>38G3</v>
      </c>
      <c r="D60">
        <f>'Final list of total hauls pros'!C60</f>
        <v>24</v>
      </c>
      <c r="E60">
        <f>'Final list of total hauls pros'!D60</f>
        <v>54</v>
      </c>
      <c r="F60">
        <f>'Final list of total hauls pros'!E60</f>
        <v>44.6</v>
      </c>
      <c r="G60">
        <f>'Final list of total hauls pros'!F60</f>
        <v>13</v>
      </c>
      <c r="H60">
        <f>'Final list of total hauls pros'!G60</f>
        <v>20.22</v>
      </c>
      <c r="I60">
        <f>'Final list of total hauls pros'!H60</f>
        <v>2</v>
      </c>
      <c r="J60" t="str">
        <f>'Final list of total hauls pros'!I60</f>
        <v>GFR</v>
      </c>
      <c r="K60" s="13">
        <f>'Final list of total hauls pros'!J60</f>
        <v>54.743333333333297</v>
      </c>
      <c r="L60" s="13">
        <f>'Final list of total hauls pros'!K60</f>
        <v>13.337</v>
      </c>
      <c r="M60" t="str">
        <f>'Final list of total hauls pros'!L60</f>
        <v>21-24</v>
      </c>
      <c r="N60" t="str">
        <f>Processing!I63</f>
        <v>GFR (SD 21-24)</v>
      </c>
    </row>
    <row r="61" spans="2:14" x14ac:dyDescent="0.25">
      <c r="B61">
        <f>Processing!D64</f>
        <v>24086</v>
      </c>
      <c r="C61" t="str">
        <f>Processing!F64</f>
        <v>39G2</v>
      </c>
      <c r="D61">
        <f>'Final list of total hauls pros'!C61</f>
        <v>24</v>
      </c>
      <c r="E61">
        <f>'Final list of total hauls pros'!D61</f>
        <v>54</v>
      </c>
      <c r="F61">
        <f>'Final list of total hauls pros'!E61</f>
        <v>59.23</v>
      </c>
      <c r="G61">
        <f>'Final list of total hauls pros'!F61</f>
        <v>12</v>
      </c>
      <c r="H61">
        <f>'Final list of total hauls pros'!G61</f>
        <v>40.340000000000003</v>
      </c>
      <c r="I61">
        <f>'Final list of total hauls pros'!H61</f>
        <v>2</v>
      </c>
      <c r="J61" t="str">
        <f>'Final list of total hauls pros'!I61</f>
        <v>DEN</v>
      </c>
      <c r="K61" s="13">
        <f>'Final list of total hauls pros'!J61</f>
        <v>54.987166666666702</v>
      </c>
      <c r="L61" s="13">
        <f>'Final list of total hauls pros'!K61</f>
        <v>12.672333333333301</v>
      </c>
      <c r="M61" t="str">
        <f>'Final list of total hauls pros'!L61</f>
        <v>21-24</v>
      </c>
      <c r="N61" t="str">
        <f>Processing!I64</f>
        <v>GFR (SD 21-24)</v>
      </c>
    </row>
    <row r="62" spans="2:14" x14ac:dyDescent="0.25">
      <c r="B62">
        <f>Processing!D65</f>
        <v>24089</v>
      </c>
      <c r="C62" t="str">
        <f>Processing!F65</f>
        <v>38G2</v>
      </c>
      <c r="D62">
        <f>'Final list of total hauls pros'!C62</f>
        <v>24</v>
      </c>
      <c r="E62">
        <f>'Final list of total hauls pros'!D62</f>
        <v>54</v>
      </c>
      <c r="F62">
        <f>'Final list of total hauls pros'!E62</f>
        <v>54.125399999999999</v>
      </c>
      <c r="G62">
        <f>'Final list of total hauls pros'!F62</f>
        <v>12</v>
      </c>
      <c r="H62">
        <f>'Final list of total hauls pros'!G62</f>
        <v>54</v>
      </c>
      <c r="I62">
        <f>'Final list of total hauls pros'!H62</f>
        <v>3</v>
      </c>
      <c r="J62" t="str">
        <f>'Final list of total hauls pros'!I62</f>
        <v>DEN</v>
      </c>
      <c r="K62" s="13">
        <f>'Final list of total hauls pros'!J62</f>
        <v>54.902090000000001</v>
      </c>
      <c r="L62" s="13">
        <f>'Final list of total hauls pros'!K62</f>
        <v>12.9</v>
      </c>
      <c r="M62" t="str">
        <f>'Final list of total hauls pros'!L62</f>
        <v>21-24</v>
      </c>
      <c r="N62" t="str">
        <f>Processing!I65</f>
        <v>GFR (SD 21-24)</v>
      </c>
    </row>
    <row r="63" spans="2:14" x14ac:dyDescent="0.25">
      <c r="B63">
        <f>Processing!D66</f>
        <v>24095</v>
      </c>
      <c r="C63" t="str">
        <f>Processing!F66</f>
        <v>39G2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5</v>
      </c>
      <c r="G63">
        <f>'Final list of total hauls pros'!F63</f>
        <v>12</v>
      </c>
      <c r="H63">
        <f>'Final list of total hauls pros'!G63</f>
        <v>50.1</v>
      </c>
      <c r="I63">
        <f>'Final list of total hauls pros'!H63</f>
        <v>2</v>
      </c>
      <c r="J63" t="str">
        <f>'Final list of total hauls pros'!I63</f>
        <v>DEN</v>
      </c>
      <c r="K63" s="13">
        <f>'Final list of total hauls pros'!J63</f>
        <v>55.0833333333333</v>
      </c>
      <c r="L63" s="13">
        <f>'Final list of total hauls pros'!K63</f>
        <v>12.835000000000001</v>
      </c>
      <c r="M63" t="str">
        <f>'Final list of total hauls pros'!L63</f>
        <v>21-24</v>
      </c>
      <c r="N63" t="str">
        <f>Processing!I66</f>
        <v>GFR (SD 21-24)</v>
      </c>
    </row>
    <row r="64" spans="2:14" x14ac:dyDescent="0.25">
      <c r="B64">
        <f>Processing!D67</f>
        <v>24101</v>
      </c>
      <c r="C64" t="str">
        <f>Processing!F67</f>
        <v>39G3</v>
      </c>
      <c r="D64">
        <f>'Final list of total hauls pros'!C64</f>
        <v>24</v>
      </c>
      <c r="E64">
        <f>'Final list of total hauls pros'!D64</f>
        <v>55</v>
      </c>
      <c r="F64">
        <f>'Final list of total hauls pros'!E64</f>
        <v>6.87</v>
      </c>
      <c r="G64">
        <f>'Final list of total hauls pros'!F64</f>
        <v>13</v>
      </c>
      <c r="H64">
        <f>'Final list of total hauls pros'!G64</f>
        <v>52.47</v>
      </c>
      <c r="I64">
        <f>'Final list of total hauls pros'!H64</f>
        <v>3</v>
      </c>
      <c r="J64" t="str">
        <f>'Final list of total hauls pros'!I64</f>
        <v>SWE</v>
      </c>
      <c r="K64" s="13">
        <f>'Final list of total hauls pros'!J64</f>
        <v>55.1145</v>
      </c>
      <c r="L64" s="13">
        <f>'Final list of total hauls pros'!K64</f>
        <v>13.874499999999999</v>
      </c>
      <c r="M64" t="str">
        <f>'Final list of total hauls pros'!L64</f>
        <v>21-24</v>
      </c>
      <c r="N64" t="str">
        <f>Processing!I67</f>
        <v>GFR (SD 21-24)</v>
      </c>
    </row>
    <row r="65" spans="2:14" x14ac:dyDescent="0.25">
      <c r="B65">
        <f>Processing!D68</f>
        <v>24104</v>
      </c>
      <c r="C65" t="str">
        <f>Processing!F68</f>
        <v>39G3</v>
      </c>
      <c r="D65">
        <f>'Final list of total hauls pros'!C65</f>
        <v>24</v>
      </c>
      <c r="E65">
        <f>'Final list of total hauls pros'!D65</f>
        <v>55</v>
      </c>
      <c r="F65">
        <f>'Final list of total hauls pros'!E65</f>
        <v>3.98</v>
      </c>
      <c r="G65">
        <f>'Final list of total hauls pros'!F65</f>
        <v>13</v>
      </c>
      <c r="H65">
        <f>'Final list of total hauls pros'!G65</f>
        <v>20.399999999999999</v>
      </c>
      <c r="I65">
        <f>'Final list of total hauls pros'!H65</f>
        <v>3</v>
      </c>
      <c r="J65" t="str">
        <f>'Final list of total hauls pros'!I65</f>
        <v>SWE</v>
      </c>
      <c r="K65" s="13">
        <f>'Final list of total hauls pros'!J65</f>
        <v>55.066333333333297</v>
      </c>
      <c r="L65" s="13">
        <f>'Final list of total hauls pros'!K65</f>
        <v>13.34</v>
      </c>
      <c r="M65" t="str">
        <f>'Final list of total hauls pros'!L65</f>
        <v>21-24</v>
      </c>
      <c r="N65" t="str">
        <f>Processing!I68</f>
        <v>GFR (SD 21-24)</v>
      </c>
    </row>
    <row r="66" spans="2:14" x14ac:dyDescent="0.25">
      <c r="B66">
        <f>Processing!D69</f>
        <v>24107</v>
      </c>
      <c r="C66" t="str">
        <f>Processing!F69</f>
        <v>39G3</v>
      </c>
      <c r="D66">
        <f>'Final list of total hauls pros'!C66</f>
        <v>24</v>
      </c>
      <c r="E66">
        <f>'Final list of total hauls pros'!D66</f>
        <v>55</v>
      </c>
      <c r="F66">
        <f>'Final list of total hauls pros'!E66</f>
        <v>16.399999999999999</v>
      </c>
      <c r="G66">
        <f>'Final list of total hauls pros'!F66</f>
        <v>13</v>
      </c>
      <c r="H66">
        <f>'Final list of total hauls pros'!G66</f>
        <v>44.6</v>
      </c>
      <c r="I66">
        <f>'Final list of total hauls pros'!H66</f>
        <v>3</v>
      </c>
      <c r="J66" t="str">
        <f>'Final list of total hauls pros'!I66</f>
        <v>SWE</v>
      </c>
      <c r="K66" s="13">
        <f>'Final list of total hauls pros'!J66</f>
        <v>55.273333333333298</v>
      </c>
      <c r="L66" s="13">
        <f>'Final list of total hauls pros'!K66</f>
        <v>13.7433333333333</v>
      </c>
      <c r="M66" t="str">
        <f>'Final list of total hauls pros'!L66</f>
        <v>21-24</v>
      </c>
      <c r="N66" t="str">
        <f>Processing!I69</f>
        <v>SWE (SD 25-32)</v>
      </c>
    </row>
    <row r="67" spans="2:14" x14ac:dyDescent="0.25">
      <c r="B67">
        <f>Processing!D70</f>
        <v>24142</v>
      </c>
      <c r="C67" t="str">
        <f>Processing!F70</f>
        <v>39G4</v>
      </c>
      <c r="D67">
        <f>'Final list of total hauls pros'!C67</f>
        <v>24</v>
      </c>
      <c r="E67">
        <f>'Final list of total hauls pros'!D67</f>
        <v>55</v>
      </c>
      <c r="F67">
        <f>'Final list of total hauls pros'!E67</f>
        <v>16.399999999999999</v>
      </c>
      <c r="G67">
        <f>'Final list of total hauls pros'!F67</f>
        <v>14</v>
      </c>
      <c r="H67">
        <f>'Final list of total hauls pros'!G67</f>
        <v>5</v>
      </c>
      <c r="I67">
        <f>'Final list of total hauls pros'!H67</f>
        <v>2</v>
      </c>
      <c r="J67" t="str">
        <f>'Final list of total hauls pros'!I67</f>
        <v>SWE</v>
      </c>
      <c r="K67" s="13">
        <f>'Final list of total hauls pros'!J67</f>
        <v>55.273333333333298</v>
      </c>
      <c r="L67" s="13">
        <f>'Final list of total hauls pros'!K67</f>
        <v>14.0833333333333</v>
      </c>
      <c r="M67" t="str">
        <f>'Final list of total hauls pros'!L67</f>
        <v>21-24</v>
      </c>
      <c r="N67" t="str">
        <f>Processing!I70</f>
        <v>SWE (SD 25-32)</v>
      </c>
    </row>
    <row r="68" spans="2:14" x14ac:dyDescent="0.25">
      <c r="B68">
        <f>Processing!D71</f>
        <v>24150</v>
      </c>
      <c r="C68" t="str">
        <f>Processing!F71</f>
        <v>38G4</v>
      </c>
      <c r="D68">
        <f>'Final list of total hauls pros'!C68</f>
        <v>24</v>
      </c>
      <c r="E68">
        <f>'Final list of total hauls pros'!D68</f>
        <v>54</v>
      </c>
      <c r="F68">
        <f>'Final list of total hauls pros'!E68</f>
        <v>36.770000000000003</v>
      </c>
      <c r="G68">
        <f>'Final list of total hauls pros'!F68</f>
        <v>14</v>
      </c>
      <c r="H68">
        <f>'Final list of total hauls pros'!G68</f>
        <v>46.61</v>
      </c>
      <c r="I68">
        <f>'Final list of total hauls pros'!H68</f>
        <v>3</v>
      </c>
      <c r="J68" t="str">
        <f>'Final list of total hauls pros'!I68</f>
        <v>DEN</v>
      </c>
      <c r="K68" s="13">
        <f>'Final list of total hauls pros'!J68</f>
        <v>54.612833333333299</v>
      </c>
      <c r="L68" s="13">
        <f>'Final list of total hauls pros'!K68</f>
        <v>14.7768333333333</v>
      </c>
      <c r="M68" t="str">
        <f>'Final list of total hauls pros'!L68</f>
        <v>21-24</v>
      </c>
      <c r="N68" t="str">
        <f>Processing!I71</f>
        <v>GFR (SD 21-24)</v>
      </c>
    </row>
    <row r="69" spans="2:14" x14ac:dyDescent="0.25">
      <c r="B69">
        <f>Processing!D72</f>
        <v>24164</v>
      </c>
      <c r="C69" t="str">
        <f>Processing!F72</f>
        <v>38G4</v>
      </c>
      <c r="D69">
        <f>'Final list of total hauls pros'!C69</f>
        <v>24</v>
      </c>
      <c r="E69">
        <f>'Final list of total hauls pros'!D69</f>
        <v>54</v>
      </c>
      <c r="F69">
        <f>'Final list of total hauls pros'!E69</f>
        <v>40.17</v>
      </c>
      <c r="G69">
        <f>'Final list of total hauls pros'!F69</f>
        <v>14</v>
      </c>
      <c r="H69">
        <f>'Final list of total hauls pros'!G69</f>
        <v>40.29</v>
      </c>
      <c r="I69">
        <f>'Final list of total hauls pros'!H69</f>
        <v>3</v>
      </c>
      <c r="J69" t="str">
        <f>'Final list of total hauls pros'!I69</f>
        <v>DEN</v>
      </c>
      <c r="K69" s="13">
        <f>'Final list of total hauls pros'!J69</f>
        <v>54.669499999999999</v>
      </c>
      <c r="L69" s="13">
        <f>'Final list of total hauls pros'!K69</f>
        <v>14.6715</v>
      </c>
      <c r="M69" t="str">
        <f>'Final list of total hauls pros'!L69</f>
        <v>21-24</v>
      </c>
      <c r="N69" t="str">
        <f>Processing!I72</f>
        <v>GFR (SD 21-24)</v>
      </c>
    </row>
    <row r="70" spans="2:14" x14ac:dyDescent="0.25">
      <c r="B70">
        <f>Processing!D73</f>
        <v>24169</v>
      </c>
      <c r="C70" t="str">
        <f>Processing!F73</f>
        <v>38G2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54.8</v>
      </c>
      <c r="G70">
        <f>'Final list of total hauls pros'!F70</f>
        <v>12</v>
      </c>
      <c r="H70">
        <f>'Final list of total hauls pros'!G70</f>
        <v>58.5</v>
      </c>
      <c r="I70">
        <f>'Final list of total hauls pros'!H70</f>
        <v>2</v>
      </c>
      <c r="J70" t="str">
        <f>'Final list of total hauls pros'!I70</f>
        <v>DEN</v>
      </c>
      <c r="K70" s="13">
        <f>'Final list of total hauls pros'!J70</f>
        <v>54.913333333333298</v>
      </c>
      <c r="L70" s="13">
        <f>'Final list of total hauls pros'!K70</f>
        <v>12.975</v>
      </c>
      <c r="M70" t="str">
        <f>'Final list of total hauls pros'!L70</f>
        <v>21-24</v>
      </c>
      <c r="N70" t="str">
        <f>Processing!I73</f>
        <v>GFR (SD 21-24)</v>
      </c>
    </row>
    <row r="71" spans="2:14" x14ac:dyDescent="0.25">
      <c r="B71">
        <f>Processing!D74</f>
        <v>24183</v>
      </c>
      <c r="C71" t="str">
        <f>Processing!F74</f>
        <v>38G3</v>
      </c>
      <c r="D71">
        <f>'Final list of total hauls pros'!C71</f>
        <v>24</v>
      </c>
      <c r="E71">
        <f>'Final list of total hauls pros'!D71</f>
        <v>55</v>
      </c>
      <c r="F71">
        <f>'Final list of total hauls pros'!E71</f>
        <v>0</v>
      </c>
      <c r="G71">
        <f>'Final list of total hauls pros'!F71</f>
        <v>13</v>
      </c>
      <c r="H71">
        <f>'Final list of total hauls pros'!G71</f>
        <v>31.7</v>
      </c>
      <c r="I71">
        <f>'Final list of total hauls pros'!H71</f>
        <v>3</v>
      </c>
      <c r="J71" t="str">
        <f>'Final list of total hauls pros'!I71</f>
        <v>GFR</v>
      </c>
      <c r="K71" s="13">
        <f>'Final list of total hauls pros'!J71</f>
        <v>55</v>
      </c>
      <c r="L71" s="13">
        <f>'Final list of total hauls pros'!K71</f>
        <v>13.5283333333333</v>
      </c>
      <c r="M71" t="str">
        <f>'Final list of total hauls pros'!L71</f>
        <v>21-24</v>
      </c>
      <c r="N71" t="str">
        <f>Processing!I74</f>
        <v>GFR (SD 21-24)</v>
      </c>
    </row>
    <row r="72" spans="2:14" x14ac:dyDescent="0.25">
      <c r="B72">
        <f>Processing!D75</f>
        <v>24207</v>
      </c>
      <c r="C72" t="str">
        <f>Processing!F75</f>
        <v>38G4</v>
      </c>
      <c r="D72">
        <f>'Final list of total hauls pros'!C72</f>
        <v>24</v>
      </c>
      <c r="E72">
        <f>'Final list of total hauls pros'!D72</f>
        <v>54</v>
      </c>
      <c r="F72">
        <f>'Final list of total hauls pros'!E72</f>
        <v>59.2</v>
      </c>
      <c r="G72">
        <f>'Final list of total hauls pros'!F72</f>
        <v>14</v>
      </c>
      <c r="H72">
        <f>'Final list of total hauls pros'!G72</f>
        <v>9.5</v>
      </c>
      <c r="I72">
        <f>'Final list of total hauls pros'!H72</f>
        <v>3</v>
      </c>
      <c r="J72" t="str">
        <f>'Final list of total hauls pros'!I72</f>
        <v>DEN</v>
      </c>
      <c r="K72" s="13">
        <f>'Final list of total hauls pros'!J72</f>
        <v>54.9866666666667</v>
      </c>
      <c r="L72" s="13">
        <f>'Final list of total hauls pros'!K72</f>
        <v>14.158333333333299</v>
      </c>
      <c r="M72" t="str">
        <f>'Final list of total hauls pros'!L72</f>
        <v>21-24</v>
      </c>
      <c r="N72" t="str">
        <f>Processing!I75</f>
        <v>GFR (SD 21-24)</v>
      </c>
    </row>
    <row r="73" spans="2:14" x14ac:dyDescent="0.25">
      <c r="B73">
        <f>Processing!D76</f>
        <v>24251</v>
      </c>
      <c r="C73" t="str">
        <f>Processing!F76</f>
        <v>39G4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5.4</v>
      </c>
      <c r="G73">
        <f>'Final list of total hauls pros'!F73</f>
        <v>14</v>
      </c>
      <c r="H73">
        <f>'Final list of total hauls pros'!G73</f>
        <v>33.14</v>
      </c>
      <c r="I73">
        <f>'Final list of total hauls pros'!H73</f>
        <v>3</v>
      </c>
      <c r="J73" t="str">
        <f>'Final list of total hauls pros'!I73</f>
        <v>DEN</v>
      </c>
      <c r="K73" s="13">
        <f>'Final list of total hauls pros'!J73</f>
        <v>55.09</v>
      </c>
      <c r="L73" s="13">
        <f>'Final list of total hauls pros'!K73</f>
        <v>14.5523333333333</v>
      </c>
      <c r="M73" t="str">
        <f>'Final list of total hauls pros'!L73</f>
        <v>21-24</v>
      </c>
      <c r="N73" t="str">
        <f>Processing!I76</f>
        <v>GFR (SD 21-24)</v>
      </c>
    </row>
    <row r="74" spans="2:14" x14ac:dyDescent="0.25">
      <c r="B74">
        <f>Processing!D77</f>
        <v>24252</v>
      </c>
      <c r="C74" t="str">
        <f>Processing!F77</f>
        <v>39G3</v>
      </c>
      <c r="D74">
        <f>'Final list of total hauls pros'!C74</f>
        <v>24</v>
      </c>
      <c r="E74">
        <f>'Final list of total hauls pros'!D74</f>
        <v>55</v>
      </c>
      <c r="F74">
        <f>'Final list of total hauls pros'!E74</f>
        <v>12.47</v>
      </c>
      <c r="G74">
        <f>'Final list of total hauls pros'!F74</f>
        <v>13</v>
      </c>
      <c r="H74">
        <f>'Final list of total hauls pros'!G74</f>
        <v>10.47</v>
      </c>
      <c r="I74">
        <f>'Final list of total hauls pros'!H74</f>
        <v>3</v>
      </c>
      <c r="J74" t="str">
        <f>'Final list of total hauls pros'!I74</f>
        <v>SWE</v>
      </c>
      <c r="K74" s="13">
        <f>'Final list of total hauls pros'!J74</f>
        <v>55.207833333333298</v>
      </c>
      <c r="L74" s="13">
        <f>'Final list of total hauls pros'!K74</f>
        <v>13.1745</v>
      </c>
      <c r="M74" t="str">
        <f>'Final list of total hauls pros'!L74</f>
        <v>21-24</v>
      </c>
      <c r="N74" t="str">
        <f>Processing!I77</f>
        <v>SWE (SD 25-32)</v>
      </c>
    </row>
    <row r="75" spans="2:14" x14ac:dyDescent="0.25">
      <c r="B75">
        <f>Processing!D78</f>
        <v>24275</v>
      </c>
      <c r="C75" t="str">
        <f>Processing!F78</f>
        <v>39G4</v>
      </c>
      <c r="D75">
        <f>'Final list of total hauls pros'!C75</f>
        <v>24</v>
      </c>
      <c r="E75">
        <f>'Final list of total hauls pros'!D75</f>
        <v>55</v>
      </c>
      <c r="F75">
        <f>'Final list of total hauls pros'!E75</f>
        <v>11.91</v>
      </c>
      <c r="G75">
        <f>'Final list of total hauls pros'!F75</f>
        <v>14</v>
      </c>
      <c r="H75">
        <f>'Final list of total hauls pros'!G75</f>
        <v>18.7</v>
      </c>
      <c r="I75">
        <f>'Final list of total hauls pros'!H75</f>
        <v>3</v>
      </c>
      <c r="J75" t="str">
        <f>'Final list of total hauls pros'!I75</f>
        <v>DEN</v>
      </c>
      <c r="K75" s="13">
        <f>'Final list of total hauls pros'!J75</f>
        <v>55.198500000000003</v>
      </c>
      <c r="L75" s="13">
        <f>'Final list of total hauls pros'!K75</f>
        <v>14.311666666666699</v>
      </c>
      <c r="M75" t="str">
        <f>'Final list of total hauls pros'!L75</f>
        <v>21-24</v>
      </c>
      <c r="N75" t="str">
        <f>Processing!I78</f>
        <v>GFR (SD 21-24)</v>
      </c>
    </row>
    <row r="76" spans="2:14" x14ac:dyDescent="0.25">
      <c r="B76">
        <f>Processing!D79</f>
        <v>24278</v>
      </c>
      <c r="C76" t="str">
        <f>Processing!F79</f>
        <v>38G5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46.1</v>
      </c>
      <c r="G76">
        <f>'Final list of total hauls pros'!F76</f>
        <v>15</v>
      </c>
      <c r="H76">
        <f>'Final list of total hauls pros'!G76</f>
        <v>0</v>
      </c>
      <c r="I76">
        <f>'Final list of total hauls pros'!H76</f>
        <v>3</v>
      </c>
      <c r="J76" t="str">
        <f>'Final list of total hauls pros'!I76</f>
        <v>DEN</v>
      </c>
      <c r="K76" s="13">
        <f>'Final list of total hauls pros'!J76</f>
        <v>54.768333333333302</v>
      </c>
      <c r="L76" s="13">
        <f>'Final list of total hauls pros'!K76</f>
        <v>15</v>
      </c>
      <c r="M76" t="str">
        <f>'Final list of total hauls pros'!L76</f>
        <v>21-24</v>
      </c>
      <c r="N76" t="str">
        <f>Processing!I79</f>
        <v>GFR (SD 21-24)</v>
      </c>
    </row>
    <row r="77" spans="2:14" x14ac:dyDescent="0.25">
      <c r="B77">
        <f>Processing!D80</f>
        <v>24287</v>
      </c>
      <c r="C77" t="str">
        <f>Processing!F80</f>
        <v>39G4</v>
      </c>
      <c r="D77">
        <f>'Final list of total hauls pros'!C77</f>
        <v>24</v>
      </c>
      <c r="E77">
        <f>'Final list of total hauls pros'!D77</f>
        <v>55</v>
      </c>
      <c r="F77">
        <f>'Final list of total hauls pros'!E77</f>
        <v>2.5</v>
      </c>
      <c r="G77">
        <f>'Final list of total hauls pros'!F77</f>
        <v>14</v>
      </c>
      <c r="H77">
        <f>'Final list of total hauls pros'!G77</f>
        <v>13.4</v>
      </c>
      <c r="I77">
        <f>'Final list of total hauls pros'!H77</f>
        <v>3</v>
      </c>
      <c r="J77" t="str">
        <f>'Final list of total hauls pros'!I77</f>
        <v>DEN</v>
      </c>
      <c r="K77" s="13">
        <f>'Final list of total hauls pros'!J77</f>
        <v>55.0416666666667</v>
      </c>
      <c r="L77" s="13">
        <f>'Final list of total hauls pros'!K77</f>
        <v>14.223333333333301</v>
      </c>
      <c r="M77" t="str">
        <f>'Final list of total hauls pros'!L77</f>
        <v>21-24</v>
      </c>
      <c r="N77" t="str">
        <f>Processing!I80</f>
        <v>GFR (SD 21-24)</v>
      </c>
    </row>
    <row r="78" spans="2:14" x14ac:dyDescent="0.25">
      <c r="B78">
        <f>Processing!D81</f>
        <v>24300</v>
      </c>
      <c r="C78" t="str">
        <f>Processing!F81</f>
        <v>38G4</v>
      </c>
      <c r="D78">
        <f>'Final list of total hauls pros'!C78</f>
        <v>24</v>
      </c>
      <c r="E78">
        <f>'Final list of total hauls pros'!D78</f>
        <v>54</v>
      </c>
      <c r="F78">
        <f>'Final list of total hauls pros'!E78</f>
        <v>51.74</v>
      </c>
      <c r="G78">
        <f>'Final list of total hauls pros'!F78</f>
        <v>14</v>
      </c>
      <c r="H78">
        <f>'Final list of total hauls pros'!G78</f>
        <v>47.68</v>
      </c>
      <c r="I78">
        <f>'Final list of total hauls pros'!H78</f>
        <v>2</v>
      </c>
      <c r="J78" t="str">
        <f>'Final list of total hauls pros'!I78</f>
        <v>DEN</v>
      </c>
      <c r="K78" s="13">
        <f>'Final list of total hauls pros'!J78</f>
        <v>54.862333333333297</v>
      </c>
      <c r="L78" s="13">
        <f>'Final list of total hauls pros'!K78</f>
        <v>14.7946666666667</v>
      </c>
      <c r="M78" t="str">
        <f>'Final list of total hauls pros'!L78</f>
        <v>21-24</v>
      </c>
      <c r="N78" t="str">
        <f>Processing!I81</f>
        <v>GFR (SD 21-24)</v>
      </c>
    </row>
    <row r="79" spans="2:14" x14ac:dyDescent="0.25">
      <c r="B79">
        <f>Processing!D82</f>
        <v>24301</v>
      </c>
      <c r="C79" t="str">
        <f>Processing!F82</f>
        <v>39G3</v>
      </c>
      <c r="D79">
        <f>'Final list of total hauls pros'!C79</f>
        <v>24</v>
      </c>
      <c r="E79">
        <f>'Final list of total hauls pros'!D79</f>
        <v>55</v>
      </c>
      <c r="F79">
        <f>'Final list of total hauls pros'!E79</f>
        <v>3.36</v>
      </c>
      <c r="G79">
        <f>'Final list of total hauls pros'!F79</f>
        <v>13</v>
      </c>
      <c r="H79">
        <f>'Final list of total hauls pros'!G79</f>
        <v>38.36</v>
      </c>
      <c r="I79">
        <f>'Final list of total hauls pros'!H79</f>
        <v>2</v>
      </c>
      <c r="J79" t="str">
        <f>'Final list of total hauls pros'!I79</f>
        <v>SWE</v>
      </c>
      <c r="K79" s="13">
        <f>'Final list of total hauls pros'!J79</f>
        <v>55.055999999999997</v>
      </c>
      <c r="L79" s="13">
        <f>'Final list of total hauls pros'!K79</f>
        <v>13.639333333333299</v>
      </c>
      <c r="M79" t="str">
        <f>'Final list of total hauls pros'!L79</f>
        <v>21-24</v>
      </c>
      <c r="N79" t="str">
        <f>Processing!I82</f>
        <v>GFR (SD 21-24)</v>
      </c>
    </row>
    <row r="80" spans="2:14" x14ac:dyDescent="0.25">
      <c r="B80">
        <f>Processing!D83</f>
        <v>24303</v>
      </c>
      <c r="C80" t="str">
        <f>Processing!F83</f>
        <v>39G3</v>
      </c>
      <c r="D80">
        <f>'Final list of total hauls pros'!C80</f>
        <v>24</v>
      </c>
      <c r="E80">
        <f>'Final list of total hauls pros'!D80</f>
        <v>55</v>
      </c>
      <c r="F80">
        <f>'Final list of total hauls pros'!E80</f>
        <v>18.829999999999998</v>
      </c>
      <c r="G80">
        <f>'Final list of total hauls pros'!F80</f>
        <v>13</v>
      </c>
      <c r="H80">
        <f>'Final list of total hauls pros'!G80</f>
        <v>55.94</v>
      </c>
      <c r="I80">
        <f>'Final list of total hauls pros'!H80</f>
        <v>2</v>
      </c>
      <c r="J80" t="str">
        <f>'Final list of total hauls pros'!I80</f>
        <v>SWE</v>
      </c>
      <c r="K80" s="13">
        <f>'Final list of total hauls pros'!J80</f>
        <v>55.313833333333299</v>
      </c>
      <c r="L80" s="13">
        <f>'Final list of total hauls pros'!K80</f>
        <v>13.9323333333333</v>
      </c>
      <c r="M80" t="str">
        <f>'Final list of total hauls pros'!L80</f>
        <v>21-24</v>
      </c>
      <c r="N80" t="str">
        <f>Processing!I83</f>
        <v>SWE (SD 25-32)</v>
      </c>
    </row>
    <row r="81" spans="2:14" x14ac:dyDescent="0.25">
      <c r="B81">
        <f>Processing!D84</f>
        <v>24309</v>
      </c>
      <c r="C81" t="str">
        <f>Processing!F84</f>
        <v>38G3</v>
      </c>
      <c r="D81">
        <f>'Final list of total hauls pros'!C81</f>
        <v>24</v>
      </c>
      <c r="E81">
        <f>'Final list of total hauls pros'!D81</f>
        <v>54</v>
      </c>
      <c r="F81">
        <f>'Final list of total hauls pros'!E81</f>
        <v>52.375599999999999</v>
      </c>
      <c r="G81">
        <f>'Final list of total hauls pros'!F81</f>
        <v>13</v>
      </c>
      <c r="H81">
        <f>'Final list of total hauls pros'!G81</f>
        <v>34.269399999999997</v>
      </c>
      <c r="I81">
        <f>'Final list of total hauls pros'!H81</f>
        <v>3</v>
      </c>
      <c r="J81" t="str">
        <f>'Final list of total hauls pros'!I81</f>
        <v>GFR</v>
      </c>
      <c r="K81" s="13">
        <f>'Final list of total hauls pros'!J81</f>
        <v>54.8729266666667</v>
      </c>
      <c r="L81" s="13">
        <f>'Final list of total hauls pros'!K81</f>
        <v>13.571156666666701</v>
      </c>
      <c r="M81" t="str">
        <f>'Final list of total hauls pros'!L81</f>
        <v>21-24</v>
      </c>
      <c r="N81" t="str">
        <f>Processing!I84</f>
        <v>GFR (SD 21-24)</v>
      </c>
    </row>
    <row r="82" spans="2:14" x14ac:dyDescent="0.25">
      <c r="B82">
        <f>Processing!D85</f>
        <v>24310</v>
      </c>
      <c r="C82" t="str">
        <f>Processing!F85</f>
        <v>38G3</v>
      </c>
      <c r="D82">
        <f>'Final list of total hauls pros'!C82</f>
        <v>24</v>
      </c>
      <c r="E82">
        <f>'Final list of total hauls pros'!D82</f>
        <v>54</v>
      </c>
      <c r="F82">
        <f>'Final list of total hauls pros'!E82</f>
        <v>59.326999999999998</v>
      </c>
      <c r="G82">
        <f>'Final list of total hauls pros'!F82</f>
        <v>13</v>
      </c>
      <c r="H82">
        <f>'Final list of total hauls pros'!G82</f>
        <v>52.183599999999998</v>
      </c>
      <c r="I82">
        <f>'Final list of total hauls pros'!H82</f>
        <v>3</v>
      </c>
      <c r="J82" t="str">
        <f>'Final list of total hauls pros'!I82</f>
        <v>GFR</v>
      </c>
      <c r="K82" s="13">
        <f>'Final list of total hauls pros'!J82</f>
        <v>54.988783333333302</v>
      </c>
      <c r="L82" s="13">
        <f>'Final list of total hauls pros'!K82</f>
        <v>13.869726666666701</v>
      </c>
      <c r="M82" t="str">
        <f>'Final list of total hauls pros'!L82</f>
        <v>21-24</v>
      </c>
      <c r="N82" t="str">
        <f>Processing!I85</f>
        <v>GFR (SD 21-24)</v>
      </c>
    </row>
    <row r="83" spans="2:14" x14ac:dyDescent="0.25">
      <c r="B83">
        <f>Processing!D86</f>
        <v>24311</v>
      </c>
      <c r="C83" t="str">
        <f>Processing!F86</f>
        <v>38G4</v>
      </c>
      <c r="D83">
        <f>'Final list of total hauls pros'!C83</f>
        <v>24</v>
      </c>
      <c r="E83">
        <f>'Final list of total hauls pros'!D83</f>
        <v>55</v>
      </c>
      <c r="F83">
        <f>'Final list of total hauls pros'!E83</f>
        <v>0.88</v>
      </c>
      <c r="G83">
        <f>'Final list of total hauls pros'!F83</f>
        <v>14</v>
      </c>
      <c r="H83">
        <f>'Final list of total hauls pros'!G83</f>
        <v>16.399999999999999</v>
      </c>
      <c r="I83">
        <f>'Final list of total hauls pros'!H83</f>
        <v>3</v>
      </c>
      <c r="J83" t="str">
        <f>'Final list of total hauls pros'!I83</f>
        <v>DEN</v>
      </c>
      <c r="K83" s="13">
        <f>'Final list of total hauls pros'!J83</f>
        <v>55.014666666666699</v>
      </c>
      <c r="L83" s="13">
        <f>'Final list of total hauls pros'!K83</f>
        <v>14.2733333333333</v>
      </c>
      <c r="M83" t="str">
        <f>'Final list of total hauls pros'!L83</f>
        <v>21-24</v>
      </c>
      <c r="N83" t="str">
        <f>Processing!I86</f>
        <v>GFR (SD 21-24)</v>
      </c>
    </row>
    <row r="84" spans="2:14" x14ac:dyDescent="0.25">
      <c r="B84">
        <f>Processing!D87</f>
        <v>24328</v>
      </c>
      <c r="C84" t="str">
        <f>Processing!F87</f>
        <v>38G2</v>
      </c>
      <c r="D84">
        <f>'Final list of total hauls pros'!C84</f>
        <v>24</v>
      </c>
      <c r="E84">
        <f>'Final list of total hauls pros'!D84</f>
        <v>54</v>
      </c>
      <c r="F84">
        <f>'Final list of total hauls pros'!E84</f>
        <v>38.39</v>
      </c>
      <c r="G84">
        <f>'Final list of total hauls pros'!F84</f>
        <v>12</v>
      </c>
      <c r="H84">
        <f>'Final list of total hauls pros'!G84</f>
        <v>41.08</v>
      </c>
      <c r="I84">
        <f>'Final list of total hauls pros'!H84</f>
        <v>2</v>
      </c>
      <c r="J84" t="str">
        <f>'Final list of total hauls pros'!I84</f>
        <v>GFR</v>
      </c>
      <c r="K84" s="13">
        <f>'Final list of total hauls pros'!J84</f>
        <v>54.6398333333333</v>
      </c>
      <c r="L84" s="13">
        <f>'Final list of total hauls pros'!K84</f>
        <v>12.684666666666701</v>
      </c>
      <c r="M84" t="str">
        <f>'Final list of total hauls pros'!L84</f>
        <v>21-24</v>
      </c>
      <c r="N84" t="str">
        <f>Processing!I87</f>
        <v>GFR (SD 21-24)</v>
      </c>
    </row>
    <row r="85" spans="2:14" x14ac:dyDescent="0.25">
      <c r="B85">
        <f>Processing!D88</f>
        <v>24329</v>
      </c>
      <c r="C85" t="str">
        <f>Processing!F88</f>
        <v>37G4</v>
      </c>
      <c r="D85">
        <f>'Final list of total hauls pros'!C85</f>
        <v>24</v>
      </c>
      <c r="E85">
        <f>'Final list of total hauls pros'!D85</f>
        <v>54</v>
      </c>
      <c r="F85">
        <f>'Final list of total hauls pros'!E85</f>
        <v>26</v>
      </c>
      <c r="G85">
        <f>'Final list of total hauls pros'!F85</f>
        <v>14</v>
      </c>
      <c r="H85">
        <f>'Final list of total hauls pros'!G85</f>
        <v>15.6</v>
      </c>
      <c r="I85">
        <f>'Final list of total hauls pros'!H85</f>
        <v>2</v>
      </c>
      <c r="J85" t="str">
        <f>'Final list of total hauls pros'!I85</f>
        <v>GFR</v>
      </c>
      <c r="K85" s="13">
        <f>'Final list of total hauls pros'!J85</f>
        <v>54.433333333333302</v>
      </c>
      <c r="L85" s="13">
        <f>'Final list of total hauls pros'!K85</f>
        <v>14.26</v>
      </c>
      <c r="M85" t="str">
        <f>'Final list of total hauls pros'!L85</f>
        <v>21-24</v>
      </c>
      <c r="N85" t="str">
        <f>Processing!I88</f>
        <v>GFR (SD 21-24)</v>
      </c>
    </row>
    <row r="86" spans="2:14" x14ac:dyDescent="0.25">
      <c r="B86">
        <f>Processing!D89</f>
        <v>24335</v>
      </c>
      <c r="C86" t="str">
        <f>Processing!F89</f>
        <v>37G4</v>
      </c>
      <c r="D86">
        <f>'Final list of total hauls pros'!C86</f>
        <v>24</v>
      </c>
      <c r="E86">
        <f>'Final list of total hauls pros'!D86</f>
        <v>54</v>
      </c>
      <c r="F86">
        <f>'Final list of total hauls pros'!E86</f>
        <v>11.5</v>
      </c>
      <c r="G86">
        <f>'Final list of total hauls pros'!F86</f>
        <v>14</v>
      </c>
      <c r="H86">
        <f>'Final list of total hauls pros'!G86</f>
        <v>18.600000000000001</v>
      </c>
      <c r="I86">
        <f>'Final list of total hauls pros'!H86</f>
        <v>2</v>
      </c>
      <c r="J86" t="str">
        <f>'Final list of total hauls pros'!I86</f>
        <v>GFR</v>
      </c>
      <c r="K86" s="13">
        <f>'Final list of total hauls pros'!J86</f>
        <v>54.191666666666698</v>
      </c>
      <c r="L86" s="13">
        <f>'Final list of total hauls pros'!K86</f>
        <v>14.31</v>
      </c>
      <c r="M86" t="str">
        <f>'Final list of total hauls pros'!L86</f>
        <v>21-24</v>
      </c>
      <c r="N86" t="str">
        <f>Processing!I89</f>
        <v>GFR (SD 21-24)</v>
      </c>
    </row>
    <row r="87" spans="2:14" x14ac:dyDescent="0.25">
      <c r="B87">
        <f>Processing!D90</f>
        <v>25004</v>
      </c>
      <c r="C87" t="str">
        <f>Processing!F90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52.7</v>
      </c>
      <c r="G87">
        <f>'Final list of total hauls pros'!F87</f>
        <v>16</v>
      </c>
      <c r="H87">
        <f>'Final list of total hauls pros'!G87</f>
        <v>38.6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54.878333333333302</v>
      </c>
      <c r="L87" s="13">
        <f>'Final list of total hauls pros'!K87</f>
        <v>16.643333333333299</v>
      </c>
      <c r="M87" t="str">
        <f>'Final list of total hauls pros'!L87</f>
        <v>25-32</v>
      </c>
      <c r="N87" t="str">
        <f>Processing!I90</f>
        <v>DEN (SD 25-32)</v>
      </c>
    </row>
    <row r="88" spans="2:14" x14ac:dyDescent="0.25">
      <c r="B88">
        <f>Processing!D91</f>
        <v>25006</v>
      </c>
      <c r="C88" t="str">
        <f>Processing!F91</f>
        <v>37G5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26</v>
      </c>
      <c r="G88">
        <f>'Final list of total hauls pros'!F88</f>
        <v>15</v>
      </c>
      <c r="H88">
        <f>'Final list of total hauls pros'!G88</f>
        <v>8.8000000000000007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54.433333333333302</v>
      </c>
      <c r="L88" s="13">
        <f>'Final list of total hauls pros'!K88</f>
        <v>15.1466666666667</v>
      </c>
      <c r="M88" t="str">
        <f>'Final list of total hauls pros'!L88</f>
        <v>25-32</v>
      </c>
      <c r="N88" t="str">
        <f>Processing!I91</f>
        <v>DEN (SD 25-32)</v>
      </c>
    </row>
    <row r="89" spans="2:14" x14ac:dyDescent="0.25">
      <c r="B89">
        <f>Processing!D92</f>
        <v>25008</v>
      </c>
      <c r="C89" t="str">
        <f>Processing!F92</f>
        <v>37G5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23</v>
      </c>
      <c r="G89">
        <f>'Final list of total hauls pros'!F89</f>
        <v>15</v>
      </c>
      <c r="H89">
        <f>'Final list of total hauls pros'!G89</f>
        <v>34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54.383333333333297</v>
      </c>
      <c r="L89" s="13">
        <f>'Final list of total hauls pros'!K89</f>
        <v>15.5666666666667</v>
      </c>
      <c r="M89" t="str">
        <f>'Final list of total hauls pros'!L89</f>
        <v>25-32</v>
      </c>
      <c r="N89" t="str">
        <f>Processing!I92</f>
        <v>POL (SD 25-32)</v>
      </c>
    </row>
    <row r="90" spans="2:14" x14ac:dyDescent="0.25">
      <c r="B90">
        <f>Processing!D93</f>
        <v>25009</v>
      </c>
      <c r="C90" t="str">
        <f>Processing!F93</f>
        <v>37G5</v>
      </c>
      <c r="D90">
        <f>'Final list of total hauls pros'!C90</f>
        <v>25</v>
      </c>
      <c r="E90">
        <f>'Final list of total hauls pros'!D90</f>
        <v>54</v>
      </c>
      <c r="F90">
        <f>'Final list of total hauls pros'!E90</f>
        <v>22.9</v>
      </c>
      <c r="G90">
        <f>'Final list of total hauls pros'!F90</f>
        <v>15</v>
      </c>
      <c r="H90">
        <f>'Final list of total hauls pros'!G90</f>
        <v>47.3</v>
      </c>
      <c r="I90">
        <f>'Final list of total hauls pros'!H90</f>
        <v>2</v>
      </c>
      <c r="J90" t="str">
        <f>'Final list of total hauls pros'!I90</f>
        <v>POL</v>
      </c>
      <c r="K90" s="13">
        <f>'Final list of total hauls pros'!J90</f>
        <v>54.381666666666703</v>
      </c>
      <c r="L90" s="13">
        <f>'Final list of total hauls pros'!K90</f>
        <v>15.7883333333333</v>
      </c>
      <c r="M90" t="str">
        <f>'Final list of total hauls pros'!L90</f>
        <v>25-32</v>
      </c>
      <c r="N90" t="str">
        <f>Processing!I93</f>
        <v>POL (SD 25-32)</v>
      </c>
    </row>
    <row r="91" spans="2:14" x14ac:dyDescent="0.25">
      <c r="B91">
        <f>Processing!D94</f>
        <v>25010</v>
      </c>
      <c r="C91" t="str">
        <f>Processing!F94</f>
        <v>37G6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26.8</v>
      </c>
      <c r="G91">
        <f>'Final list of total hauls pros'!F91</f>
        <v>16</v>
      </c>
      <c r="H91">
        <f>'Final list of total hauls pros'!G91</f>
        <v>5.3</v>
      </c>
      <c r="I91">
        <f>'Final list of total hauls pros'!H91</f>
        <v>2</v>
      </c>
      <c r="J91" t="str">
        <f>'Final list of total hauls pros'!I91</f>
        <v>POL</v>
      </c>
      <c r="K91" s="13">
        <f>'Final list of total hauls pros'!J91</f>
        <v>54.446666666666701</v>
      </c>
      <c r="L91" s="13">
        <f>'Final list of total hauls pros'!K91</f>
        <v>16.088333333333299</v>
      </c>
      <c r="M91" t="str">
        <f>'Final list of total hauls pros'!L91</f>
        <v>25-32</v>
      </c>
      <c r="N91" t="str">
        <f>Processing!I94</f>
        <v>POL (SD 25-32)</v>
      </c>
    </row>
    <row r="92" spans="2:14" x14ac:dyDescent="0.25">
      <c r="B92">
        <f>Processing!D95</f>
        <v>25011</v>
      </c>
      <c r="C92" t="str">
        <f>Processing!F95</f>
        <v>37G6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24.7</v>
      </c>
      <c r="G92">
        <f>'Final list of total hauls pros'!F92</f>
        <v>16</v>
      </c>
      <c r="H92">
        <f>'Final list of total hauls pros'!G92</f>
        <v>3</v>
      </c>
      <c r="I92">
        <f>'Final list of total hauls pros'!H92</f>
        <v>2</v>
      </c>
      <c r="J92" t="str">
        <f>'Final list of total hauls pros'!I92</f>
        <v>POL</v>
      </c>
      <c r="K92" s="13">
        <f>'Final list of total hauls pros'!J92</f>
        <v>54.411666666666697</v>
      </c>
      <c r="L92" s="13">
        <f>'Final list of total hauls pros'!K92</f>
        <v>16.05</v>
      </c>
      <c r="M92" t="str">
        <f>'Final list of total hauls pros'!L92</f>
        <v>25-32</v>
      </c>
      <c r="N92" t="str">
        <f>Processing!I95</f>
        <v>POL (SD 25-32)</v>
      </c>
    </row>
    <row r="93" spans="2:14" x14ac:dyDescent="0.25">
      <c r="B93">
        <f>Processing!D96</f>
        <v>25013</v>
      </c>
      <c r="C93" t="str">
        <f>Processing!F96</f>
        <v>38G6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39</v>
      </c>
      <c r="G93">
        <f>'Final list of total hauls pros'!F93</f>
        <v>16</v>
      </c>
      <c r="H93">
        <f>'Final list of total hauls pros'!G93</f>
        <v>23.6</v>
      </c>
      <c r="I93">
        <f>'Final list of total hauls pros'!H93</f>
        <v>2</v>
      </c>
      <c r="J93" t="str">
        <f>'Final list of total hauls pros'!I93</f>
        <v>POL</v>
      </c>
      <c r="K93" s="13">
        <f>'Final list of total hauls pros'!J93</f>
        <v>54.65</v>
      </c>
      <c r="L93" s="13">
        <f>'Final list of total hauls pros'!K93</f>
        <v>16.393333333333299</v>
      </c>
      <c r="M93" t="str">
        <f>'Final list of total hauls pros'!L93</f>
        <v>25-32</v>
      </c>
      <c r="N93" t="str">
        <f>Processing!I96</f>
        <v>POL (SD 25-32)</v>
      </c>
    </row>
    <row r="94" spans="2:14" x14ac:dyDescent="0.25">
      <c r="B94">
        <f>Processing!D97</f>
        <v>25014</v>
      </c>
      <c r="C94" t="str">
        <f>Processing!F97</f>
        <v>38G6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41.6</v>
      </c>
      <c r="G94">
        <f>'Final list of total hauls pros'!F94</f>
        <v>16</v>
      </c>
      <c r="H94">
        <f>'Final list of total hauls pros'!G94</f>
        <v>38.700000000000003</v>
      </c>
      <c r="I94">
        <f>'Final list of total hauls pros'!H94</f>
        <v>2</v>
      </c>
      <c r="J94" t="str">
        <f>'Final list of total hauls pros'!I94</f>
        <v>POL</v>
      </c>
      <c r="K94" s="13">
        <f>'Final list of total hauls pros'!J94</f>
        <v>54.6933333333333</v>
      </c>
      <c r="L94" s="13">
        <f>'Final list of total hauls pros'!K94</f>
        <v>16.645</v>
      </c>
      <c r="M94" t="str">
        <f>'Final list of total hauls pros'!L94</f>
        <v>25-32</v>
      </c>
      <c r="N94" t="str">
        <f>Processing!I97</f>
        <v>POL (SD 25-32)</v>
      </c>
    </row>
    <row r="95" spans="2:14" x14ac:dyDescent="0.25">
      <c r="B95">
        <f>Processing!D98</f>
        <v>25016</v>
      </c>
      <c r="C95" t="str">
        <f>Processing!F98</f>
        <v>38G6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44.6</v>
      </c>
      <c r="G95">
        <f>'Final list of total hauls pros'!F95</f>
        <v>16</v>
      </c>
      <c r="H95">
        <f>'Final list of total hauls pros'!G95</f>
        <v>49</v>
      </c>
      <c r="I95">
        <f>'Final list of total hauls pros'!H95</f>
        <v>2</v>
      </c>
      <c r="J95" t="str">
        <f>'Final list of total hauls pros'!I95</f>
        <v>POL</v>
      </c>
      <c r="K95" s="13">
        <f>'Final list of total hauls pros'!J95</f>
        <v>54.743333333333297</v>
      </c>
      <c r="L95" s="13">
        <f>'Final list of total hauls pros'!K95</f>
        <v>16.816666666666698</v>
      </c>
      <c r="M95" t="str">
        <f>'Final list of total hauls pros'!L95</f>
        <v>25-32</v>
      </c>
      <c r="N95" t="str">
        <f>Processing!I98</f>
        <v>POL (SD 25-32)</v>
      </c>
    </row>
    <row r="96" spans="2:14" x14ac:dyDescent="0.25">
      <c r="B96">
        <f>Processing!D99</f>
        <v>25017</v>
      </c>
      <c r="C96" t="str">
        <f>Processing!F99</f>
        <v>38G6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44.2</v>
      </c>
      <c r="G96">
        <f>'Final list of total hauls pros'!F96</f>
        <v>16</v>
      </c>
      <c r="H96">
        <f>'Final list of total hauls pros'!G96</f>
        <v>52.3</v>
      </c>
      <c r="I96">
        <f>'Final list of total hauls pros'!H96</f>
        <v>2</v>
      </c>
      <c r="J96" t="str">
        <f>'Final list of total hauls pros'!I96</f>
        <v>POL</v>
      </c>
      <c r="K96" s="13">
        <f>'Final list of total hauls pros'!J96</f>
        <v>54.7366666666667</v>
      </c>
      <c r="L96" s="13">
        <f>'Final list of total hauls pros'!K96</f>
        <v>16.871666666666702</v>
      </c>
      <c r="M96" t="str">
        <f>'Final list of total hauls pros'!L96</f>
        <v>25-32</v>
      </c>
      <c r="N96" t="str">
        <f>Processing!I99</f>
        <v>POL (SD 25-32)</v>
      </c>
    </row>
    <row r="97" spans="2:14" x14ac:dyDescent="0.25">
      <c r="B97">
        <f>Processing!D100</f>
        <v>25022</v>
      </c>
      <c r="C97" t="str">
        <f>Processing!F100</f>
        <v>38G7</v>
      </c>
      <c r="D97">
        <f>'Final list of total hauls pros'!C97</f>
        <v>25</v>
      </c>
      <c r="E97">
        <f>'Final list of total hauls pros'!D97</f>
        <v>54</v>
      </c>
      <c r="F97">
        <f>'Final list of total hauls pros'!E97</f>
        <v>57.4</v>
      </c>
      <c r="G97">
        <f>'Final list of total hauls pros'!F97</f>
        <v>17</v>
      </c>
      <c r="H97">
        <f>'Final list of total hauls pros'!G97</f>
        <v>25</v>
      </c>
      <c r="I97">
        <f>'Final list of total hauls pros'!H97</f>
        <v>2</v>
      </c>
      <c r="J97" t="str">
        <f>'Final list of total hauls pros'!I97</f>
        <v>POL</v>
      </c>
      <c r="K97" s="13">
        <f>'Final list of total hauls pros'!J97</f>
        <v>54.956666666666699</v>
      </c>
      <c r="L97" s="13">
        <f>'Final list of total hauls pros'!K97</f>
        <v>17.4166666666667</v>
      </c>
      <c r="M97" t="str">
        <f>'Final list of total hauls pros'!L97</f>
        <v>25-32</v>
      </c>
      <c r="N97" t="str">
        <f>Processing!I100</f>
        <v>DEN (SD 25-32)</v>
      </c>
    </row>
    <row r="98" spans="2:14" x14ac:dyDescent="0.25">
      <c r="B98">
        <f>Processing!D101</f>
        <v>25024</v>
      </c>
      <c r="C98" t="str">
        <f>Processing!F101</f>
        <v>38G7</v>
      </c>
      <c r="D98">
        <f>'Final list of total hauls pros'!C98</f>
        <v>25</v>
      </c>
      <c r="E98">
        <f>'Final list of total hauls pros'!D98</f>
        <v>54</v>
      </c>
      <c r="F98">
        <f>'Final list of total hauls pros'!E98</f>
        <v>51</v>
      </c>
      <c r="G98">
        <f>'Final list of total hauls pros'!F98</f>
        <v>17</v>
      </c>
      <c r="H98">
        <f>'Final list of total hauls pros'!G98</f>
        <v>28</v>
      </c>
      <c r="I98">
        <f>'Final list of total hauls pros'!H98</f>
        <v>2</v>
      </c>
      <c r="J98" t="str">
        <f>'Final list of total hauls pros'!I98</f>
        <v>POL</v>
      </c>
      <c r="K98" s="13">
        <f>'Final list of total hauls pros'!J98</f>
        <v>54.85</v>
      </c>
      <c r="L98" s="13">
        <f>'Final list of total hauls pros'!K98</f>
        <v>17.466666666666701</v>
      </c>
      <c r="M98" t="str">
        <f>'Final list of total hauls pros'!L98</f>
        <v>25-32</v>
      </c>
      <c r="N98" t="str">
        <f>Processing!I101</f>
        <v>POL (SD 25-32)</v>
      </c>
    </row>
    <row r="99" spans="2:14" x14ac:dyDescent="0.25">
      <c r="B99">
        <f>Processing!D102</f>
        <v>25030</v>
      </c>
      <c r="C99" t="str">
        <f>Processing!F102</f>
        <v>39G7</v>
      </c>
      <c r="D99">
        <f>'Final list of total hauls pros'!C99</f>
        <v>25</v>
      </c>
      <c r="E99">
        <f>'Final list of total hauls pros'!D99</f>
        <v>55</v>
      </c>
      <c r="F99">
        <f>'Final list of total hauls pros'!E99</f>
        <v>29.3</v>
      </c>
      <c r="G99">
        <f>'Final list of total hauls pros'!F99</f>
        <v>17</v>
      </c>
      <c r="H99">
        <f>'Final list of total hauls pros'!G99</f>
        <v>27.8</v>
      </c>
      <c r="I99">
        <f>'Final list of total hauls pros'!H99</f>
        <v>3</v>
      </c>
      <c r="J99" t="str">
        <f>'Final list of total hauls pros'!I99</f>
        <v>POL</v>
      </c>
      <c r="K99" s="13">
        <f>'Final list of total hauls pros'!J99</f>
        <v>55.488333333333301</v>
      </c>
      <c r="L99" s="13">
        <f>'Final list of total hauls pros'!K99</f>
        <v>17.463333333333299</v>
      </c>
      <c r="M99" t="str">
        <f>'Final list of total hauls pros'!L99</f>
        <v>25-32</v>
      </c>
      <c r="N99" t="str">
        <f>Processing!I102</f>
        <v>DEN (SD 25-32)</v>
      </c>
    </row>
    <row r="100" spans="2:14" x14ac:dyDescent="0.25">
      <c r="B100">
        <f>Processing!D103</f>
        <v>25041</v>
      </c>
      <c r="C100" t="str">
        <f>Processing!F103</f>
        <v>37G5</v>
      </c>
      <c r="D100">
        <f>'Final list of total hauls pros'!C100</f>
        <v>25</v>
      </c>
      <c r="E100">
        <f>'Final list of total hauls pros'!D100</f>
        <v>54</v>
      </c>
      <c r="F100">
        <f>'Final list of total hauls pros'!E100</f>
        <v>24.9</v>
      </c>
      <c r="G100">
        <f>'Final list of total hauls pros'!F100</f>
        <v>15</v>
      </c>
      <c r="H100">
        <f>'Final list of total hauls pros'!G100</f>
        <v>41</v>
      </c>
      <c r="I100">
        <f>'Final list of total hauls pros'!H100</f>
        <v>3</v>
      </c>
      <c r="J100" t="str">
        <f>'Final list of total hauls pros'!I100</f>
        <v>POL</v>
      </c>
      <c r="K100" s="13">
        <f>'Final list of total hauls pros'!J100</f>
        <v>54.414999999999999</v>
      </c>
      <c r="L100" s="13">
        <f>'Final list of total hauls pros'!K100</f>
        <v>15.6833333333333</v>
      </c>
      <c r="M100" t="str">
        <f>'Final list of total hauls pros'!L100</f>
        <v>25-32</v>
      </c>
      <c r="N100" t="str">
        <f>Processing!I103</f>
        <v>POL (SD 25-32)</v>
      </c>
    </row>
    <row r="101" spans="2:14" x14ac:dyDescent="0.25">
      <c r="B101">
        <f>Processing!D104</f>
        <v>25042</v>
      </c>
      <c r="C101" t="str">
        <f>Processing!F104</f>
        <v>37G5</v>
      </c>
      <c r="D101">
        <f>'Final list of total hauls pros'!C101</f>
        <v>25</v>
      </c>
      <c r="E101">
        <f>'Final list of total hauls pros'!D101</f>
        <v>54</v>
      </c>
      <c r="F101">
        <f>'Final list of total hauls pros'!E101</f>
        <v>32</v>
      </c>
      <c r="G101">
        <f>'Final list of total hauls pros'!F101</f>
        <v>16</v>
      </c>
      <c r="H101">
        <f>'Final list of total hauls pros'!G101</f>
        <v>0</v>
      </c>
      <c r="I101">
        <f>'Final list of total hauls pros'!H101</f>
        <v>3</v>
      </c>
      <c r="J101" t="str">
        <f>'Final list of total hauls pros'!I101</f>
        <v>POL</v>
      </c>
      <c r="K101" s="13">
        <f>'Final list of total hauls pros'!J101</f>
        <v>54.533333333333303</v>
      </c>
      <c r="L101" s="13">
        <f>'Final list of total hauls pros'!K101</f>
        <v>16</v>
      </c>
      <c r="M101" t="str">
        <f>'Final list of total hauls pros'!L101</f>
        <v>25-32</v>
      </c>
      <c r="N101" t="str">
        <f>Processing!I104</f>
        <v>DEN (SD 25-32)</v>
      </c>
    </row>
    <row r="102" spans="2:14" x14ac:dyDescent="0.25">
      <c r="B102">
        <f>Processing!D105</f>
        <v>25046</v>
      </c>
      <c r="C102" t="str">
        <f>Processing!F105</f>
        <v>38G5</v>
      </c>
      <c r="D102">
        <f>'Final list of total hauls pros'!C102</f>
        <v>25</v>
      </c>
      <c r="E102">
        <f>'Final list of total hauls pros'!D102</f>
        <v>54</v>
      </c>
      <c r="F102">
        <f>'Final list of total hauls pros'!E102</f>
        <v>33.4</v>
      </c>
      <c r="G102">
        <f>'Final list of total hauls pros'!F102</f>
        <v>15</v>
      </c>
      <c r="H102">
        <f>'Final list of total hauls pros'!G102</f>
        <v>26.4</v>
      </c>
      <c r="I102">
        <f>'Final list of total hauls pros'!H102</f>
        <v>3</v>
      </c>
      <c r="J102" t="str">
        <f>'Final list of total hauls pros'!I102</f>
        <v>POL</v>
      </c>
      <c r="K102" s="13">
        <f>'Final list of total hauls pros'!J102</f>
        <v>54.5566666666667</v>
      </c>
      <c r="L102" s="13">
        <f>'Final list of total hauls pros'!K102</f>
        <v>15.44</v>
      </c>
      <c r="M102" t="str">
        <f>'Final list of total hauls pros'!L102</f>
        <v>25-32</v>
      </c>
      <c r="N102" t="str">
        <f>Processing!I105</f>
        <v>DEN (SD 25-32)</v>
      </c>
    </row>
    <row r="103" spans="2:14" x14ac:dyDescent="0.25">
      <c r="B103">
        <f>Processing!D106</f>
        <v>25048</v>
      </c>
      <c r="C103" t="str">
        <f>Processing!F106</f>
        <v>38G5</v>
      </c>
      <c r="D103">
        <f>'Final list of total hauls pros'!C103</f>
        <v>25</v>
      </c>
      <c r="E103">
        <f>'Final list of total hauls pros'!D103</f>
        <v>54</v>
      </c>
      <c r="F103">
        <f>'Final list of total hauls pros'!E103</f>
        <v>34.1</v>
      </c>
      <c r="G103">
        <f>'Final list of total hauls pros'!F103</f>
        <v>15</v>
      </c>
      <c r="H103">
        <f>'Final list of total hauls pros'!G103</f>
        <v>40.1</v>
      </c>
      <c r="I103">
        <f>'Final list of total hauls pros'!H103</f>
        <v>4</v>
      </c>
      <c r="J103" t="str">
        <f>'Final list of total hauls pros'!I103</f>
        <v>POL</v>
      </c>
      <c r="K103" s="13">
        <f>'Final list of total hauls pros'!J103</f>
        <v>54.5683333333333</v>
      </c>
      <c r="L103" s="13">
        <f>'Final list of total hauls pros'!K103</f>
        <v>15.668333333333299</v>
      </c>
      <c r="M103" t="str">
        <f>'Final list of total hauls pros'!L103</f>
        <v>25-32</v>
      </c>
      <c r="N103" t="str">
        <f>Processing!I106</f>
        <v>DEN (SD 25-32)</v>
      </c>
    </row>
    <row r="104" spans="2:14" x14ac:dyDescent="0.25">
      <c r="B104">
        <f>Processing!D107</f>
        <v>25049</v>
      </c>
      <c r="C104" t="str">
        <f>Processing!F107</f>
        <v>38G5</v>
      </c>
      <c r="D104">
        <f>'Final list of total hauls pros'!C104</f>
        <v>25</v>
      </c>
      <c r="E104">
        <f>'Final list of total hauls pros'!D104</f>
        <v>54</v>
      </c>
      <c r="F104">
        <f>'Final list of total hauls pros'!E104</f>
        <v>32.5</v>
      </c>
      <c r="G104">
        <f>'Final list of total hauls pros'!F104</f>
        <v>15</v>
      </c>
      <c r="H104">
        <f>'Final list of total hauls pros'!G104</f>
        <v>46.1</v>
      </c>
      <c r="I104">
        <f>'Final list of total hauls pros'!H104</f>
        <v>3</v>
      </c>
      <c r="J104" t="str">
        <f>'Final list of total hauls pros'!I104</f>
        <v>POL</v>
      </c>
      <c r="K104" s="13">
        <f>'Final list of total hauls pros'!J104</f>
        <v>54.5416666666667</v>
      </c>
      <c r="L104" s="13">
        <f>'Final list of total hauls pros'!K104</f>
        <v>15.768333333333301</v>
      </c>
      <c r="M104" t="str">
        <f>'Final list of total hauls pros'!L104</f>
        <v>25-32</v>
      </c>
      <c r="N104" t="str">
        <f>Processing!I107</f>
        <v>DEN (SD 25-32)</v>
      </c>
    </row>
    <row r="105" spans="2:14" x14ac:dyDescent="0.25">
      <c r="B105">
        <f>Processing!D108</f>
        <v>25052</v>
      </c>
      <c r="C105" t="str">
        <f>Processing!F108</f>
        <v>38G6</v>
      </c>
      <c r="D105">
        <f>'Final list of total hauls pros'!C105</f>
        <v>25</v>
      </c>
      <c r="E105">
        <f>'Final list of total hauls pros'!D105</f>
        <v>54</v>
      </c>
      <c r="F105">
        <f>'Final list of total hauls pros'!E105</f>
        <v>38.4</v>
      </c>
      <c r="G105">
        <f>'Final list of total hauls pros'!F105</f>
        <v>16</v>
      </c>
      <c r="H105">
        <f>'Final list of total hauls pros'!G105</f>
        <v>4.5</v>
      </c>
      <c r="I105">
        <f>'Final list of total hauls pros'!H105</f>
        <v>3</v>
      </c>
      <c r="J105" t="str">
        <f>'Final list of total hauls pros'!I105</f>
        <v>POL</v>
      </c>
      <c r="K105" s="13">
        <f>'Final list of total hauls pros'!J105</f>
        <v>54.64</v>
      </c>
      <c r="L105" s="13">
        <f>'Final list of total hauls pros'!K105</f>
        <v>16.074999999999999</v>
      </c>
      <c r="M105" t="str">
        <f>'Final list of total hauls pros'!L105</f>
        <v>25-32</v>
      </c>
      <c r="N105" t="str">
        <f>Processing!I108</f>
        <v>DEN (SD 25-32)</v>
      </c>
    </row>
    <row r="106" spans="2:14" x14ac:dyDescent="0.25">
      <c r="B106">
        <f>Processing!D109</f>
        <v>25053</v>
      </c>
      <c r="C106" t="str">
        <f>Processing!F109</f>
        <v>38G5</v>
      </c>
      <c r="D106">
        <f>'Final list of total hauls pros'!C106</f>
        <v>25</v>
      </c>
      <c r="E106">
        <f>'Final list of total hauls pros'!D106</f>
        <v>54</v>
      </c>
      <c r="F106">
        <f>'Final list of total hauls pros'!E106</f>
        <v>48.1</v>
      </c>
      <c r="G106">
        <f>'Final list of total hauls pros'!F106</f>
        <v>15</v>
      </c>
      <c r="H106">
        <f>'Final list of total hauls pros'!G106</f>
        <v>0.8</v>
      </c>
      <c r="I106">
        <f>'Final list of total hauls pros'!H106</f>
        <v>3</v>
      </c>
      <c r="J106" t="str">
        <f>'Final list of total hauls pros'!I106</f>
        <v>DEN</v>
      </c>
      <c r="K106" s="13">
        <f>'Final list of total hauls pros'!J106</f>
        <v>54.801666666666698</v>
      </c>
      <c r="L106" s="13">
        <f>'Final list of total hauls pros'!K106</f>
        <v>15.0133333333333</v>
      </c>
      <c r="M106" t="str">
        <f>'Final list of total hauls pros'!L106</f>
        <v>25-32</v>
      </c>
      <c r="N106" t="str">
        <f>Processing!I109</f>
        <v>DEN (SD 25-32)</v>
      </c>
    </row>
    <row r="107" spans="2:14" x14ac:dyDescent="0.25">
      <c r="B107">
        <f>Processing!D110</f>
        <v>25056</v>
      </c>
      <c r="C107" t="str">
        <f>Processing!F110</f>
        <v>38G5</v>
      </c>
      <c r="D107">
        <f>'Final list of total hauls pros'!C107</f>
        <v>25</v>
      </c>
      <c r="E107">
        <f>'Final list of total hauls pros'!D107</f>
        <v>54</v>
      </c>
      <c r="F107">
        <f>'Final list of total hauls pros'!E107</f>
        <v>44.7</v>
      </c>
      <c r="G107">
        <f>'Final list of total hauls pros'!F107</f>
        <v>15</v>
      </c>
      <c r="H107">
        <f>'Final list of total hauls pros'!G107</f>
        <v>57</v>
      </c>
      <c r="I107">
        <f>'Final list of total hauls pros'!H107</f>
        <v>3</v>
      </c>
      <c r="J107" t="str">
        <f>'Final list of total hauls pros'!I107</f>
        <v>POL</v>
      </c>
      <c r="K107" s="13">
        <f>'Final list of total hauls pros'!J107</f>
        <v>54.744999999999997</v>
      </c>
      <c r="L107" s="13">
        <f>'Final list of total hauls pros'!K107</f>
        <v>15.95</v>
      </c>
      <c r="M107" t="str">
        <f>'Final list of total hauls pros'!L107</f>
        <v>25-32</v>
      </c>
      <c r="N107" t="str">
        <f>Processing!I110</f>
        <v>DEN (SD 25-32)</v>
      </c>
    </row>
    <row r="108" spans="2:14" x14ac:dyDescent="0.25">
      <c r="B108">
        <f>Processing!D111</f>
        <v>25060</v>
      </c>
      <c r="C108" t="str">
        <f>Processing!F111</f>
        <v>38G5</v>
      </c>
      <c r="D108">
        <f>'Final list of total hauls pros'!C108</f>
        <v>25</v>
      </c>
      <c r="E108">
        <f>'Final list of total hauls pros'!D108</f>
        <v>54</v>
      </c>
      <c r="F108">
        <f>'Final list of total hauls pros'!E108</f>
        <v>50.3</v>
      </c>
      <c r="G108">
        <f>'Final list of total hauls pros'!F108</f>
        <v>16</v>
      </c>
      <c r="H108">
        <f>'Final list of total hauls pros'!G108</f>
        <v>3.1</v>
      </c>
      <c r="I108">
        <f>'Final list of total hauls pros'!H108</f>
        <v>3</v>
      </c>
      <c r="J108" t="str">
        <f>'Final list of total hauls pros'!I108</f>
        <v>POL</v>
      </c>
      <c r="K108" s="13">
        <f>'Final list of total hauls pros'!J108</f>
        <v>54.838333333333303</v>
      </c>
      <c r="L108" s="13">
        <f>'Final list of total hauls pros'!K108</f>
        <v>16.051666666666701</v>
      </c>
      <c r="M108" t="str">
        <f>'Final list of total hauls pros'!L108</f>
        <v>25-32</v>
      </c>
      <c r="N108" t="str">
        <f>Processing!I111</f>
        <v>DEN (SD 25-32)</v>
      </c>
    </row>
    <row r="109" spans="2:14" x14ac:dyDescent="0.25">
      <c r="B109">
        <f>Processing!D112</f>
        <v>25061</v>
      </c>
      <c r="C109" t="str">
        <f>Processing!F112</f>
        <v>38G6</v>
      </c>
      <c r="D109">
        <f>'Final list of total hauls pros'!C109</f>
        <v>25</v>
      </c>
      <c r="E109">
        <f>'Final list of total hauls pros'!D109</f>
        <v>54</v>
      </c>
      <c r="F109">
        <f>'Final list of total hauls pros'!E109</f>
        <v>49.5</v>
      </c>
      <c r="G109">
        <f>'Final list of total hauls pros'!F109</f>
        <v>16</v>
      </c>
      <c r="H109">
        <f>'Final list of total hauls pros'!G109</f>
        <v>2.1</v>
      </c>
      <c r="I109">
        <f>'Final list of total hauls pros'!H109</f>
        <v>3</v>
      </c>
      <c r="J109" t="str">
        <f>'Final list of total hauls pros'!I109</f>
        <v>POL</v>
      </c>
      <c r="K109" s="13">
        <f>'Final list of total hauls pros'!J109</f>
        <v>54.825000000000003</v>
      </c>
      <c r="L109" s="13">
        <f>'Final list of total hauls pros'!K109</f>
        <v>16.035</v>
      </c>
      <c r="M109" t="str">
        <f>'Final list of total hauls pros'!L109</f>
        <v>25-32</v>
      </c>
      <c r="N109" t="str">
        <f>Processing!I112</f>
        <v>DEN (SD 25-32)</v>
      </c>
    </row>
    <row r="110" spans="2:14" x14ac:dyDescent="0.25">
      <c r="B110">
        <f>Processing!D113</f>
        <v>25065</v>
      </c>
      <c r="C110" t="str">
        <f>Processing!F113</f>
        <v>39G5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3.6</v>
      </c>
      <c r="G110">
        <f>'Final list of total hauls pros'!F110</f>
        <v>15</v>
      </c>
      <c r="H110">
        <f>'Final list of total hauls pros'!G110</f>
        <v>20.100000000000001</v>
      </c>
      <c r="I110">
        <f>'Final list of total hauls pros'!H110</f>
        <v>4</v>
      </c>
      <c r="J110" t="str">
        <f>'Final list of total hauls pros'!I110</f>
        <v>DEN</v>
      </c>
      <c r="K110" s="13">
        <f>'Final list of total hauls pros'!J110</f>
        <v>55.06</v>
      </c>
      <c r="L110" s="13">
        <f>'Final list of total hauls pros'!K110</f>
        <v>15.335000000000001</v>
      </c>
      <c r="M110" t="str">
        <f>'Final list of total hauls pros'!L110</f>
        <v>25-32</v>
      </c>
      <c r="N110" t="str">
        <f>Processing!I113</f>
        <v>DEN (SD 25-32)</v>
      </c>
    </row>
    <row r="111" spans="2:14" x14ac:dyDescent="0.25">
      <c r="B111">
        <f>Processing!D114</f>
        <v>25066</v>
      </c>
      <c r="C111" t="str">
        <f>Processing!F114</f>
        <v>39G6</v>
      </c>
      <c r="D111">
        <f>'Final list of total hauls pros'!C111</f>
        <v>25</v>
      </c>
      <c r="E111">
        <f>'Final list of total hauls pros'!D111</f>
        <v>55</v>
      </c>
      <c r="F111">
        <f>'Final list of total hauls pros'!E111</f>
        <v>0</v>
      </c>
      <c r="G111">
        <f>'Final list of total hauls pros'!F111</f>
        <v>16</v>
      </c>
      <c r="H111">
        <f>'Final list of total hauls pros'!G111</f>
        <v>17</v>
      </c>
      <c r="I111">
        <f>'Final list of total hauls pros'!H111</f>
        <v>3</v>
      </c>
      <c r="J111" t="str">
        <f>'Final list of total hauls pros'!I111</f>
        <v>POL</v>
      </c>
      <c r="K111" s="13">
        <f>'Final list of total hauls pros'!J111</f>
        <v>55</v>
      </c>
      <c r="L111" s="13">
        <f>'Final list of total hauls pros'!K111</f>
        <v>16.283333333333299</v>
      </c>
      <c r="M111" t="str">
        <f>'Final list of total hauls pros'!L111</f>
        <v>25-32</v>
      </c>
      <c r="N111" t="str">
        <f>Processing!I114</f>
        <v>DEN (SD 25-32)</v>
      </c>
    </row>
    <row r="112" spans="2:14" x14ac:dyDescent="0.25">
      <c r="B112">
        <f>Processing!D115</f>
        <v>25067</v>
      </c>
      <c r="C112" t="str">
        <f>Processing!F115</f>
        <v>39G6</v>
      </c>
      <c r="D112">
        <f>'Final list of total hauls pros'!C112</f>
        <v>25</v>
      </c>
      <c r="E112">
        <f>'Final list of total hauls pros'!D112</f>
        <v>55</v>
      </c>
      <c r="F112">
        <f>'Final list of total hauls pros'!E112</f>
        <v>2.6</v>
      </c>
      <c r="G112">
        <f>'Final list of total hauls pros'!F112</f>
        <v>16</v>
      </c>
      <c r="H112">
        <f>'Final list of total hauls pros'!G112</f>
        <v>24</v>
      </c>
      <c r="I112">
        <f>'Final list of total hauls pros'!H112</f>
        <v>3</v>
      </c>
      <c r="J112" t="str">
        <f>'Final list of total hauls pros'!I112</f>
        <v>POL</v>
      </c>
      <c r="K112" s="13">
        <f>'Final list of total hauls pros'!J112</f>
        <v>55.043333333333301</v>
      </c>
      <c r="L112" s="13">
        <f>'Final list of total hauls pros'!K112</f>
        <v>16.399999999999999</v>
      </c>
      <c r="M112" t="str">
        <f>'Final list of total hauls pros'!L112</f>
        <v>25-32</v>
      </c>
      <c r="N112" t="str">
        <f>Processing!I115</f>
        <v>DEN (SD 25-32)</v>
      </c>
    </row>
    <row r="113" spans="2:14" x14ac:dyDescent="0.25">
      <c r="B113">
        <f>Processing!D116</f>
        <v>25081</v>
      </c>
      <c r="C113" t="str">
        <f>Processing!F116</f>
        <v>39G6</v>
      </c>
      <c r="D113">
        <f>'Final list of total hauls pros'!C113</f>
        <v>25</v>
      </c>
      <c r="E113">
        <f>'Final list of total hauls pros'!D113</f>
        <v>55</v>
      </c>
      <c r="F113">
        <f>'Final list of total hauls pros'!E113</f>
        <v>24.2</v>
      </c>
      <c r="G113">
        <f>'Final list of total hauls pros'!F113</f>
        <v>16</v>
      </c>
      <c r="H113">
        <f>'Final list of total hauls pros'!G113</f>
        <v>51</v>
      </c>
      <c r="I113">
        <f>'Final list of total hauls pros'!H113</f>
        <v>3</v>
      </c>
      <c r="J113" t="str">
        <f>'Final list of total hauls pros'!I113</f>
        <v>POL</v>
      </c>
      <c r="K113" s="13">
        <f>'Final list of total hauls pros'!J113</f>
        <v>55.4033333333333</v>
      </c>
      <c r="L113" s="13">
        <f>'Final list of total hauls pros'!K113</f>
        <v>16.850000000000001</v>
      </c>
      <c r="M113" t="str">
        <f>'Final list of total hauls pros'!L113</f>
        <v>25-32</v>
      </c>
      <c r="N113" t="str">
        <f>Processing!I116</f>
        <v>DEN (SD 25-32)</v>
      </c>
    </row>
    <row r="114" spans="2:14" x14ac:dyDescent="0.25">
      <c r="B114">
        <f>Processing!D117</f>
        <v>25136</v>
      </c>
      <c r="C114" t="str">
        <f>Processing!F117</f>
        <v>40G7</v>
      </c>
      <c r="D114">
        <f>'Final list of total hauls pros'!C114</f>
        <v>25</v>
      </c>
      <c r="E114">
        <f>'Final list of total hauls pros'!D114</f>
        <v>55</v>
      </c>
      <c r="F114">
        <f>'Final list of total hauls pros'!E114</f>
        <v>46.6</v>
      </c>
      <c r="G114">
        <f>'Final list of total hauls pros'!F114</f>
        <v>17</v>
      </c>
      <c r="H114">
        <f>'Final list of total hauls pros'!G114</f>
        <v>42</v>
      </c>
      <c r="I114">
        <f>'Final list of total hauls pros'!H114</f>
        <v>3</v>
      </c>
      <c r="J114" t="str">
        <f>'Final list of total hauls pros'!I114</f>
        <v>SWE</v>
      </c>
      <c r="K114" s="13">
        <f>'Final list of total hauls pros'!J114</f>
        <v>55.776666666666699</v>
      </c>
      <c r="L114" s="13">
        <f>'Final list of total hauls pros'!K114</f>
        <v>17.7</v>
      </c>
      <c r="M114" t="str">
        <f>'Final list of total hauls pros'!L114</f>
        <v>25-32</v>
      </c>
      <c r="N114" t="str">
        <f>Processing!I117</f>
        <v>SWE (SD 25-32)</v>
      </c>
    </row>
    <row r="115" spans="2:14" x14ac:dyDescent="0.25">
      <c r="B115">
        <f>Processing!D118</f>
        <v>25140</v>
      </c>
      <c r="C115" t="str">
        <f>Processing!F118</f>
        <v>40G5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51.4</v>
      </c>
      <c r="G115">
        <f>'Final list of total hauls pros'!F115</f>
        <v>15</v>
      </c>
      <c r="H115">
        <f>'Final list of total hauls pros'!G115</f>
        <v>34.5</v>
      </c>
      <c r="I115">
        <f>'Final list of total hauls pros'!H115</f>
        <v>3</v>
      </c>
      <c r="J115" t="str">
        <f>'Final list of total hauls pros'!I115</f>
        <v>SWE</v>
      </c>
      <c r="K115" s="13">
        <f>'Final list of total hauls pros'!J115</f>
        <v>55.856666666666698</v>
      </c>
      <c r="L115" s="13">
        <f>'Final list of total hauls pros'!K115</f>
        <v>15.574999999999999</v>
      </c>
      <c r="M115" t="str">
        <f>'Final list of total hauls pros'!L115</f>
        <v>25-32</v>
      </c>
      <c r="N115" t="str">
        <f>Processing!I118</f>
        <v>SWE (SD 25-32)</v>
      </c>
    </row>
    <row r="116" spans="2:14" x14ac:dyDescent="0.25">
      <c r="B116">
        <f>Processing!D119</f>
        <v>25161</v>
      </c>
      <c r="C116" t="str">
        <f>Processing!F119</f>
        <v>40G7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53.3</v>
      </c>
      <c r="G116">
        <f>'Final list of total hauls pros'!F116</f>
        <v>17</v>
      </c>
      <c r="H116">
        <f>'Final list of total hauls pros'!G116</f>
        <v>43.6</v>
      </c>
      <c r="I116">
        <f>'Final list of total hauls pros'!H116</f>
        <v>4</v>
      </c>
      <c r="J116" t="str">
        <f>'Final list of total hauls pros'!I116</f>
        <v>SWE</v>
      </c>
      <c r="K116" s="13">
        <f>'Final list of total hauls pros'!J116</f>
        <v>55.8883333333333</v>
      </c>
      <c r="L116" s="13">
        <f>'Final list of total hauls pros'!K116</f>
        <v>17.726666666666699</v>
      </c>
      <c r="M116" t="str">
        <f>'Final list of total hauls pros'!L116</f>
        <v>25-32</v>
      </c>
      <c r="N116" t="str">
        <f>Processing!I119</f>
        <v>SWE (SD 25-32)</v>
      </c>
    </row>
    <row r="117" spans="2:14" x14ac:dyDescent="0.25">
      <c r="B117">
        <f>Processing!D120</f>
        <v>25173</v>
      </c>
      <c r="C117" t="str">
        <f>Processing!F120</f>
        <v>38G5</v>
      </c>
      <c r="D117">
        <f>'Final list of total hauls pros'!C117</f>
        <v>25</v>
      </c>
      <c r="E117">
        <f>'Final list of total hauls pros'!D117</f>
        <v>54</v>
      </c>
      <c r="F117">
        <f>'Final list of total hauls pros'!E117</f>
        <v>40.9</v>
      </c>
      <c r="G117">
        <f>'Final list of total hauls pros'!F117</f>
        <v>15</v>
      </c>
      <c r="H117">
        <f>'Final list of total hauls pros'!G117</f>
        <v>37.6</v>
      </c>
      <c r="I117">
        <f>'Final list of total hauls pros'!H117</f>
        <v>4</v>
      </c>
      <c r="J117" t="str">
        <f>'Final list of total hauls pros'!I117</f>
        <v>POL</v>
      </c>
      <c r="K117" s="13">
        <f>'Final list of total hauls pros'!J117</f>
        <v>54.6816666666667</v>
      </c>
      <c r="L117" s="13">
        <f>'Final list of total hauls pros'!K117</f>
        <v>15.626666666666701</v>
      </c>
      <c r="M117" t="str">
        <f>'Final list of total hauls pros'!L117</f>
        <v>25-32</v>
      </c>
      <c r="N117" t="str">
        <f>Processing!I120</f>
        <v>DEN (SD 25-32)</v>
      </c>
    </row>
    <row r="118" spans="2:14" x14ac:dyDescent="0.25">
      <c r="B118">
        <f>Processing!D121</f>
        <v>25195</v>
      </c>
      <c r="C118" t="str">
        <f>Processing!F121</f>
        <v>38G5</v>
      </c>
      <c r="D118">
        <f>'Final list of total hauls pros'!C118</f>
        <v>25</v>
      </c>
      <c r="E118">
        <f>'Final list of total hauls pros'!D118</f>
        <v>54</v>
      </c>
      <c r="F118">
        <f>'Final list of total hauls pros'!E118</f>
        <v>53</v>
      </c>
      <c r="G118">
        <f>'Final list of total hauls pros'!F118</f>
        <v>15</v>
      </c>
      <c r="H118">
        <f>'Final list of total hauls pros'!G118</f>
        <v>51</v>
      </c>
      <c r="I118">
        <f>'Final list of total hauls pros'!H118</f>
        <v>4</v>
      </c>
      <c r="J118" t="str">
        <f>'Final list of total hauls pros'!I118</f>
        <v>DEN</v>
      </c>
      <c r="K118" s="13">
        <f>'Final list of total hauls pros'!J118</f>
        <v>54.883333333333297</v>
      </c>
      <c r="L118" s="13">
        <f>'Final list of total hauls pros'!K118</f>
        <v>15.85</v>
      </c>
      <c r="M118" t="str">
        <f>'Final list of total hauls pros'!L118</f>
        <v>25-32</v>
      </c>
      <c r="N118" t="str">
        <f>Processing!I121</f>
        <v>DEN (SD 25-32)</v>
      </c>
    </row>
    <row r="119" spans="2:14" x14ac:dyDescent="0.25">
      <c r="B119">
        <f>Processing!D122</f>
        <v>25197</v>
      </c>
      <c r="C119" t="str">
        <f>Processing!F122</f>
        <v>39G5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8</v>
      </c>
      <c r="G119">
        <f>'Final list of total hauls pros'!F119</f>
        <v>15</v>
      </c>
      <c r="H119">
        <f>'Final list of total hauls pros'!G119</f>
        <v>17</v>
      </c>
      <c r="I119">
        <f>'Final list of total hauls pros'!H119</f>
        <v>4</v>
      </c>
      <c r="J119" t="str">
        <f>'Final list of total hauls pros'!I119</f>
        <v>DEN</v>
      </c>
      <c r="K119" s="13">
        <f>'Final list of total hauls pros'!J119</f>
        <v>55.133333333333297</v>
      </c>
      <c r="L119" s="13">
        <f>'Final list of total hauls pros'!K119</f>
        <v>15.283333333333299</v>
      </c>
      <c r="M119" t="str">
        <f>'Final list of total hauls pros'!L119</f>
        <v>25-32</v>
      </c>
      <c r="N119" t="str">
        <f>Processing!I122</f>
        <v>DEN (SD 25-32)</v>
      </c>
    </row>
    <row r="120" spans="2:14" x14ac:dyDescent="0.25">
      <c r="B120">
        <f>Processing!D123</f>
        <v>25212</v>
      </c>
      <c r="C120" t="str">
        <f>Processing!F123</f>
        <v>39G6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3.3</v>
      </c>
      <c r="G120">
        <f>'Final list of total hauls pros'!F120</f>
        <v>16</v>
      </c>
      <c r="H120">
        <f>'Final list of total hauls pros'!G120</f>
        <v>18.2</v>
      </c>
      <c r="I120">
        <f>'Final list of total hauls pros'!H120</f>
        <v>4</v>
      </c>
      <c r="J120" t="str">
        <f>'Final list of total hauls pros'!I120</f>
        <v>POL</v>
      </c>
      <c r="K120" s="13">
        <f>'Final list of total hauls pros'!J120</f>
        <v>55.055</v>
      </c>
      <c r="L120" s="13">
        <f>'Final list of total hauls pros'!K120</f>
        <v>16.303333333333299</v>
      </c>
      <c r="M120" t="str">
        <f>'Final list of total hauls pros'!L120</f>
        <v>25-32</v>
      </c>
      <c r="N120" t="str">
        <f>Processing!I123</f>
        <v>DEN (SD 25-32)</v>
      </c>
    </row>
    <row r="121" spans="2:14" x14ac:dyDescent="0.25">
      <c r="B121">
        <f>Processing!D124</f>
        <v>25214</v>
      </c>
      <c r="C121" t="str">
        <f>Processing!F124</f>
        <v>39G6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4.5</v>
      </c>
      <c r="G121">
        <f>'Final list of total hauls pros'!F121</f>
        <v>16</v>
      </c>
      <c r="H121">
        <f>'Final list of total hauls pros'!G121</f>
        <v>23.1</v>
      </c>
      <c r="I121">
        <f>'Final list of total hauls pros'!H121</f>
        <v>4</v>
      </c>
      <c r="J121" t="str">
        <f>'Final list of total hauls pros'!I121</f>
        <v>POL</v>
      </c>
      <c r="K121" s="13">
        <f>'Final list of total hauls pros'!J121</f>
        <v>55.075000000000003</v>
      </c>
      <c r="L121" s="13">
        <f>'Final list of total hauls pros'!K121</f>
        <v>16.385000000000002</v>
      </c>
      <c r="M121" t="str">
        <f>'Final list of total hauls pros'!L121</f>
        <v>25-32</v>
      </c>
      <c r="N121" t="str">
        <f>Processing!I124</f>
        <v>DEN (SD 25-32)</v>
      </c>
    </row>
    <row r="122" spans="2:14" x14ac:dyDescent="0.25">
      <c r="B122">
        <f>Processing!D125</f>
        <v>25219</v>
      </c>
      <c r="C122" t="str">
        <f>Processing!F125</f>
        <v>39G5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19.3</v>
      </c>
      <c r="G122">
        <f>'Final list of total hauls pros'!F122</f>
        <v>15</v>
      </c>
      <c r="H122">
        <f>'Final list of total hauls pros'!G122</f>
        <v>2.4</v>
      </c>
      <c r="I122">
        <f>'Final list of total hauls pros'!H122</f>
        <v>4</v>
      </c>
      <c r="J122" t="str">
        <f>'Final list of total hauls pros'!I122</f>
        <v>DEN</v>
      </c>
      <c r="K122" s="13">
        <f>'Final list of total hauls pros'!J122</f>
        <v>55.321666666666701</v>
      </c>
      <c r="L122" s="13">
        <f>'Final list of total hauls pros'!K122</f>
        <v>15.04</v>
      </c>
      <c r="M122" t="str">
        <f>'Final list of total hauls pros'!L122</f>
        <v>25-32</v>
      </c>
      <c r="N122" t="str">
        <f>Processing!I125</f>
        <v>DEN (SD 25-32)</v>
      </c>
    </row>
    <row r="123" spans="2:14" x14ac:dyDescent="0.25">
      <c r="B123">
        <f>Processing!D126</f>
        <v>25232</v>
      </c>
      <c r="C123" t="str">
        <f>Processing!F126</f>
        <v>39G7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18.7</v>
      </c>
      <c r="G123">
        <f>'Final list of total hauls pros'!F123</f>
        <v>17</v>
      </c>
      <c r="H123">
        <f>'Final list of total hauls pros'!G123</f>
        <v>20</v>
      </c>
      <c r="I123">
        <f>'Final list of total hauls pros'!H123</f>
        <v>4</v>
      </c>
      <c r="J123" t="str">
        <f>'Final list of total hauls pros'!I123</f>
        <v>POL</v>
      </c>
      <c r="K123" s="13">
        <f>'Final list of total hauls pros'!J123</f>
        <v>55.311666666666703</v>
      </c>
      <c r="L123" s="13">
        <f>'Final list of total hauls pros'!K123</f>
        <v>17.3333333333333</v>
      </c>
      <c r="M123" t="str">
        <f>'Final list of total hauls pros'!L123</f>
        <v>25-32</v>
      </c>
      <c r="N123" t="str">
        <f>Processing!I126</f>
        <v>DEN (SD 25-32)</v>
      </c>
    </row>
    <row r="124" spans="2:14" x14ac:dyDescent="0.25">
      <c r="B124">
        <f>Processing!D127</f>
        <v>25241</v>
      </c>
      <c r="C124" t="str">
        <f>Processing!F127</f>
        <v>39G5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20.9</v>
      </c>
      <c r="G124">
        <f>'Final list of total hauls pros'!F124</f>
        <v>15</v>
      </c>
      <c r="H124">
        <f>'Final list of total hauls pros'!G124</f>
        <v>22.3</v>
      </c>
      <c r="I124">
        <f>'Final list of total hauls pros'!H124</f>
        <v>4</v>
      </c>
      <c r="J124" t="str">
        <f>'Final list of total hauls pros'!I124</f>
        <v>DEN</v>
      </c>
      <c r="K124" s="13">
        <f>'Final list of total hauls pros'!J124</f>
        <v>55.348333333333301</v>
      </c>
      <c r="L124" s="13">
        <f>'Final list of total hauls pros'!K124</f>
        <v>15.3716666666667</v>
      </c>
      <c r="M124" t="str">
        <f>'Final list of total hauls pros'!L124</f>
        <v>25-32</v>
      </c>
      <c r="N124" t="str">
        <f>Processing!I127</f>
        <v>DEN (SD 25-32)</v>
      </c>
    </row>
    <row r="125" spans="2:14" x14ac:dyDescent="0.25">
      <c r="B125">
        <f>Processing!D128</f>
        <v>25243</v>
      </c>
      <c r="C125" t="str">
        <f>Processing!F128</f>
        <v>39G6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29</v>
      </c>
      <c r="G125">
        <f>'Final list of total hauls pros'!F125</f>
        <v>16</v>
      </c>
      <c r="H125">
        <f>'Final list of total hauls pros'!G125</f>
        <v>9</v>
      </c>
      <c r="I125">
        <f>'Final list of total hauls pros'!H125</f>
        <v>4</v>
      </c>
      <c r="J125" t="str">
        <f>'Final list of total hauls pros'!I125</f>
        <v>SWE</v>
      </c>
      <c r="K125" s="13">
        <f>'Final list of total hauls pros'!J125</f>
        <v>55.483333333333299</v>
      </c>
      <c r="L125" s="13">
        <f>'Final list of total hauls pros'!K125</f>
        <v>16.149999999999999</v>
      </c>
      <c r="M125" t="str">
        <f>'Final list of total hauls pros'!L125</f>
        <v>25-32</v>
      </c>
      <c r="N125" t="str">
        <f>Processing!I128</f>
        <v>SWE (SD 25-32)</v>
      </c>
    </row>
    <row r="126" spans="2:14" x14ac:dyDescent="0.25">
      <c r="B126">
        <f>Processing!D129</f>
        <v>25246</v>
      </c>
      <c r="C126" t="str">
        <f>Processing!F129</f>
        <v>39G6</v>
      </c>
      <c r="D126">
        <f>'Final list of total hauls pros'!C126</f>
        <v>25</v>
      </c>
      <c r="E126">
        <f>'Final list of total hauls pros'!D126</f>
        <v>55</v>
      </c>
      <c r="F126">
        <f>'Final list of total hauls pros'!E126</f>
        <v>21</v>
      </c>
      <c r="G126">
        <f>'Final list of total hauls pros'!F126</f>
        <v>16</v>
      </c>
      <c r="H126">
        <f>'Final list of total hauls pros'!G126</f>
        <v>57</v>
      </c>
      <c r="I126">
        <f>'Final list of total hauls pros'!H126</f>
        <v>4</v>
      </c>
      <c r="J126" t="str">
        <f>'Final list of total hauls pros'!I126</f>
        <v>POL</v>
      </c>
      <c r="K126" s="13">
        <f>'Final list of total hauls pros'!J126</f>
        <v>55.35</v>
      </c>
      <c r="L126" s="13">
        <f>'Final list of total hauls pros'!K126</f>
        <v>16.95</v>
      </c>
      <c r="M126" t="str">
        <f>'Final list of total hauls pros'!L126</f>
        <v>25-32</v>
      </c>
      <c r="N126" t="str">
        <f>Processing!I129</f>
        <v>DEN (SD 25-32)</v>
      </c>
    </row>
    <row r="127" spans="2:14" x14ac:dyDescent="0.25">
      <c r="B127">
        <f>Processing!D130</f>
        <v>25274</v>
      </c>
      <c r="C127" t="str">
        <f>Processing!F130</f>
        <v>40G5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31.3</v>
      </c>
      <c r="G127">
        <f>'Final list of total hauls pros'!F127</f>
        <v>15</v>
      </c>
      <c r="H127">
        <f>'Final list of total hauls pros'!G127</f>
        <v>31.3</v>
      </c>
      <c r="I127">
        <f>'Final list of total hauls pros'!H127</f>
        <v>5</v>
      </c>
      <c r="J127" t="str">
        <f>'Final list of total hauls pros'!I127</f>
        <v>DEN</v>
      </c>
      <c r="K127" s="13">
        <f>'Final list of total hauls pros'!J127</f>
        <v>55.521666666666697</v>
      </c>
      <c r="L127" s="13">
        <f>'Final list of total hauls pros'!K127</f>
        <v>15.5216666666667</v>
      </c>
      <c r="M127" t="str">
        <f>'Final list of total hauls pros'!L127</f>
        <v>25-32</v>
      </c>
      <c r="N127" t="str">
        <f>Processing!I130</f>
        <v>DEN (SD 25-32)</v>
      </c>
    </row>
    <row r="128" spans="2:14" x14ac:dyDescent="0.25">
      <c r="B128">
        <f>Processing!D131</f>
        <v>25286</v>
      </c>
      <c r="C128" t="str">
        <f>Processing!F131</f>
        <v>40G6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34.9</v>
      </c>
      <c r="G128">
        <f>'Final list of total hauls pros'!F128</f>
        <v>16</v>
      </c>
      <c r="H128">
        <f>'Final list of total hauls pros'!G128</f>
        <v>26.1</v>
      </c>
      <c r="I128">
        <f>'Final list of total hauls pros'!H128</f>
        <v>4</v>
      </c>
      <c r="J128" t="str">
        <f>'Final list of total hauls pros'!I128</f>
        <v>SWE</v>
      </c>
      <c r="K128" s="13">
        <f>'Final list of total hauls pros'!J128</f>
        <v>55.581666666666699</v>
      </c>
      <c r="L128" s="13">
        <f>'Final list of total hauls pros'!K128</f>
        <v>16.434999999999999</v>
      </c>
      <c r="M128" t="str">
        <f>'Final list of total hauls pros'!L128</f>
        <v>25-32</v>
      </c>
      <c r="N128" t="str">
        <f>Processing!I131</f>
        <v>SWE (SD 25-32)</v>
      </c>
    </row>
    <row r="129" spans="2:14" x14ac:dyDescent="0.25">
      <c r="B129">
        <f>Processing!D132</f>
        <v>25290</v>
      </c>
      <c r="C129" t="str">
        <f>Processing!F132</f>
        <v>40G7</v>
      </c>
      <c r="D129">
        <f>'Final list of total hauls pros'!C129</f>
        <v>25</v>
      </c>
      <c r="E129">
        <f>'Final list of total hauls pros'!D129</f>
        <v>55</v>
      </c>
      <c r="F129">
        <f>'Final list of total hauls pros'!E129</f>
        <v>30</v>
      </c>
      <c r="G129">
        <f>'Final list of total hauls pros'!F129</f>
        <v>17</v>
      </c>
      <c r="H129">
        <f>'Final list of total hauls pros'!G129</f>
        <v>53.8</v>
      </c>
      <c r="I129">
        <f>'Final list of total hauls pros'!H129</f>
        <v>4</v>
      </c>
      <c r="J129" t="str">
        <f>'Final list of total hauls pros'!I129</f>
        <v>POL</v>
      </c>
      <c r="K129" s="13">
        <f>'Final list of total hauls pros'!J129</f>
        <v>55.5</v>
      </c>
      <c r="L129" s="13">
        <f>'Final list of total hauls pros'!K129</f>
        <v>17.8966666666667</v>
      </c>
      <c r="M129" t="str">
        <f>'Final list of total hauls pros'!L129</f>
        <v>25-32</v>
      </c>
      <c r="N129" t="str">
        <f>Processing!I132</f>
        <v>DEN (SD 25-32)</v>
      </c>
    </row>
    <row r="130" spans="2:14" x14ac:dyDescent="0.25">
      <c r="B130">
        <f>Processing!D133</f>
        <v>25300</v>
      </c>
      <c r="C130" t="str">
        <f>Processing!F133</f>
        <v>40G6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43.2</v>
      </c>
      <c r="G130">
        <f>'Final list of total hauls pros'!F130</f>
        <v>16</v>
      </c>
      <c r="H130">
        <f>'Final list of total hauls pros'!G130</f>
        <v>1.3</v>
      </c>
      <c r="I130">
        <f>'Final list of total hauls pros'!H130</f>
        <v>4</v>
      </c>
      <c r="J130" t="str">
        <f>'Final list of total hauls pros'!I130</f>
        <v>SWE</v>
      </c>
      <c r="K130" s="13">
        <f>'Final list of total hauls pros'!J130</f>
        <v>55.72</v>
      </c>
      <c r="L130" s="13">
        <f>'Final list of total hauls pros'!K130</f>
        <v>16.0216666666667</v>
      </c>
      <c r="M130" t="str">
        <f>'Final list of total hauls pros'!L130</f>
        <v>25-32</v>
      </c>
      <c r="N130" t="str">
        <f>Processing!I133</f>
        <v>SWE (SD 25-32)</v>
      </c>
    </row>
    <row r="131" spans="2:14" x14ac:dyDescent="0.25">
      <c r="B131">
        <f>Processing!D134</f>
        <v>25313</v>
      </c>
      <c r="C131" t="str">
        <f>Processing!F134</f>
        <v>41G7</v>
      </c>
      <c r="D131">
        <f>'Final list of total hauls pros'!C131</f>
        <v>25</v>
      </c>
      <c r="E131">
        <f>'Final list of total hauls pros'!D131</f>
        <v>56</v>
      </c>
      <c r="F131">
        <f>'Final list of total hauls pros'!E131</f>
        <v>6.22</v>
      </c>
      <c r="G131">
        <f>'Final list of total hauls pros'!F131</f>
        <v>17</v>
      </c>
      <c r="H131">
        <f>'Final list of total hauls pros'!G131</f>
        <v>50.51</v>
      </c>
      <c r="I131">
        <f>'Final list of total hauls pros'!H131</f>
        <v>4</v>
      </c>
      <c r="J131" t="str">
        <f>'Final list of total hauls pros'!I131</f>
        <v>SWE</v>
      </c>
      <c r="K131" s="13">
        <f>'Final list of total hauls pros'!J131</f>
        <v>56.103666666666697</v>
      </c>
      <c r="L131" s="13">
        <f>'Final list of total hauls pros'!K131</f>
        <v>17.841833333333302</v>
      </c>
      <c r="M131" t="str">
        <f>'Final list of total hauls pros'!L131</f>
        <v>25-32</v>
      </c>
      <c r="N131" t="str">
        <f>Processing!I134</f>
        <v>SWE (SD 25-32)</v>
      </c>
    </row>
    <row r="132" spans="2:14" x14ac:dyDescent="0.25">
      <c r="B132">
        <f>Processing!D135</f>
        <v>25315</v>
      </c>
      <c r="C132" t="str">
        <f>Processing!F135</f>
        <v>41G6</v>
      </c>
      <c r="D132">
        <f>'Final list of total hauls pros'!C132</f>
        <v>25</v>
      </c>
      <c r="E132">
        <f>'Final list of total hauls pros'!D132</f>
        <v>56</v>
      </c>
      <c r="F132">
        <f>'Final list of total hauls pros'!E132</f>
        <v>26.8</v>
      </c>
      <c r="G132">
        <f>'Final list of total hauls pros'!F132</f>
        <v>16</v>
      </c>
      <c r="H132">
        <f>'Final list of total hauls pros'!G132</f>
        <v>58.5</v>
      </c>
      <c r="I132">
        <f>'Final list of total hauls pros'!H132</f>
        <v>4</v>
      </c>
      <c r="J132" t="str">
        <f>'Final list of total hauls pros'!I132</f>
        <v>SWE</v>
      </c>
      <c r="K132" s="13">
        <f>'Final list of total hauls pros'!J132</f>
        <v>56.446666666666701</v>
      </c>
      <c r="L132" s="13">
        <f>'Final list of total hauls pros'!K132</f>
        <v>16.975000000000001</v>
      </c>
      <c r="M132" t="str">
        <f>'Final list of total hauls pros'!L132</f>
        <v>25-32</v>
      </c>
      <c r="N132" t="str">
        <f>Processing!I135</f>
        <v>SWE (SD 25-32)</v>
      </c>
    </row>
    <row r="133" spans="2:14" x14ac:dyDescent="0.25">
      <c r="B133">
        <f>Processing!D136</f>
        <v>25322</v>
      </c>
      <c r="C133" t="str">
        <f>Processing!F136</f>
        <v>39G5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3.1</v>
      </c>
      <c r="G133">
        <f>'Final list of total hauls pros'!F133</f>
        <v>15</v>
      </c>
      <c r="H133">
        <f>'Final list of total hauls pros'!G133</f>
        <v>42.6</v>
      </c>
      <c r="I133">
        <f>'Final list of total hauls pros'!H133</f>
        <v>5</v>
      </c>
      <c r="J133" t="str">
        <f>'Final list of total hauls pros'!I133</f>
        <v>DEN</v>
      </c>
      <c r="K133" s="13">
        <f>'Final list of total hauls pros'!J133</f>
        <v>55.051666666666698</v>
      </c>
      <c r="L133" s="13">
        <f>'Final list of total hauls pros'!K133</f>
        <v>15.71</v>
      </c>
      <c r="M133" t="str">
        <f>'Final list of total hauls pros'!L133</f>
        <v>25-32</v>
      </c>
      <c r="N133" t="str">
        <f>Processing!I136</f>
        <v>DEN (SD 25-32)</v>
      </c>
    </row>
    <row r="134" spans="2:14" x14ac:dyDescent="0.25">
      <c r="B134">
        <f>Processing!D137</f>
        <v>25326</v>
      </c>
      <c r="C134" t="str">
        <f>Processing!F137</f>
        <v>39G6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8.1</v>
      </c>
      <c r="G134">
        <f>'Final list of total hauls pros'!F134</f>
        <v>16</v>
      </c>
      <c r="H134">
        <f>'Final list of total hauls pros'!G134</f>
        <v>3.6</v>
      </c>
      <c r="I134">
        <f>'Final list of total hauls pros'!H134</f>
        <v>5</v>
      </c>
      <c r="J134" t="str">
        <f>'Final list of total hauls pros'!I134</f>
        <v>POL</v>
      </c>
      <c r="K134" s="13">
        <f>'Final list of total hauls pros'!J134</f>
        <v>55.134999999999998</v>
      </c>
      <c r="L134" s="13">
        <f>'Final list of total hauls pros'!K134</f>
        <v>16.059999999999999</v>
      </c>
      <c r="M134" t="str">
        <f>'Final list of total hauls pros'!L134</f>
        <v>25-32</v>
      </c>
      <c r="N134" t="str">
        <f>Processing!I137</f>
        <v>DEN (SD 25-32)</v>
      </c>
    </row>
    <row r="135" spans="2:14" x14ac:dyDescent="0.25">
      <c r="B135">
        <f>Processing!D138</f>
        <v>25330</v>
      </c>
      <c r="C135" t="str">
        <f>Processing!F138</f>
        <v>39G5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15.7</v>
      </c>
      <c r="G135">
        <f>'Final list of total hauls pros'!F135</f>
        <v>15</v>
      </c>
      <c r="H135">
        <f>'Final list of total hauls pros'!G135</f>
        <v>58.7</v>
      </c>
      <c r="I135">
        <f>'Final list of total hauls pros'!H135</f>
        <v>5</v>
      </c>
      <c r="J135" t="str">
        <f>'Final list of total hauls pros'!I135</f>
        <v>DEN</v>
      </c>
      <c r="K135" s="13">
        <f>'Final list of total hauls pros'!J135</f>
        <v>55.261666666666699</v>
      </c>
      <c r="L135" s="13">
        <f>'Final list of total hauls pros'!K135</f>
        <v>15.9783333333333</v>
      </c>
      <c r="M135" t="str">
        <f>'Final list of total hauls pros'!L135</f>
        <v>25-32</v>
      </c>
      <c r="N135" t="str">
        <f>Processing!I138</f>
        <v>DEN (SD 25-32)</v>
      </c>
    </row>
    <row r="136" spans="2:14" x14ac:dyDescent="0.25">
      <c r="B136">
        <f>Processing!D139</f>
        <v>25331</v>
      </c>
      <c r="C136" t="str">
        <f>Processing!F139</f>
        <v>39G6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16.100000000000001</v>
      </c>
      <c r="G136">
        <f>'Final list of total hauls pros'!F136</f>
        <v>16</v>
      </c>
      <c r="H136">
        <f>'Final list of total hauls pros'!G136</f>
        <v>3.9</v>
      </c>
      <c r="I136">
        <f>'Final list of total hauls pros'!H136</f>
        <v>5</v>
      </c>
      <c r="J136" t="str">
        <f>'Final list of total hauls pros'!I136</f>
        <v>DEN</v>
      </c>
      <c r="K136" s="13">
        <f>'Final list of total hauls pros'!J136</f>
        <v>55.268333333333302</v>
      </c>
      <c r="L136" s="13">
        <f>'Final list of total hauls pros'!K136</f>
        <v>16.065000000000001</v>
      </c>
      <c r="M136" t="str">
        <f>'Final list of total hauls pros'!L136</f>
        <v>25-32</v>
      </c>
      <c r="N136" t="str">
        <f>Processing!I139</f>
        <v>DEN (SD 25-32)</v>
      </c>
    </row>
    <row r="137" spans="2:14" x14ac:dyDescent="0.25">
      <c r="B137">
        <f>Processing!D140</f>
        <v>25339</v>
      </c>
      <c r="C137" t="str">
        <f>Processing!F140</f>
        <v>39G7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15.5</v>
      </c>
      <c r="G137">
        <f>'Final list of total hauls pros'!F137</f>
        <v>17</v>
      </c>
      <c r="H137">
        <f>'Final list of total hauls pros'!G137</f>
        <v>25.5</v>
      </c>
      <c r="I137">
        <f>'Final list of total hauls pros'!H137</f>
        <v>5</v>
      </c>
      <c r="J137" t="str">
        <f>'Final list of total hauls pros'!I137</f>
        <v>POL</v>
      </c>
      <c r="K137" s="13">
        <f>'Final list of total hauls pros'!J137</f>
        <v>55.258333333333297</v>
      </c>
      <c r="L137" s="13">
        <f>'Final list of total hauls pros'!K137</f>
        <v>17.425000000000001</v>
      </c>
      <c r="M137" t="str">
        <f>'Final list of total hauls pros'!L137</f>
        <v>25-32</v>
      </c>
      <c r="N137" t="str">
        <f>Processing!I140</f>
        <v>DEN (SD 25-32)</v>
      </c>
    </row>
    <row r="138" spans="2:14" x14ac:dyDescent="0.25">
      <c r="B138">
        <f>Processing!D141</f>
        <v>25342</v>
      </c>
      <c r="C138" t="str">
        <f>Processing!F141</f>
        <v>39G5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26.7</v>
      </c>
      <c r="G138">
        <f>'Final list of total hauls pros'!F138</f>
        <v>15</v>
      </c>
      <c r="H138">
        <f>'Final list of total hauls pros'!G138</f>
        <v>32.5</v>
      </c>
      <c r="I138">
        <f>'Final list of total hauls pros'!H138</f>
        <v>5</v>
      </c>
      <c r="J138" t="str">
        <f>'Final list of total hauls pros'!I138</f>
        <v>DEN</v>
      </c>
      <c r="K138" s="13">
        <f>'Final list of total hauls pros'!J138</f>
        <v>55.445</v>
      </c>
      <c r="L138" s="13">
        <f>'Final list of total hauls pros'!K138</f>
        <v>15.5416666666667</v>
      </c>
      <c r="M138" t="str">
        <f>'Final list of total hauls pros'!L138</f>
        <v>25-32</v>
      </c>
      <c r="N138" t="str">
        <f>Processing!I141</f>
        <v>DEN (SD 25-32)</v>
      </c>
    </row>
    <row r="139" spans="2:14" x14ac:dyDescent="0.25">
      <c r="B139">
        <f>Processing!D142</f>
        <v>25344</v>
      </c>
      <c r="C139" t="str">
        <f>Processing!F142</f>
        <v>39G5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27.4</v>
      </c>
      <c r="G139">
        <f>'Final list of total hauls pros'!F139</f>
        <v>15</v>
      </c>
      <c r="H139">
        <f>'Final list of total hauls pros'!G139</f>
        <v>56.2</v>
      </c>
      <c r="I139">
        <f>'Final list of total hauls pros'!H139</f>
        <v>5</v>
      </c>
      <c r="J139" t="str">
        <f>'Final list of total hauls pros'!I139</f>
        <v>DEN</v>
      </c>
      <c r="K139" s="13">
        <f>'Final list of total hauls pros'!J139</f>
        <v>55.456666666666699</v>
      </c>
      <c r="L139" s="13">
        <f>'Final list of total hauls pros'!K139</f>
        <v>15.936666666666699</v>
      </c>
      <c r="M139" t="str">
        <f>'Final list of total hauls pros'!L139</f>
        <v>25-32</v>
      </c>
      <c r="N139" t="str">
        <f>Processing!I142</f>
        <v>DEN (SD 25-32)</v>
      </c>
    </row>
    <row r="140" spans="2:14" x14ac:dyDescent="0.25">
      <c r="B140">
        <f>Processing!D143</f>
        <v>25359</v>
      </c>
      <c r="C140" t="str">
        <f>Processing!F143</f>
        <v>40G6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48.5</v>
      </c>
      <c r="G140">
        <f>'Final list of total hauls pros'!F140</f>
        <v>16</v>
      </c>
      <c r="H140">
        <f>'Final list of total hauls pros'!G140</f>
        <v>31.9</v>
      </c>
      <c r="I140">
        <f>'Final list of total hauls pros'!H140</f>
        <v>3</v>
      </c>
      <c r="J140" t="str">
        <f>'Final list of total hauls pros'!I140</f>
        <v>SWE</v>
      </c>
      <c r="K140" s="13">
        <f>'Final list of total hauls pros'!J140</f>
        <v>55.808333333333302</v>
      </c>
      <c r="L140" s="13">
        <f>'Final list of total hauls pros'!K140</f>
        <v>16.531666666666698</v>
      </c>
      <c r="M140" t="str">
        <f>'Final list of total hauls pros'!L140</f>
        <v>25-32</v>
      </c>
      <c r="N140" t="str">
        <f>Processing!I143</f>
        <v>SWE (SD 25-32)</v>
      </c>
    </row>
    <row r="141" spans="2:14" x14ac:dyDescent="0.25">
      <c r="B141">
        <f>Processing!D144</f>
        <v>25364</v>
      </c>
      <c r="C141" t="str">
        <f>Processing!F144</f>
        <v>38G7</v>
      </c>
      <c r="D141">
        <f>'Final list of total hauls pros'!C141</f>
        <v>25</v>
      </c>
      <c r="E141">
        <f>'Final list of total hauls pros'!D141</f>
        <v>54</v>
      </c>
      <c r="F141">
        <f>'Final list of total hauls pros'!E141</f>
        <v>59.8</v>
      </c>
      <c r="G141">
        <f>'Final list of total hauls pros'!F141</f>
        <v>17</v>
      </c>
      <c r="H141">
        <f>'Final list of total hauls pros'!G141</f>
        <v>28</v>
      </c>
      <c r="I141">
        <f>'Final list of total hauls pros'!H141</f>
        <v>2</v>
      </c>
      <c r="J141" t="str">
        <f>'Final list of total hauls pros'!I141</f>
        <v>POL</v>
      </c>
      <c r="K141" s="13">
        <f>'Final list of total hauls pros'!J141</f>
        <v>54.996666666666698</v>
      </c>
      <c r="L141" s="13">
        <f>'Final list of total hauls pros'!K141</f>
        <v>17.466666666666701</v>
      </c>
      <c r="M141" t="str">
        <f>'Final list of total hauls pros'!L141</f>
        <v>25-32</v>
      </c>
      <c r="N141" t="str">
        <f>Processing!I144</f>
        <v>DEN (SD 25-32)</v>
      </c>
    </row>
    <row r="142" spans="2:14" x14ac:dyDescent="0.25">
      <c r="B142">
        <f>Processing!D145</f>
        <v>25389</v>
      </c>
      <c r="C142" t="str">
        <f>Processing!F145</f>
        <v>40G6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35.409999999999997</v>
      </c>
      <c r="G142">
        <f>'Final list of total hauls pros'!F142</f>
        <v>16</v>
      </c>
      <c r="H142">
        <f>'Final list of total hauls pros'!G142</f>
        <v>39.65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55.590166666666697</v>
      </c>
      <c r="L142" s="13">
        <f>'Final list of total hauls pros'!K142</f>
        <v>16.660833333333301</v>
      </c>
      <c r="M142" t="str">
        <f>'Final list of total hauls pros'!L142</f>
        <v>25-32</v>
      </c>
      <c r="N142" t="str">
        <f>Processing!I145</f>
        <v>SWE (SD 25-32)</v>
      </c>
    </row>
    <row r="143" spans="2:14" x14ac:dyDescent="0.25">
      <c r="B143">
        <f>Processing!D146</f>
        <v>25391</v>
      </c>
      <c r="C143" t="str">
        <f>Processing!F146</f>
        <v>40G4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40.1</v>
      </c>
      <c r="G143">
        <f>'Final list of total hauls pros'!F143</f>
        <v>14</v>
      </c>
      <c r="H143">
        <f>'Final list of total hauls pros'!G143</f>
        <v>43.46</v>
      </c>
      <c r="I143">
        <f>'Final list of total hauls pros'!H143</f>
        <v>3</v>
      </c>
      <c r="J143" t="str">
        <f>'Final list of total hauls pros'!I143</f>
        <v>SWE</v>
      </c>
      <c r="K143" s="13">
        <f>'Final list of total hauls pros'!J143</f>
        <v>55.668333333333301</v>
      </c>
      <c r="L143" s="13">
        <f>'Final list of total hauls pros'!K143</f>
        <v>14.7243333333333</v>
      </c>
      <c r="M143" t="str">
        <f>'Final list of total hauls pros'!L143</f>
        <v>25-32</v>
      </c>
      <c r="N143" t="str">
        <f>Processing!I146</f>
        <v>SWE (SD 25-32)</v>
      </c>
    </row>
    <row r="144" spans="2:14" x14ac:dyDescent="0.25">
      <c r="B144">
        <f>Processing!D147</f>
        <v>25401</v>
      </c>
      <c r="C144" t="str">
        <f>Processing!F147</f>
        <v>40G4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42.15</v>
      </c>
      <c r="G144">
        <f>'Final list of total hauls pros'!F144</f>
        <v>14</v>
      </c>
      <c r="H144">
        <f>'Final list of total hauls pros'!G144</f>
        <v>22.21</v>
      </c>
      <c r="I144">
        <f>'Final list of total hauls pros'!H144</f>
        <v>2</v>
      </c>
      <c r="J144" t="str">
        <f>'Final list of total hauls pros'!I144</f>
        <v>SWE</v>
      </c>
      <c r="K144" s="13">
        <f>'Final list of total hauls pros'!J144</f>
        <v>55.702500000000001</v>
      </c>
      <c r="L144" s="13">
        <f>'Final list of total hauls pros'!K144</f>
        <v>14.3701666666667</v>
      </c>
      <c r="M144" t="str">
        <f>'Final list of total hauls pros'!L144</f>
        <v>25-32</v>
      </c>
      <c r="N144" t="str">
        <f>Processing!I147</f>
        <v>SWE (SD 25-32)</v>
      </c>
    </row>
    <row r="145" spans="2:14" x14ac:dyDescent="0.25">
      <c r="B145">
        <f>Processing!D148</f>
        <v>25404</v>
      </c>
      <c r="C145" t="str">
        <f>Processing!F148</f>
        <v>40G5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49.6</v>
      </c>
      <c r="G145">
        <f>'Final list of total hauls pros'!F145</f>
        <v>15</v>
      </c>
      <c r="H145">
        <f>'Final list of total hauls pros'!G145</f>
        <v>26.4</v>
      </c>
      <c r="I145">
        <f>'Final list of total hauls pros'!H145</f>
        <v>3</v>
      </c>
      <c r="J145" t="str">
        <f>'Final list of total hauls pros'!I145</f>
        <v>SWE</v>
      </c>
      <c r="K145" s="13">
        <f>'Final list of total hauls pros'!J145</f>
        <v>55.826666666666704</v>
      </c>
      <c r="L145" s="13">
        <f>'Final list of total hauls pros'!K145</f>
        <v>15.44</v>
      </c>
      <c r="M145" t="str">
        <f>'Final list of total hauls pros'!L145</f>
        <v>25-32</v>
      </c>
      <c r="N145" t="str">
        <f>Processing!I148</f>
        <v>SWE (SD 25-32)</v>
      </c>
    </row>
    <row r="146" spans="2:14" x14ac:dyDescent="0.25">
      <c r="B146">
        <f>Processing!D149</f>
        <v>25409</v>
      </c>
      <c r="C146" t="str">
        <f>Processing!F149</f>
        <v>40G5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47.9</v>
      </c>
      <c r="G146">
        <f>'Final list of total hauls pros'!F146</f>
        <v>15</v>
      </c>
      <c r="H146">
        <f>'Final list of total hauls pros'!G146</f>
        <v>57.8</v>
      </c>
      <c r="I146">
        <f>'Final list of total hauls pros'!H146</f>
        <v>3</v>
      </c>
      <c r="J146" t="str">
        <f>'Final list of total hauls pros'!I146</f>
        <v>SWE</v>
      </c>
      <c r="K146" s="13">
        <f>'Final list of total hauls pros'!J146</f>
        <v>55.798333333333296</v>
      </c>
      <c r="L146" s="13">
        <f>'Final list of total hauls pros'!K146</f>
        <v>15.963333333333299</v>
      </c>
      <c r="M146" t="str">
        <f>'Final list of total hauls pros'!L146</f>
        <v>25-32</v>
      </c>
      <c r="N146" t="str">
        <f>Processing!I149</f>
        <v>SWE (SD 25-32)</v>
      </c>
    </row>
    <row r="147" spans="2:14" x14ac:dyDescent="0.25">
      <c r="B147">
        <f>Processing!D150</f>
        <v>25418</v>
      </c>
      <c r="C147" t="str">
        <f>Processing!F150</f>
        <v>40G4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42.4</v>
      </c>
      <c r="G147">
        <f>'Final list of total hauls pros'!F147</f>
        <v>14</v>
      </c>
      <c r="H147">
        <f>'Final list of total hauls pros'!G147</f>
        <v>22.5</v>
      </c>
      <c r="I147">
        <f>'Final list of total hauls pros'!H147</f>
        <v>2</v>
      </c>
      <c r="J147" t="str">
        <f>'Final list of total hauls pros'!I147</f>
        <v>SWE</v>
      </c>
      <c r="K147" s="13">
        <f>'Final list of total hauls pros'!J147</f>
        <v>55.706666666666699</v>
      </c>
      <c r="L147" s="13">
        <f>'Final list of total hauls pros'!K147</f>
        <v>14.375</v>
      </c>
      <c r="M147" t="str">
        <f>'Final list of total hauls pros'!L147</f>
        <v>25-32</v>
      </c>
      <c r="N147" t="str">
        <f>Processing!I150</f>
        <v>SWE (SD 25-32)</v>
      </c>
    </row>
    <row r="148" spans="2:14" x14ac:dyDescent="0.25">
      <c r="B148">
        <f>Processing!D151</f>
        <v>25419</v>
      </c>
      <c r="C148" t="str">
        <f>Processing!F151</f>
        <v>40G4</v>
      </c>
      <c r="D148">
        <f>'Final list of total hauls pros'!C148</f>
        <v>25</v>
      </c>
      <c r="E148">
        <f>'Final list of total hauls pros'!D148</f>
        <v>55</v>
      </c>
      <c r="F148">
        <f>'Final list of total hauls pros'!E148</f>
        <v>41.5</v>
      </c>
      <c r="G148">
        <f>'Final list of total hauls pros'!F148</f>
        <v>14</v>
      </c>
      <c r="H148">
        <f>'Final list of total hauls pros'!G148</f>
        <v>22.35</v>
      </c>
      <c r="I148">
        <f>'Final list of total hauls pros'!H148</f>
        <v>2</v>
      </c>
      <c r="J148" t="str">
        <f>'Final list of total hauls pros'!I148</f>
        <v>SWE</v>
      </c>
      <c r="K148" s="13">
        <f>'Final list of total hauls pros'!J148</f>
        <v>55.691666666666698</v>
      </c>
      <c r="L148" s="13">
        <f>'Final list of total hauls pros'!K148</f>
        <v>14.3725</v>
      </c>
      <c r="M148" t="str">
        <f>'Final list of total hauls pros'!L148</f>
        <v>25-32</v>
      </c>
      <c r="N148" t="str">
        <f>Processing!I151</f>
        <v>SWE (SD 25-32)</v>
      </c>
    </row>
    <row r="149" spans="2:14" x14ac:dyDescent="0.25">
      <c r="B149">
        <f>Processing!D152</f>
        <v>25426</v>
      </c>
      <c r="C149" t="str">
        <f>Processing!F152</f>
        <v>40G5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49.1</v>
      </c>
      <c r="G149">
        <f>'Final list of total hauls pros'!F149</f>
        <v>15</v>
      </c>
      <c r="H149">
        <f>'Final list of total hauls pros'!G149</f>
        <v>15.6</v>
      </c>
      <c r="I149">
        <f>'Final list of total hauls pros'!H149</f>
        <v>3</v>
      </c>
      <c r="J149" t="str">
        <f>'Final list of total hauls pros'!I149</f>
        <v>SWE</v>
      </c>
      <c r="K149" s="13">
        <f>'Final list of total hauls pros'!J149</f>
        <v>55.8183333333333</v>
      </c>
      <c r="L149" s="13">
        <f>'Final list of total hauls pros'!K149</f>
        <v>15.26</v>
      </c>
      <c r="M149" t="str">
        <f>'Final list of total hauls pros'!L149</f>
        <v>25-32</v>
      </c>
      <c r="N149" t="str">
        <f>Processing!I152</f>
        <v>SWE (SD 25-32)</v>
      </c>
    </row>
    <row r="150" spans="2:14" x14ac:dyDescent="0.25">
      <c r="B150">
        <f>Processing!D153</f>
        <v>25431</v>
      </c>
      <c r="C150" t="str">
        <f>Processing!F153</f>
        <v>40G6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52.2</v>
      </c>
      <c r="G150">
        <f>'Final list of total hauls pros'!F150</f>
        <v>16</v>
      </c>
      <c r="H150">
        <f>'Final list of total hauls pros'!G150</f>
        <v>1.1000000000000001</v>
      </c>
      <c r="I150">
        <f>'Final list of total hauls pros'!H150</f>
        <v>3</v>
      </c>
      <c r="J150" t="str">
        <f>'Final list of total hauls pros'!I150</f>
        <v>SWE</v>
      </c>
      <c r="K150" s="13">
        <f>'Final list of total hauls pros'!J150</f>
        <v>55.87</v>
      </c>
      <c r="L150" s="13">
        <f>'Final list of total hauls pros'!K150</f>
        <v>16.018333333333299</v>
      </c>
      <c r="M150" t="str">
        <f>'Final list of total hauls pros'!L150</f>
        <v>25-32</v>
      </c>
      <c r="N150" t="str">
        <f>Processing!I153</f>
        <v>SWE (SD 25-32)</v>
      </c>
    </row>
    <row r="151" spans="2:14" x14ac:dyDescent="0.25">
      <c r="B151">
        <f>Processing!D154</f>
        <v>25438</v>
      </c>
      <c r="C151" t="str">
        <f>Processing!F154</f>
        <v>40G4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37.799999999999997</v>
      </c>
      <c r="G151">
        <f>'Final list of total hauls pros'!F151</f>
        <v>14</v>
      </c>
      <c r="H151">
        <f>'Final list of total hauls pros'!G151</f>
        <v>39.6</v>
      </c>
      <c r="I151">
        <f>'Final list of total hauls pros'!H151</f>
        <v>4</v>
      </c>
      <c r="J151" t="str">
        <f>'Final list of total hauls pros'!I151</f>
        <v>SWE</v>
      </c>
      <c r="K151" s="13">
        <f>'Final list of total hauls pros'!J151</f>
        <v>55.63</v>
      </c>
      <c r="L151" s="13">
        <f>'Final list of total hauls pros'!K151</f>
        <v>14.66</v>
      </c>
      <c r="M151" t="str">
        <f>'Final list of total hauls pros'!L151</f>
        <v>25-32</v>
      </c>
      <c r="N151" t="str">
        <f>Processing!I154</f>
        <v>SWE (SD 25-32)</v>
      </c>
    </row>
    <row r="152" spans="2:14" x14ac:dyDescent="0.25">
      <c r="B152">
        <f>Processing!D155</f>
        <v>25446</v>
      </c>
      <c r="C152" t="str">
        <f>Processing!F155</f>
        <v>40G5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32.68</v>
      </c>
      <c r="G152">
        <f>'Final list of total hauls pros'!F152</f>
        <v>15</v>
      </c>
      <c r="H152">
        <f>'Final list of total hauls pros'!G152</f>
        <v>15.36</v>
      </c>
      <c r="I152">
        <f>'Final list of total hauls pros'!H152</f>
        <v>4</v>
      </c>
      <c r="J152" t="str">
        <f>'Final list of total hauls pros'!I152</f>
        <v>DEN</v>
      </c>
      <c r="K152" s="13">
        <f>'Final list of total hauls pros'!J152</f>
        <v>55.5446666666667</v>
      </c>
      <c r="L152" s="13">
        <f>'Final list of total hauls pros'!K152</f>
        <v>15.256</v>
      </c>
      <c r="M152" t="str">
        <f>'Final list of total hauls pros'!L152</f>
        <v>25-32</v>
      </c>
      <c r="N152" t="str">
        <f>Processing!I155</f>
        <v>DEN (SD 25-32)</v>
      </c>
    </row>
    <row r="153" spans="2:14" x14ac:dyDescent="0.25">
      <c r="B153">
        <f>Processing!D156</f>
        <v>25447</v>
      </c>
      <c r="C153" t="str">
        <f>Processing!F156</f>
        <v>40G5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34.67</v>
      </c>
      <c r="G153">
        <f>'Final list of total hauls pros'!F153</f>
        <v>15</v>
      </c>
      <c r="H153">
        <f>'Final list of total hauls pros'!G153</f>
        <v>3.8</v>
      </c>
      <c r="I153">
        <f>'Final list of total hauls pros'!H153</f>
        <v>5</v>
      </c>
      <c r="J153" t="str">
        <f>'Final list of total hauls pros'!I153</f>
        <v>DEN</v>
      </c>
      <c r="K153" s="13">
        <f>'Final list of total hauls pros'!J153</f>
        <v>55.577833333333302</v>
      </c>
      <c r="L153" s="13">
        <f>'Final list of total hauls pros'!K153</f>
        <v>15.063333333333301</v>
      </c>
      <c r="M153" t="str">
        <f>'Final list of total hauls pros'!L153</f>
        <v>25-32</v>
      </c>
      <c r="N153" t="str">
        <f>Processing!I156</f>
        <v>DEN (SD 25-32)</v>
      </c>
    </row>
    <row r="154" spans="2:14" x14ac:dyDescent="0.25">
      <c r="B154">
        <f>Processing!D157</f>
        <v>25449</v>
      </c>
      <c r="C154" t="str">
        <f>Processing!F157</f>
        <v>40G4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27.6</v>
      </c>
      <c r="G154">
        <f>'Final list of total hauls pros'!F154</f>
        <v>14</v>
      </c>
      <c r="H154">
        <f>'Final list of total hauls pros'!G154</f>
        <v>43.8</v>
      </c>
      <c r="I154">
        <f>'Final list of total hauls pros'!H154</f>
        <v>4</v>
      </c>
      <c r="J154" t="str">
        <f>'Final list of total hauls pros'!I154</f>
        <v>DEN</v>
      </c>
      <c r="K154" s="13">
        <f>'Final list of total hauls pros'!J154</f>
        <v>55.46</v>
      </c>
      <c r="L154" s="13">
        <f>'Final list of total hauls pros'!K154</f>
        <v>14.73</v>
      </c>
      <c r="M154" t="str">
        <f>'Final list of total hauls pros'!L154</f>
        <v>25-32</v>
      </c>
      <c r="N154" t="str">
        <f>Processing!I157</f>
        <v>DEN (SD 25-32)</v>
      </c>
    </row>
    <row r="155" spans="2:14" x14ac:dyDescent="0.25">
      <c r="B155">
        <f>Processing!D158</f>
        <v>25452</v>
      </c>
      <c r="C155" t="str">
        <f>Processing!F158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22.4</v>
      </c>
      <c r="G155">
        <f>'Final list of total hauls pros'!F155</f>
        <v>15</v>
      </c>
      <c r="H155">
        <f>'Final list of total hauls pros'!G155</f>
        <v>15.6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55.373333333333299</v>
      </c>
      <c r="L155" s="13">
        <f>'Final list of total hauls pros'!K155</f>
        <v>15.26</v>
      </c>
      <c r="M155" t="str">
        <f>'Final list of total hauls pros'!L155</f>
        <v>25-32</v>
      </c>
      <c r="N155" t="str">
        <f>Processing!I158</f>
        <v>DEN (SD 25-32)</v>
      </c>
    </row>
    <row r="156" spans="2:14" x14ac:dyDescent="0.25">
      <c r="B156">
        <f>Processing!D159</f>
        <v>25455</v>
      </c>
      <c r="C156" t="str">
        <f>Processing!F159</f>
        <v>39G7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27.4</v>
      </c>
      <c r="G156">
        <f>'Final list of total hauls pros'!F156</f>
        <v>17</v>
      </c>
      <c r="H156">
        <f>'Final list of total hauls pros'!G156</f>
        <v>17</v>
      </c>
      <c r="I156">
        <f>'Final list of total hauls pros'!H156</f>
        <v>2</v>
      </c>
      <c r="J156" t="str">
        <f>'Final list of total hauls pros'!I156</f>
        <v>POL</v>
      </c>
      <c r="K156" s="13">
        <f>'Final list of total hauls pros'!J156</f>
        <v>55.456666666666699</v>
      </c>
      <c r="L156" s="13">
        <f>'Final list of total hauls pros'!K156</f>
        <v>17.283333333333299</v>
      </c>
      <c r="M156" t="str">
        <f>'Final list of total hauls pros'!L156</f>
        <v>25-32</v>
      </c>
      <c r="N156" t="str">
        <f>Processing!I159</f>
        <v>DEN (SD 25-32)</v>
      </c>
    </row>
    <row r="157" spans="2:14" x14ac:dyDescent="0.25">
      <c r="B157">
        <f>Processing!D160</f>
        <v>25461</v>
      </c>
      <c r="C157" t="str">
        <f>Processing!F160</f>
        <v>41G7</v>
      </c>
      <c r="D157">
        <f>'Final list of total hauls pros'!C157</f>
        <v>25</v>
      </c>
      <c r="E157">
        <f>'Final list of total hauls pros'!D157</f>
        <v>56</v>
      </c>
      <c r="F157">
        <f>'Final list of total hauls pros'!E157</f>
        <v>4.05</v>
      </c>
      <c r="G157">
        <f>'Final list of total hauls pros'!F157</f>
        <v>17</v>
      </c>
      <c r="H157">
        <f>'Final list of total hauls pros'!G157</f>
        <v>21.87</v>
      </c>
      <c r="I157">
        <f>'Final list of total hauls pros'!H157</f>
        <v>3</v>
      </c>
      <c r="J157" t="str">
        <f>'Final list of total hauls pros'!I157</f>
        <v>SWE</v>
      </c>
      <c r="K157" s="13">
        <f>'Final list of total hauls pros'!J157</f>
        <v>56.067500000000003</v>
      </c>
      <c r="L157" s="13">
        <f>'Final list of total hauls pros'!K157</f>
        <v>17.3645</v>
      </c>
      <c r="M157" t="str">
        <f>'Final list of total hauls pros'!L157</f>
        <v>25-32</v>
      </c>
      <c r="N157" t="str">
        <f>Processing!I160</f>
        <v>SWE (SD 25-32)</v>
      </c>
    </row>
    <row r="158" spans="2:14" x14ac:dyDescent="0.25">
      <c r="B158">
        <f>Processing!D161</f>
        <v>25462</v>
      </c>
      <c r="C158" t="str">
        <f>Processing!F161</f>
        <v>39G8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45.978999999999999</v>
      </c>
      <c r="G158">
        <f>'Final list of total hauls pros'!F158</f>
        <v>16</v>
      </c>
      <c r="H158">
        <f>'Final list of total hauls pros'!G158</f>
        <v>41.02</v>
      </c>
      <c r="I158">
        <f>'Final list of total hauls pros'!H158</f>
        <v>3</v>
      </c>
      <c r="J158" t="str">
        <f>'Final list of total hauls pros'!I158</f>
        <v>SWE</v>
      </c>
      <c r="K158" s="13">
        <f>'Final list of total hauls pros'!J158</f>
        <v>55.766316666666697</v>
      </c>
      <c r="L158" s="13">
        <f>'Final list of total hauls pros'!K158</f>
        <v>16.683666666666699</v>
      </c>
      <c r="M158" t="str">
        <f>'Final list of total hauls pros'!L158</f>
        <v>25-32</v>
      </c>
      <c r="N158" t="str">
        <f>Processing!I161</f>
        <v>SWE (SD 25-32)</v>
      </c>
    </row>
    <row r="159" spans="2:14" x14ac:dyDescent="0.25">
      <c r="B159">
        <f>Processing!D162</f>
        <v>25463</v>
      </c>
      <c r="C159" t="str">
        <f>Processing!F162</f>
        <v>39G7</v>
      </c>
      <c r="D159">
        <f>'Final list of total hauls pros'!C159</f>
        <v>25</v>
      </c>
      <c r="E159">
        <f>'Final list of total hauls pros'!D159</f>
        <v>55</v>
      </c>
      <c r="F159">
        <f>'Final list of total hauls pros'!E159</f>
        <v>14.2</v>
      </c>
      <c r="G159">
        <f>'Final list of total hauls pros'!F159</f>
        <v>17</v>
      </c>
      <c r="H159">
        <f>'Final list of total hauls pros'!G159</f>
        <v>18.2</v>
      </c>
      <c r="I159">
        <f>'Final list of total hauls pros'!H159</f>
        <v>5</v>
      </c>
      <c r="J159" t="str">
        <f>'Final list of total hauls pros'!I159</f>
        <v>POL</v>
      </c>
      <c r="K159" s="13">
        <f>'Final list of total hauls pros'!J159</f>
        <v>55.2366666666667</v>
      </c>
      <c r="L159" s="13">
        <f>'Final list of total hauls pros'!K159</f>
        <v>17.303333333333299</v>
      </c>
      <c r="M159" t="str">
        <f>'Final list of total hauls pros'!L159</f>
        <v>25-32</v>
      </c>
      <c r="N159" t="str">
        <f>Processing!I162</f>
        <v>DEN (SD 25-32)</v>
      </c>
    </row>
    <row r="160" spans="2:14" x14ac:dyDescent="0.25">
      <c r="B160">
        <f>Processing!D163</f>
        <v>25503</v>
      </c>
      <c r="C160" t="str">
        <f>Processing!F163</f>
        <v>38G6</v>
      </c>
      <c r="D160">
        <f>'Final list of total hauls pros'!C160</f>
        <v>25</v>
      </c>
      <c r="E160">
        <f>'Final list of total hauls pros'!D160</f>
        <v>55</v>
      </c>
      <c r="F160">
        <f>'Final list of total hauls pros'!E160</f>
        <v>9.3580000000000005</v>
      </c>
      <c r="G160">
        <f>'Final list of total hauls pros'!F160</f>
        <v>16</v>
      </c>
      <c r="H160">
        <f>'Final list of total hauls pros'!G160</f>
        <v>3.988</v>
      </c>
      <c r="I160">
        <f>'Final list of total hauls pros'!H160</f>
        <v>5</v>
      </c>
      <c r="J160" t="str">
        <f>'Final list of total hauls pros'!I160</f>
        <v>POL</v>
      </c>
      <c r="K160" s="13">
        <f>'Final list of total hauls pros'!J160</f>
        <v>55.1559666666667</v>
      </c>
      <c r="L160" s="13">
        <f>'Final list of total hauls pros'!K160</f>
        <v>16.066466666666699</v>
      </c>
      <c r="M160" t="str">
        <f>'Final list of total hauls pros'!L160</f>
        <v>25-32</v>
      </c>
      <c r="N160" t="str">
        <f>Processing!I163</f>
        <v>DEN (SD 25-32)</v>
      </c>
    </row>
    <row r="161" spans="2:14" x14ac:dyDescent="0.25">
      <c r="B161">
        <f>Processing!D164</f>
        <v>25505</v>
      </c>
      <c r="C161" t="str">
        <f>Processing!F164</f>
        <v>40G6</v>
      </c>
      <c r="D161">
        <f>'Final list of total hauls pros'!C161</f>
        <v>25</v>
      </c>
      <c r="E161">
        <f>'Final list of total hauls pros'!D161</f>
        <v>55</v>
      </c>
      <c r="F161">
        <f>'Final list of total hauls pros'!E161</f>
        <v>43.552</v>
      </c>
      <c r="G161">
        <f>'Final list of total hauls pros'!F161</f>
        <v>16</v>
      </c>
      <c r="H161">
        <f>'Final list of total hauls pros'!G161</f>
        <v>40.631999999999998</v>
      </c>
      <c r="I161">
        <f>'Final list of total hauls pros'!H161</f>
        <v>3</v>
      </c>
      <c r="J161" t="str">
        <f>'Final list of total hauls pros'!I161</f>
        <v>SWE</v>
      </c>
      <c r="K161" s="13">
        <f>'Final list of total hauls pros'!J161</f>
        <v>55.725866666666697</v>
      </c>
      <c r="L161" s="13">
        <f>'Final list of total hauls pros'!K161</f>
        <v>16.677199999999999</v>
      </c>
      <c r="M161" t="str">
        <f>'Final list of total hauls pros'!L161</f>
        <v>25-32</v>
      </c>
      <c r="N161" t="str">
        <f>Processing!I164</f>
        <v>SWE (SD 25-32)</v>
      </c>
    </row>
    <row r="162" spans="2:14" x14ac:dyDescent="0.25">
      <c r="B162">
        <f>Processing!D165</f>
        <v>25506</v>
      </c>
      <c r="C162" t="str">
        <f>Processing!F165</f>
        <v>39G5</v>
      </c>
      <c r="D162">
        <f>'Final list of total hauls pros'!C162</f>
        <v>25</v>
      </c>
      <c r="E162">
        <f>'Final list of total hauls pros'!D162</f>
        <v>55</v>
      </c>
      <c r="F162">
        <f>'Final list of total hauls pros'!E162</f>
        <v>28.074000000000002</v>
      </c>
      <c r="G162">
        <f>'Final list of total hauls pros'!F162</f>
        <v>15</v>
      </c>
      <c r="H162">
        <f>'Final list of total hauls pros'!G162</f>
        <v>57.014000000000003</v>
      </c>
      <c r="I162">
        <f>'Final list of total hauls pros'!H162</f>
        <v>5</v>
      </c>
      <c r="J162" t="str">
        <f>'Final list of total hauls pros'!I162</f>
        <v>DEN</v>
      </c>
      <c r="K162" s="13">
        <f>'Final list of total hauls pros'!J162</f>
        <v>55.4679</v>
      </c>
      <c r="L162" s="13">
        <f>'Final list of total hauls pros'!K162</f>
        <v>15.9502333333333</v>
      </c>
      <c r="M162" t="str">
        <f>'Final list of total hauls pros'!L162</f>
        <v>25-32</v>
      </c>
      <c r="N162" t="str">
        <f>Processing!I165</f>
        <v>DEN (SD 25-32)</v>
      </c>
    </row>
    <row r="163" spans="2:14" x14ac:dyDescent="0.25">
      <c r="B163">
        <f>Processing!D166</f>
        <v>25508</v>
      </c>
      <c r="C163" t="str">
        <f>Processing!F166</f>
        <v>39G6</v>
      </c>
      <c r="D163">
        <f>'Final list of total hauls pros'!C163</f>
        <v>25</v>
      </c>
      <c r="E163">
        <f>'Final list of total hauls pros'!D163</f>
        <v>55</v>
      </c>
      <c r="F163">
        <f>'Final list of total hauls pros'!E163</f>
        <v>18.02</v>
      </c>
      <c r="G163">
        <f>'Final list of total hauls pros'!F163</f>
        <v>16</v>
      </c>
      <c r="H163">
        <f>'Final list of total hauls pros'!G163</f>
        <v>1.1299999999999999</v>
      </c>
      <c r="I163">
        <f>'Final list of total hauls pros'!H163</f>
        <v>5</v>
      </c>
      <c r="J163" t="str">
        <f>'Final list of total hauls pros'!I163</f>
        <v>DEN</v>
      </c>
      <c r="K163" s="13">
        <f>'Final list of total hauls pros'!J163</f>
        <v>55.300333333333299</v>
      </c>
      <c r="L163" s="13">
        <f>'Final list of total hauls pros'!K163</f>
        <v>16.018833333333301</v>
      </c>
      <c r="M163" t="str">
        <f>'Final list of total hauls pros'!L163</f>
        <v>25-32</v>
      </c>
      <c r="N163" t="str">
        <f>Processing!I166</f>
        <v>DEN (SD 25-32)</v>
      </c>
    </row>
    <row r="164" spans="2:14" x14ac:dyDescent="0.25">
      <c r="B164">
        <f>Processing!D167</f>
        <v>25509</v>
      </c>
      <c r="C164" t="str">
        <f>Processing!F167</f>
        <v>40G6</v>
      </c>
      <c r="D164">
        <f>'Final list of total hauls pros'!C164</f>
        <v>25</v>
      </c>
      <c r="E164">
        <f>'Final list of total hauls pros'!D164</f>
        <v>55</v>
      </c>
      <c r="F164">
        <f>'Final list of total hauls pros'!E164</f>
        <v>43.78</v>
      </c>
      <c r="G164">
        <f>'Final list of total hauls pros'!F164</f>
        <v>16</v>
      </c>
      <c r="H164">
        <f>'Final list of total hauls pros'!G164</f>
        <v>41</v>
      </c>
      <c r="I164">
        <f>'Final list of total hauls pros'!H164</f>
        <v>4</v>
      </c>
      <c r="J164" t="str">
        <f>'Final list of total hauls pros'!I164</f>
        <v>SWE</v>
      </c>
      <c r="K164" s="13">
        <f>'Final list of total hauls pros'!J164</f>
        <v>55.729666666666702</v>
      </c>
      <c r="L164" s="13">
        <f>'Final list of total hauls pros'!K164</f>
        <v>16.683333333333302</v>
      </c>
      <c r="M164" t="str">
        <f>'Final list of total hauls pros'!L164</f>
        <v>25-32</v>
      </c>
      <c r="N164" t="str">
        <f>Processing!I167</f>
        <v>SWE (SD 25-32)</v>
      </c>
    </row>
    <row r="165" spans="2:14" x14ac:dyDescent="0.25">
      <c r="B165">
        <f>Processing!D168</f>
        <v>25511</v>
      </c>
      <c r="C165" t="str">
        <f>Processing!F168</f>
        <v>40G6</v>
      </c>
      <c r="D165">
        <f>'Final list of total hauls pros'!C165</f>
        <v>25</v>
      </c>
      <c r="E165">
        <f>'Final list of total hauls pros'!D165</f>
        <v>55</v>
      </c>
      <c r="F165">
        <f>'Final list of total hauls pros'!E165</f>
        <v>31.3</v>
      </c>
      <c r="G165">
        <f>'Final list of total hauls pros'!F165</f>
        <v>16</v>
      </c>
      <c r="H165">
        <f>'Final list of total hauls pros'!G165</f>
        <v>18.5</v>
      </c>
      <c r="I165">
        <f>'Final list of total hauls pros'!H165</f>
        <v>4</v>
      </c>
      <c r="J165" t="str">
        <f>'Final list of total hauls pros'!I165</f>
        <v>SWE</v>
      </c>
      <c r="K165" s="13">
        <f>'Final list of total hauls pros'!J165</f>
        <v>55.521666666666697</v>
      </c>
      <c r="L165" s="13">
        <f>'Final list of total hauls pros'!K165</f>
        <v>16.308333333333302</v>
      </c>
      <c r="M165" t="str">
        <f>'Final list of total hauls pros'!L165</f>
        <v>25-32</v>
      </c>
      <c r="N165" t="str">
        <f>Processing!I168</f>
        <v>SWE (SD 25-32)</v>
      </c>
    </row>
    <row r="166" spans="2:14" x14ac:dyDescent="0.25">
      <c r="B166">
        <f>Processing!D169</f>
        <v>26001</v>
      </c>
      <c r="C166" t="str">
        <f>Processing!F169</f>
        <v>37G9</v>
      </c>
      <c r="D166">
        <f>'Final list of total hauls pros'!C166</f>
        <v>26</v>
      </c>
      <c r="E166">
        <f>'Final list of total hauls pros'!D166</f>
        <v>54</v>
      </c>
      <c r="F166">
        <f>'Final list of total hauls pros'!E166</f>
        <v>22.9</v>
      </c>
      <c r="G166">
        <f>'Final list of total hauls pros'!F166</f>
        <v>19</v>
      </c>
      <c r="H166">
        <f>'Final list of total hauls pros'!G166</f>
        <v>14.4</v>
      </c>
      <c r="I166">
        <f>'Final list of total hauls pros'!H166</f>
        <v>2</v>
      </c>
      <c r="J166" t="str">
        <f>'Final list of total hauls pros'!I166</f>
        <v>POL</v>
      </c>
      <c r="K166" s="13">
        <f>'Final list of total hauls pros'!J166</f>
        <v>54.381666666666703</v>
      </c>
      <c r="L166" s="13">
        <f>'Final list of total hauls pros'!K166</f>
        <v>19.239999999999998</v>
      </c>
      <c r="M166" t="str">
        <f>'Final list of total hauls pros'!L166</f>
        <v>25-32</v>
      </c>
      <c r="N166" t="str">
        <f>Processing!I169</f>
        <v>POL (SD 25-32)</v>
      </c>
    </row>
    <row r="167" spans="2:14" x14ac:dyDescent="0.25">
      <c r="B167">
        <f>Processing!D170</f>
        <v>26005</v>
      </c>
      <c r="C167" t="str">
        <f>Processing!F170</f>
        <v>38G8</v>
      </c>
      <c r="D167">
        <f>'Final list of total hauls pros'!C167</f>
        <v>26</v>
      </c>
      <c r="E167">
        <f>'Final list of total hauls pros'!D167</f>
        <v>54</v>
      </c>
      <c r="F167">
        <f>'Final list of total hauls pros'!E167</f>
        <v>53.7</v>
      </c>
      <c r="G167">
        <f>'Final list of total hauls pros'!F167</f>
        <v>18</v>
      </c>
      <c r="H167">
        <f>'Final list of total hauls pros'!G167</f>
        <v>11</v>
      </c>
      <c r="I167">
        <f>'Final list of total hauls pros'!H167</f>
        <v>2</v>
      </c>
      <c r="J167" t="str">
        <f>'Final list of total hauls pros'!I167</f>
        <v>POL</v>
      </c>
      <c r="K167" s="13">
        <f>'Final list of total hauls pros'!J167</f>
        <v>54.895000000000003</v>
      </c>
      <c r="L167" s="13">
        <f>'Final list of total hauls pros'!K167</f>
        <v>18.183333333333302</v>
      </c>
      <c r="M167" t="str">
        <f>'Final list of total hauls pros'!L167</f>
        <v>25-32</v>
      </c>
      <c r="N167" t="str">
        <f>Processing!I170</f>
        <v>POL (SD 25-32)</v>
      </c>
    </row>
    <row r="168" spans="2:14" x14ac:dyDescent="0.25">
      <c r="B168">
        <f>Processing!D171</f>
        <v>26007</v>
      </c>
      <c r="C168" t="str">
        <f>Processing!F171</f>
        <v>38G8</v>
      </c>
      <c r="D168">
        <f>'Final list of total hauls pros'!C168</f>
        <v>26</v>
      </c>
      <c r="E168">
        <f>'Final list of total hauls pros'!D168</f>
        <v>54</v>
      </c>
      <c r="F168">
        <f>'Final list of total hauls pros'!E168</f>
        <v>51.5</v>
      </c>
      <c r="G168">
        <f>'Final list of total hauls pros'!F168</f>
        <v>18</v>
      </c>
      <c r="H168">
        <f>'Final list of total hauls pros'!G168</f>
        <v>34</v>
      </c>
      <c r="I168">
        <f>'Final list of total hauls pros'!H168</f>
        <v>2</v>
      </c>
      <c r="J168" t="str">
        <f>'Final list of total hauls pros'!I168</f>
        <v>POL</v>
      </c>
      <c r="K168" s="13">
        <f>'Final list of total hauls pros'!J168</f>
        <v>54.858333333333299</v>
      </c>
      <c r="L168" s="13">
        <f>'Final list of total hauls pros'!K168</f>
        <v>18.566666666666698</v>
      </c>
      <c r="M168" t="str">
        <f>'Final list of total hauls pros'!L168</f>
        <v>25-32</v>
      </c>
      <c r="N168" t="str">
        <f>Processing!I171</f>
        <v>POL (SD 25-32)</v>
      </c>
    </row>
    <row r="169" spans="2:14" x14ac:dyDescent="0.25">
      <c r="B169">
        <f>Processing!D172</f>
        <v>26013</v>
      </c>
      <c r="C169" t="str">
        <f>Processing!F172</f>
        <v>41G8</v>
      </c>
      <c r="D169">
        <f>'Final list of total hauls pros'!C169</f>
        <v>26</v>
      </c>
      <c r="E169">
        <f>'Final list of total hauls pros'!D169</f>
        <v>56</v>
      </c>
      <c r="F169">
        <f>'Final list of total hauls pros'!E169</f>
        <v>22</v>
      </c>
      <c r="G169">
        <f>'Final list of total hauls pros'!F169</f>
        <v>18</v>
      </c>
      <c r="H169">
        <f>'Final list of total hauls pros'!G169</f>
        <v>29</v>
      </c>
      <c r="I169">
        <f>'Final list of total hauls pros'!H169</f>
        <v>2</v>
      </c>
      <c r="J169" t="str">
        <f>'Final list of total hauls pros'!I169</f>
        <v>SWE</v>
      </c>
      <c r="K169" s="13">
        <f>'Final list of total hauls pros'!J169</f>
        <v>56.366666666666703</v>
      </c>
      <c r="L169" s="13">
        <f>'Final list of total hauls pros'!K169</f>
        <v>18.483333333333299</v>
      </c>
      <c r="M169" t="str">
        <f>'Final list of total hauls pros'!L169</f>
        <v>25-32</v>
      </c>
      <c r="N169" t="str">
        <f>Processing!I172</f>
        <v>POL (SD 25-32)</v>
      </c>
    </row>
    <row r="170" spans="2:14" x14ac:dyDescent="0.25">
      <c r="B170">
        <f>Processing!D173</f>
        <v>26019</v>
      </c>
      <c r="C170" t="str">
        <f>Processing!F173</f>
        <v>38G8</v>
      </c>
      <c r="D170">
        <f>'Final list of total hauls pros'!C170</f>
        <v>26</v>
      </c>
      <c r="E170">
        <f>'Final list of total hauls pros'!D170</f>
        <v>54</v>
      </c>
      <c r="F170">
        <f>'Final list of total hauls pros'!E170</f>
        <v>53.2</v>
      </c>
      <c r="G170">
        <f>'Final list of total hauls pros'!F170</f>
        <v>18</v>
      </c>
      <c r="H170">
        <f>'Final list of total hauls pros'!G170</f>
        <v>38</v>
      </c>
      <c r="I170">
        <f>'Final list of total hauls pros'!H170</f>
        <v>3</v>
      </c>
      <c r="J170" t="str">
        <f>'Final list of total hauls pros'!I170</f>
        <v>POL</v>
      </c>
      <c r="K170" s="13">
        <f>'Final list of total hauls pros'!J170</f>
        <v>54.886666666666699</v>
      </c>
      <c r="L170" s="13">
        <f>'Final list of total hauls pros'!K170</f>
        <v>18.633333333333301</v>
      </c>
      <c r="M170" t="str">
        <f>'Final list of total hauls pros'!L170</f>
        <v>25-32</v>
      </c>
      <c r="N170" t="str">
        <f>Processing!I173</f>
        <v>POL (SD 25-32)</v>
      </c>
    </row>
    <row r="171" spans="2:14" x14ac:dyDescent="0.25">
      <c r="B171">
        <f>Processing!D174</f>
        <v>26020</v>
      </c>
      <c r="C171" t="str">
        <f>Processing!F174</f>
        <v>38G8</v>
      </c>
      <c r="D171">
        <f>'Final list of total hauls pros'!C171</f>
        <v>26</v>
      </c>
      <c r="E171">
        <f>'Final list of total hauls pros'!D171</f>
        <v>54</v>
      </c>
      <c r="F171">
        <f>'Final list of total hauls pros'!E171</f>
        <v>47.2</v>
      </c>
      <c r="G171">
        <f>'Final list of total hauls pros'!F171</f>
        <v>18</v>
      </c>
      <c r="H171">
        <f>'Final list of total hauls pros'!G171</f>
        <v>42.3</v>
      </c>
      <c r="I171">
        <f>'Final list of total hauls pros'!H171</f>
        <v>3</v>
      </c>
      <c r="J171" t="str">
        <f>'Final list of total hauls pros'!I171</f>
        <v>POL</v>
      </c>
      <c r="K171" s="13">
        <f>'Final list of total hauls pros'!J171</f>
        <v>54.786666666666697</v>
      </c>
      <c r="L171" s="13">
        <f>'Final list of total hauls pros'!K171</f>
        <v>18.704999999999998</v>
      </c>
      <c r="M171" t="str">
        <f>'Final list of total hauls pros'!L171</f>
        <v>25-32</v>
      </c>
      <c r="N171" t="str">
        <f>Processing!I174</f>
        <v>POL (SD 25-32)</v>
      </c>
    </row>
    <row r="172" spans="2:14" x14ac:dyDescent="0.25">
      <c r="B172">
        <f>Processing!D175</f>
        <v>26027</v>
      </c>
      <c r="C172" t="str">
        <f>Processing!F175</f>
        <v>40H0</v>
      </c>
      <c r="D172">
        <f>'Final list of total hauls pros'!C172</f>
        <v>26</v>
      </c>
      <c r="E172">
        <f>'Final list of total hauls pros'!D172</f>
        <v>55</v>
      </c>
      <c r="F172">
        <f>'Final list of total hauls pros'!E172</f>
        <v>47.4</v>
      </c>
      <c r="G172">
        <f>'Final list of total hauls pros'!F172</f>
        <v>20</v>
      </c>
      <c r="H172">
        <f>'Final list of total hauls pros'!G172</f>
        <v>23.2</v>
      </c>
      <c r="I172">
        <f>'Final list of total hauls pros'!H172</f>
        <v>3</v>
      </c>
      <c r="J172" t="str">
        <f>'Final list of total hauls pros'!I172</f>
        <v>LTU</v>
      </c>
      <c r="K172" s="13">
        <f>'Final list of total hauls pros'!J172</f>
        <v>55.79</v>
      </c>
      <c r="L172" s="13">
        <f>'Final list of total hauls pros'!K172</f>
        <v>20.386666666666699</v>
      </c>
      <c r="M172" t="str">
        <f>'Final list of total hauls pros'!L172</f>
        <v>25-32</v>
      </c>
      <c r="N172" t="str">
        <f>Processing!I175</f>
        <v>LTU (SD 25-32)</v>
      </c>
    </row>
    <row r="173" spans="2:14" x14ac:dyDescent="0.25">
      <c r="B173">
        <f>Processing!D176</f>
        <v>26031</v>
      </c>
      <c r="C173" t="str">
        <f>Processing!F176</f>
        <v>41G9</v>
      </c>
      <c r="D173">
        <f>'Final list of total hauls pros'!C173</f>
        <v>26</v>
      </c>
      <c r="E173">
        <f>'Final list of total hauls pros'!D173</f>
        <v>56</v>
      </c>
      <c r="F173">
        <f>'Final list of total hauls pros'!E173</f>
        <v>11.5</v>
      </c>
      <c r="G173">
        <f>'Final list of total hauls pros'!F173</f>
        <v>19</v>
      </c>
      <c r="H173">
        <f>'Final list of total hauls pros'!G173</f>
        <v>54.8</v>
      </c>
      <c r="I173">
        <f>'Final list of total hauls pros'!H173</f>
        <v>4</v>
      </c>
      <c r="J173" t="str">
        <f>'Final list of total hauls pros'!I173</f>
        <v>LAT</v>
      </c>
      <c r="K173" s="13">
        <f>'Final list of total hauls pros'!J173</f>
        <v>56.191666666666698</v>
      </c>
      <c r="L173" s="13">
        <f>'Final list of total hauls pros'!K173</f>
        <v>19.913333333333298</v>
      </c>
      <c r="M173" t="str">
        <f>'Final list of total hauls pros'!L173</f>
        <v>25-32</v>
      </c>
      <c r="N173" t="str">
        <f>Processing!I176</f>
        <v>POL (SD 25-32)</v>
      </c>
    </row>
    <row r="174" spans="2:14" x14ac:dyDescent="0.25">
      <c r="B174">
        <f>Processing!D177</f>
        <v>26045</v>
      </c>
      <c r="C174" t="str">
        <f>Processing!F177</f>
        <v>39G9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16.7</v>
      </c>
      <c r="G174">
        <f>'Final list of total hauls pros'!F174</f>
        <v>19</v>
      </c>
      <c r="H174">
        <f>'Final list of total hauls pros'!G174</f>
        <v>5</v>
      </c>
      <c r="I174">
        <f>'Final list of total hauls pros'!H174</f>
        <v>4</v>
      </c>
      <c r="J174" t="str">
        <f>'Final list of total hauls pros'!I174</f>
        <v>POL</v>
      </c>
      <c r="K174" s="13">
        <f>'Final list of total hauls pros'!J174</f>
        <v>55.2783333333333</v>
      </c>
      <c r="L174" s="13">
        <f>'Final list of total hauls pros'!K174</f>
        <v>19.0833333333333</v>
      </c>
      <c r="M174" t="str">
        <f>'Final list of total hauls pros'!L174</f>
        <v>25-32</v>
      </c>
      <c r="N174" t="str">
        <f>Processing!I177</f>
        <v>POL (SD 25-32)</v>
      </c>
    </row>
    <row r="175" spans="2:14" x14ac:dyDescent="0.25">
      <c r="B175">
        <f>Processing!D178</f>
        <v>26050</v>
      </c>
      <c r="C175" t="str">
        <f>Processing!F178</f>
        <v>40G8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38.299999999999997</v>
      </c>
      <c r="G175">
        <f>'Final list of total hauls pros'!F175</f>
        <v>18</v>
      </c>
      <c r="H175">
        <f>'Final list of total hauls pros'!G175</f>
        <v>3.6</v>
      </c>
      <c r="I175">
        <f>'Final list of total hauls pros'!H175</f>
        <v>4</v>
      </c>
      <c r="J175" t="str">
        <f>'Final list of total hauls pros'!I175</f>
        <v>POL</v>
      </c>
      <c r="K175" s="13">
        <f>'Final list of total hauls pros'!J175</f>
        <v>55.6383333333333</v>
      </c>
      <c r="L175" s="13">
        <f>'Final list of total hauls pros'!K175</f>
        <v>18.059999999999999</v>
      </c>
      <c r="M175" t="str">
        <f>'Final list of total hauls pros'!L175</f>
        <v>25-32</v>
      </c>
      <c r="N175" t="str">
        <f>Processing!I178</f>
        <v>DEN (SD 25-32)</v>
      </c>
    </row>
    <row r="176" spans="2:14" x14ac:dyDescent="0.25">
      <c r="B176">
        <f>Processing!D179</f>
        <v>26053</v>
      </c>
      <c r="C176" t="str">
        <f>Processing!F179</f>
        <v>40G8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42</v>
      </c>
      <c r="G176">
        <f>'Final list of total hauls pros'!F176</f>
        <v>18</v>
      </c>
      <c r="H176">
        <f>'Final list of total hauls pros'!G176</f>
        <v>0.7</v>
      </c>
      <c r="I176">
        <f>'Final list of total hauls pros'!H176</f>
        <v>4</v>
      </c>
      <c r="J176" t="str">
        <f>'Final list of total hauls pros'!I176</f>
        <v>POL</v>
      </c>
      <c r="K176" s="13">
        <f>'Final list of total hauls pros'!J176</f>
        <v>55.7</v>
      </c>
      <c r="L176" s="13">
        <f>'Final list of total hauls pros'!K176</f>
        <v>18.011666666666699</v>
      </c>
      <c r="M176" t="str">
        <f>'Final list of total hauls pros'!L176</f>
        <v>25-32</v>
      </c>
      <c r="N176" t="str">
        <f>Processing!I179</f>
        <v>DEN (SD 25-32)</v>
      </c>
    </row>
    <row r="177" spans="2:14" x14ac:dyDescent="0.25">
      <c r="B177">
        <f>Processing!D180</f>
        <v>26057</v>
      </c>
      <c r="C177" t="str">
        <f>Processing!F180</f>
        <v>40H0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43.1</v>
      </c>
      <c r="G177">
        <f>'Final list of total hauls pros'!F177</f>
        <v>19</v>
      </c>
      <c r="H177">
        <f>'Final list of total hauls pros'!G177</f>
        <v>58</v>
      </c>
      <c r="I177">
        <f>'Final list of total hauls pros'!H177</f>
        <v>4</v>
      </c>
      <c r="J177" t="str">
        <f>'Final list of total hauls pros'!I177</f>
        <v>LTU</v>
      </c>
      <c r="K177" s="13">
        <f>'Final list of total hauls pros'!J177</f>
        <v>55.718333333333298</v>
      </c>
      <c r="L177" s="13">
        <f>'Final list of total hauls pros'!K177</f>
        <v>19.966666666666701</v>
      </c>
      <c r="M177" t="str">
        <f>'Final list of total hauls pros'!L177</f>
        <v>25-32</v>
      </c>
      <c r="N177" t="str">
        <f>Processing!I180</f>
        <v>LTU (SD 25-32)</v>
      </c>
    </row>
    <row r="178" spans="2:14" x14ac:dyDescent="0.25">
      <c r="B178">
        <f>Processing!D181</f>
        <v>26060</v>
      </c>
      <c r="C178" t="str">
        <f>Processing!F181</f>
        <v>40G9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59.2</v>
      </c>
      <c r="G178">
        <f>'Final list of total hauls pros'!F178</f>
        <v>19</v>
      </c>
      <c r="H178">
        <f>'Final list of total hauls pros'!G178</f>
        <v>19.3</v>
      </c>
      <c r="I178">
        <f>'Final list of total hauls pros'!H178</f>
        <v>4</v>
      </c>
      <c r="J178" t="str">
        <f>'Final list of total hauls pros'!I178</f>
        <v>LTU</v>
      </c>
      <c r="K178" s="13">
        <f>'Final list of total hauls pros'!J178</f>
        <v>55.9866666666667</v>
      </c>
      <c r="L178" s="13">
        <f>'Final list of total hauls pros'!K178</f>
        <v>19.321666666666701</v>
      </c>
      <c r="M178" t="str">
        <f>'Final list of total hauls pros'!L178</f>
        <v>25-32</v>
      </c>
      <c r="N178" t="str">
        <f>Processing!I181</f>
        <v>POL (SD 25-32)</v>
      </c>
    </row>
    <row r="179" spans="2:14" x14ac:dyDescent="0.25">
      <c r="B179">
        <f>Processing!D182</f>
        <v>26069</v>
      </c>
      <c r="C179" t="str">
        <f>Processing!F182</f>
        <v>41G8</v>
      </c>
      <c r="D179">
        <f>'Final list of total hauls pros'!C179</f>
        <v>26</v>
      </c>
      <c r="E179">
        <f>'Final list of total hauls pros'!D179</f>
        <v>56</v>
      </c>
      <c r="F179">
        <f>'Final list of total hauls pros'!E179</f>
        <v>13.1</v>
      </c>
      <c r="G179">
        <f>'Final list of total hauls pros'!F179</f>
        <v>18</v>
      </c>
      <c r="H179">
        <f>'Final list of total hauls pros'!G179</f>
        <v>25.2</v>
      </c>
      <c r="I179">
        <f>'Final list of total hauls pros'!H179</f>
        <v>4</v>
      </c>
      <c r="J179" t="str">
        <f>'Final list of total hauls pros'!I179</f>
        <v>SWE</v>
      </c>
      <c r="K179" s="13">
        <f>'Final list of total hauls pros'!J179</f>
        <v>56.218333333333298</v>
      </c>
      <c r="L179" s="13">
        <f>'Final list of total hauls pros'!K179</f>
        <v>18.420000000000002</v>
      </c>
      <c r="M179" t="str">
        <f>'Final list of total hauls pros'!L179</f>
        <v>25-32</v>
      </c>
      <c r="N179" t="str">
        <f>Processing!I182</f>
        <v>POL (SD 25-32)</v>
      </c>
    </row>
    <row r="180" spans="2:14" x14ac:dyDescent="0.25">
      <c r="B180">
        <f>Processing!D183</f>
        <v>26071</v>
      </c>
      <c r="C180" t="str">
        <f>Processing!F183</f>
        <v>41G9</v>
      </c>
      <c r="D180">
        <f>'Final list of total hauls pros'!C180</f>
        <v>26</v>
      </c>
      <c r="E180">
        <f>'Final list of total hauls pros'!D180</f>
        <v>56</v>
      </c>
      <c r="F180">
        <f>'Final list of total hauls pros'!E180</f>
        <v>13.7</v>
      </c>
      <c r="G180">
        <f>'Final list of total hauls pros'!F180</f>
        <v>19</v>
      </c>
      <c r="H180">
        <f>'Final list of total hauls pros'!G180</f>
        <v>30.3</v>
      </c>
      <c r="I180">
        <f>'Final list of total hauls pros'!H180</f>
        <v>6</v>
      </c>
      <c r="J180" t="str">
        <f>'Final list of total hauls pros'!I180</f>
        <v>LAT</v>
      </c>
      <c r="K180" s="13">
        <f>'Final list of total hauls pros'!J180</f>
        <v>56.228333333333303</v>
      </c>
      <c r="L180" s="13">
        <f>'Final list of total hauls pros'!K180</f>
        <v>19.504999999999999</v>
      </c>
      <c r="M180" t="str">
        <f>'Final list of total hauls pros'!L180</f>
        <v>25-32</v>
      </c>
      <c r="N180" t="str">
        <f>Processing!I183</f>
        <v>POL (SD 25-32)</v>
      </c>
    </row>
    <row r="181" spans="2:14" x14ac:dyDescent="0.25">
      <c r="B181">
        <f>Processing!D184</f>
        <v>26073</v>
      </c>
      <c r="C181" t="str">
        <f>Processing!F184</f>
        <v>41G9</v>
      </c>
      <c r="D181">
        <f>'Final list of total hauls pros'!C181</f>
        <v>26</v>
      </c>
      <c r="E181">
        <f>'Final list of total hauls pros'!D181</f>
        <v>56</v>
      </c>
      <c r="F181">
        <f>'Final list of total hauls pros'!E181</f>
        <v>15</v>
      </c>
      <c r="G181">
        <f>'Final list of total hauls pros'!F181</f>
        <v>19</v>
      </c>
      <c r="H181">
        <f>'Final list of total hauls pros'!G181</f>
        <v>39</v>
      </c>
      <c r="I181">
        <f>'Final list of total hauls pros'!H181</f>
        <v>4</v>
      </c>
      <c r="J181" t="str">
        <f>'Final list of total hauls pros'!I181</f>
        <v>LAT</v>
      </c>
      <c r="K181" s="13">
        <f>'Final list of total hauls pros'!J181</f>
        <v>56.25</v>
      </c>
      <c r="L181" s="13">
        <f>'Final list of total hauls pros'!K181</f>
        <v>19.649999999999999</v>
      </c>
      <c r="M181" t="str">
        <f>'Final list of total hauls pros'!L181</f>
        <v>25-32</v>
      </c>
      <c r="N181" t="str">
        <f>Processing!I184</f>
        <v>POL (SD 25-32)</v>
      </c>
    </row>
    <row r="182" spans="2:14" x14ac:dyDescent="0.25">
      <c r="B182">
        <f>Processing!D185</f>
        <v>26076</v>
      </c>
      <c r="C182" t="str">
        <f>Processing!F185</f>
        <v>41G8</v>
      </c>
      <c r="D182">
        <f>'Final list of total hauls pros'!C182</f>
        <v>26</v>
      </c>
      <c r="E182">
        <f>'Final list of total hauls pros'!D182</f>
        <v>56</v>
      </c>
      <c r="F182">
        <f>'Final list of total hauls pros'!E182</f>
        <v>26</v>
      </c>
      <c r="G182">
        <f>'Final list of total hauls pros'!F182</f>
        <v>18</v>
      </c>
      <c r="H182">
        <f>'Final list of total hauls pros'!G182</f>
        <v>39</v>
      </c>
      <c r="I182">
        <f>'Final list of total hauls pros'!H182</f>
        <v>4</v>
      </c>
      <c r="J182" t="str">
        <f>'Final list of total hauls pros'!I182</f>
        <v>SWE</v>
      </c>
      <c r="K182" s="13">
        <f>'Final list of total hauls pros'!J182</f>
        <v>56.433333333333302</v>
      </c>
      <c r="L182" s="13">
        <f>'Final list of total hauls pros'!K182</f>
        <v>18.649999999999999</v>
      </c>
      <c r="M182" t="str">
        <f>'Final list of total hauls pros'!L182</f>
        <v>25-32</v>
      </c>
      <c r="N182" t="str">
        <f>Processing!I185</f>
        <v>POL (SD 25-32)</v>
      </c>
    </row>
    <row r="183" spans="2:14" x14ac:dyDescent="0.25">
      <c r="B183">
        <f>Processing!D186</f>
        <v>26077</v>
      </c>
      <c r="C183" t="str">
        <f>Processing!F186</f>
        <v>41G8</v>
      </c>
      <c r="D183">
        <f>'Final list of total hauls pros'!C183</f>
        <v>26</v>
      </c>
      <c r="E183">
        <f>'Final list of total hauls pros'!D183</f>
        <v>56</v>
      </c>
      <c r="F183">
        <f>'Final list of total hauls pros'!E183</f>
        <v>27</v>
      </c>
      <c r="G183">
        <f>'Final list of total hauls pros'!F183</f>
        <v>18</v>
      </c>
      <c r="H183">
        <f>'Final list of total hauls pros'!G183</f>
        <v>40</v>
      </c>
      <c r="I183">
        <f>'Final list of total hauls pros'!H183</f>
        <v>4</v>
      </c>
      <c r="J183" t="str">
        <f>'Final list of total hauls pros'!I183</f>
        <v>SWE</v>
      </c>
      <c r="K183" s="13">
        <f>'Final list of total hauls pros'!J183</f>
        <v>56.45</v>
      </c>
      <c r="L183" s="13">
        <f>'Final list of total hauls pros'!K183</f>
        <v>18.6666666666667</v>
      </c>
      <c r="M183" t="str">
        <f>'Final list of total hauls pros'!L183</f>
        <v>25-32</v>
      </c>
      <c r="N183" t="str">
        <f>Processing!I186</f>
        <v>POL (SD 25-32)</v>
      </c>
    </row>
    <row r="184" spans="2:14" x14ac:dyDescent="0.25">
      <c r="B184">
        <f>Processing!D187</f>
        <v>26078</v>
      </c>
      <c r="C184" t="str">
        <f>Processing!F187</f>
        <v>41H0</v>
      </c>
      <c r="D184">
        <f>'Final list of total hauls pros'!C184</f>
        <v>26</v>
      </c>
      <c r="E184">
        <f>'Final list of total hauls pros'!D184</f>
        <v>56</v>
      </c>
      <c r="F184">
        <f>'Final list of total hauls pros'!E184</f>
        <v>21</v>
      </c>
      <c r="G184">
        <f>'Final list of total hauls pros'!F184</f>
        <v>20</v>
      </c>
      <c r="H184">
        <f>'Final list of total hauls pros'!G184</f>
        <v>2</v>
      </c>
      <c r="I184">
        <f>'Final list of total hauls pros'!H184</f>
        <v>4</v>
      </c>
      <c r="J184" t="str">
        <f>'Final list of total hauls pros'!I184</f>
        <v>LAT</v>
      </c>
      <c r="K184" s="13">
        <f>'Final list of total hauls pros'!J184</f>
        <v>56.35</v>
      </c>
      <c r="L184" s="13">
        <f>'Final list of total hauls pros'!K184</f>
        <v>20.033333333333299</v>
      </c>
      <c r="M184" t="str">
        <f>'Final list of total hauls pros'!L184</f>
        <v>25-32</v>
      </c>
      <c r="N184" t="str">
        <f>Processing!I187</f>
        <v>POL (SD 25-32)</v>
      </c>
    </row>
    <row r="185" spans="2:14" x14ac:dyDescent="0.25">
      <c r="B185">
        <f>Processing!D188</f>
        <v>26081</v>
      </c>
      <c r="C185" t="str">
        <f>Processing!F188</f>
        <v>41H0</v>
      </c>
      <c r="D185">
        <f>'Final list of total hauls pros'!C185</f>
        <v>26</v>
      </c>
      <c r="E185">
        <f>'Final list of total hauls pros'!D185</f>
        <v>56</v>
      </c>
      <c r="F185">
        <f>'Final list of total hauls pros'!E185</f>
        <v>27</v>
      </c>
      <c r="G185">
        <f>'Final list of total hauls pros'!F185</f>
        <v>20</v>
      </c>
      <c r="H185">
        <f>'Final list of total hauls pros'!G185</f>
        <v>12</v>
      </c>
      <c r="I185">
        <f>'Final list of total hauls pros'!H185</f>
        <v>5</v>
      </c>
      <c r="J185" t="str">
        <f>'Final list of total hauls pros'!I185</f>
        <v>LAT</v>
      </c>
      <c r="K185" s="13">
        <f>'Final list of total hauls pros'!J185</f>
        <v>56.45</v>
      </c>
      <c r="L185" s="13">
        <f>'Final list of total hauls pros'!K185</f>
        <v>20.2</v>
      </c>
      <c r="M185" t="str">
        <f>'Final list of total hauls pros'!L185</f>
        <v>25-32</v>
      </c>
      <c r="N185" t="str">
        <f>Processing!I188</f>
        <v>POL (SD 25-32)</v>
      </c>
    </row>
    <row r="186" spans="2:14" x14ac:dyDescent="0.25">
      <c r="B186">
        <f>Processing!D189</f>
        <v>26091</v>
      </c>
      <c r="C186" t="str">
        <f>Processing!F189</f>
        <v>39G9</v>
      </c>
      <c r="D186">
        <f>'Final list of total hauls pros'!C186</f>
        <v>26</v>
      </c>
      <c r="E186">
        <f>'Final list of total hauls pros'!D186</f>
        <v>55</v>
      </c>
      <c r="F186">
        <f>'Final list of total hauls pros'!E186</f>
        <v>7</v>
      </c>
      <c r="G186">
        <f>'Final list of total hauls pros'!F186</f>
        <v>19</v>
      </c>
      <c r="H186">
        <f>'Final list of total hauls pros'!G186</f>
        <v>5</v>
      </c>
      <c r="I186">
        <f>'Final list of total hauls pros'!H186</f>
        <v>5</v>
      </c>
      <c r="J186" t="str">
        <f>'Final list of total hauls pros'!I186</f>
        <v>POL</v>
      </c>
      <c r="K186" s="13">
        <f>'Final list of total hauls pros'!J186</f>
        <v>55.116666666666703</v>
      </c>
      <c r="L186" s="13">
        <f>'Final list of total hauls pros'!K186</f>
        <v>19.0833333333333</v>
      </c>
      <c r="M186" t="str">
        <f>'Final list of total hauls pros'!L186</f>
        <v>25-32</v>
      </c>
      <c r="N186" t="str">
        <f>Processing!I189</f>
        <v>POL (SD 25-32)</v>
      </c>
    </row>
    <row r="187" spans="2:14" x14ac:dyDescent="0.25">
      <c r="B187">
        <f>Processing!D190</f>
        <v>26093</v>
      </c>
      <c r="C187" t="str">
        <f>Processing!F190</f>
        <v>39G8</v>
      </c>
      <c r="D187">
        <f>'Final list of total hauls pros'!C187</f>
        <v>26</v>
      </c>
      <c r="E187">
        <f>'Final list of total hauls pros'!D187</f>
        <v>55</v>
      </c>
      <c r="F187">
        <f>'Final list of total hauls pros'!E187</f>
        <v>10.5</v>
      </c>
      <c r="G187">
        <f>'Final list of total hauls pros'!F187</f>
        <v>18</v>
      </c>
      <c r="H187">
        <f>'Final list of total hauls pros'!G187</f>
        <v>39</v>
      </c>
      <c r="I187">
        <f>'Final list of total hauls pros'!H187</f>
        <v>5</v>
      </c>
      <c r="J187" t="str">
        <f>'Final list of total hauls pros'!I187</f>
        <v>POL</v>
      </c>
      <c r="K187" s="13">
        <f>'Final list of total hauls pros'!J187</f>
        <v>55.174999999999997</v>
      </c>
      <c r="L187" s="13">
        <f>'Final list of total hauls pros'!K187</f>
        <v>18.649999999999999</v>
      </c>
      <c r="M187" t="str">
        <f>'Final list of total hauls pros'!L187</f>
        <v>25-32</v>
      </c>
      <c r="N187" t="str">
        <f>Processing!I190</f>
        <v>POL (SD 25-32)</v>
      </c>
    </row>
    <row r="188" spans="2:14" x14ac:dyDescent="0.25">
      <c r="B188">
        <f>Processing!D191</f>
        <v>26094</v>
      </c>
      <c r="C188" t="str">
        <f>Processing!F191</f>
        <v>39G8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11.8</v>
      </c>
      <c r="G188">
        <f>'Final list of total hauls pros'!F188</f>
        <v>18</v>
      </c>
      <c r="H188">
        <f>'Final list of total hauls pros'!G188</f>
        <v>57</v>
      </c>
      <c r="I188">
        <f>'Final list of total hauls pros'!H188</f>
        <v>5</v>
      </c>
      <c r="J188" t="str">
        <f>'Final list of total hauls pros'!I188</f>
        <v>POL</v>
      </c>
      <c r="K188" s="13">
        <f>'Final list of total hauls pros'!J188</f>
        <v>55.196666666666701</v>
      </c>
      <c r="L188" s="13">
        <f>'Final list of total hauls pros'!K188</f>
        <v>18.95</v>
      </c>
      <c r="M188" t="str">
        <f>'Final list of total hauls pros'!L188</f>
        <v>25-32</v>
      </c>
      <c r="N188" t="str">
        <f>Processing!I191</f>
        <v>POL (SD 25-32)</v>
      </c>
    </row>
    <row r="189" spans="2:14" x14ac:dyDescent="0.25">
      <c r="B189">
        <f>Processing!D192</f>
        <v>26099</v>
      </c>
      <c r="C189" t="str">
        <f>Processing!F192</f>
        <v>39G8</v>
      </c>
      <c r="D189">
        <f>'Final list of total hauls pros'!C189</f>
        <v>26</v>
      </c>
      <c r="E189">
        <f>'Final list of total hauls pros'!D189</f>
        <v>55</v>
      </c>
      <c r="F189">
        <f>'Final list of total hauls pros'!E189</f>
        <v>28.3</v>
      </c>
      <c r="G189">
        <f>'Final list of total hauls pros'!F189</f>
        <v>18</v>
      </c>
      <c r="H189">
        <f>'Final list of total hauls pros'!G189</f>
        <v>18.2</v>
      </c>
      <c r="I189">
        <f>'Final list of total hauls pros'!H189</f>
        <v>5</v>
      </c>
      <c r="J189" t="str">
        <f>'Final list of total hauls pros'!I189</f>
        <v>POL</v>
      </c>
      <c r="K189" s="13">
        <f>'Final list of total hauls pros'!J189</f>
        <v>55.4716666666667</v>
      </c>
      <c r="L189" s="13">
        <f>'Final list of total hauls pros'!K189</f>
        <v>18.303333333333299</v>
      </c>
      <c r="M189" t="str">
        <f>'Final list of total hauls pros'!L189</f>
        <v>25-32</v>
      </c>
      <c r="N189" t="str">
        <f>Processing!I192</f>
        <v>DEN (SD 25-32)</v>
      </c>
    </row>
    <row r="190" spans="2:14" x14ac:dyDescent="0.25">
      <c r="B190">
        <f>Processing!D193</f>
        <v>26105</v>
      </c>
      <c r="C190" t="str">
        <f>Processing!F193</f>
        <v>39G8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21</v>
      </c>
      <c r="G190">
        <f>'Final list of total hauls pros'!F190</f>
        <v>18</v>
      </c>
      <c r="H190">
        <f>'Final list of total hauls pros'!G190</f>
        <v>47</v>
      </c>
      <c r="I190">
        <f>'Final list of total hauls pros'!H190</f>
        <v>5</v>
      </c>
      <c r="J190" t="str">
        <f>'Final list of total hauls pros'!I190</f>
        <v>POL</v>
      </c>
      <c r="K190" s="13">
        <f>'Final list of total hauls pros'!J190</f>
        <v>55.35</v>
      </c>
      <c r="L190" s="13">
        <f>'Final list of total hauls pros'!K190</f>
        <v>18.783333333333299</v>
      </c>
      <c r="M190" t="str">
        <f>'Final list of total hauls pros'!L190</f>
        <v>25-32</v>
      </c>
      <c r="N190" t="str">
        <f>Processing!I193</f>
        <v>DEN (SD 25-32)</v>
      </c>
    </row>
    <row r="191" spans="2:14" x14ac:dyDescent="0.25">
      <c r="B191">
        <f>Processing!D194</f>
        <v>26107</v>
      </c>
      <c r="C191" t="str">
        <f>Processing!F194</f>
        <v>39G9</v>
      </c>
      <c r="D191">
        <f>'Final list of total hauls pros'!C191</f>
        <v>26</v>
      </c>
      <c r="E191">
        <f>'Final list of total hauls pros'!D191</f>
        <v>55</v>
      </c>
      <c r="F191">
        <f>'Final list of total hauls pros'!E191</f>
        <v>30.1</v>
      </c>
      <c r="G191">
        <f>'Final list of total hauls pros'!F191</f>
        <v>18</v>
      </c>
      <c r="H191">
        <f>'Final list of total hauls pros'!G191</f>
        <v>59.7</v>
      </c>
      <c r="I191">
        <f>'Final list of total hauls pros'!H191</f>
        <v>5</v>
      </c>
      <c r="J191" t="str">
        <f>'Final list of total hauls pros'!I191</f>
        <v>POL</v>
      </c>
      <c r="K191" s="13">
        <f>'Final list of total hauls pros'!J191</f>
        <v>55.501666666666701</v>
      </c>
      <c r="L191" s="13">
        <f>'Final list of total hauls pros'!K191</f>
        <v>18.995000000000001</v>
      </c>
      <c r="M191" t="str">
        <f>'Final list of total hauls pros'!L191</f>
        <v>25-32</v>
      </c>
      <c r="N191" t="str">
        <f>Processing!I194</f>
        <v>POL (SD 25-32)</v>
      </c>
    </row>
    <row r="192" spans="2:14" x14ac:dyDescent="0.25">
      <c r="B192">
        <f>Processing!D195</f>
        <v>26110</v>
      </c>
      <c r="C192" t="str">
        <f>Processing!F195</f>
        <v>40G8</v>
      </c>
      <c r="D192">
        <f>'Final list of total hauls pros'!C192</f>
        <v>26</v>
      </c>
      <c r="E192">
        <f>'Final list of total hauls pros'!D192</f>
        <v>55</v>
      </c>
      <c r="F192">
        <f>'Final list of total hauls pros'!E192</f>
        <v>35</v>
      </c>
      <c r="G192">
        <f>'Final list of total hauls pros'!F192</f>
        <v>18</v>
      </c>
      <c r="H192">
        <f>'Final list of total hauls pros'!G192</f>
        <v>23</v>
      </c>
      <c r="I192">
        <f>'Final list of total hauls pros'!H192</f>
        <v>5</v>
      </c>
      <c r="J192" t="str">
        <f>'Final list of total hauls pros'!I192</f>
        <v>POL</v>
      </c>
      <c r="K192" s="13">
        <f>'Final list of total hauls pros'!J192</f>
        <v>55.5833333333333</v>
      </c>
      <c r="L192" s="13">
        <f>'Final list of total hauls pros'!K192</f>
        <v>18.383333333333301</v>
      </c>
      <c r="M192" t="str">
        <f>'Final list of total hauls pros'!L192</f>
        <v>25-32</v>
      </c>
      <c r="N192" t="str">
        <f>Processing!I195</f>
        <v>DEN (SD 25-32)</v>
      </c>
    </row>
    <row r="193" spans="2:14" x14ac:dyDescent="0.25">
      <c r="B193">
        <f>Processing!D196</f>
        <v>26122</v>
      </c>
      <c r="C193" t="str">
        <f>Processing!F196</f>
        <v>40G9</v>
      </c>
      <c r="D193">
        <f>'Final list of total hauls pros'!C193</f>
        <v>26</v>
      </c>
      <c r="E193">
        <f>'Final list of total hauls pros'!D193</f>
        <v>56</v>
      </c>
      <c r="F193">
        <f>'Final list of total hauls pros'!E193</f>
        <v>0.1</v>
      </c>
      <c r="G193">
        <f>'Final list of total hauls pros'!F193</f>
        <v>19</v>
      </c>
      <c r="H193">
        <f>'Final list of total hauls pros'!G193</f>
        <v>17.899999999999999</v>
      </c>
      <c r="I193">
        <f>'Final list of total hauls pros'!H193</f>
        <v>5</v>
      </c>
      <c r="J193" t="str">
        <f>'Final list of total hauls pros'!I193</f>
        <v>LTU</v>
      </c>
      <c r="K193" s="13">
        <f>'Final list of total hauls pros'!J193</f>
        <v>56.001666666666701</v>
      </c>
      <c r="L193" s="13">
        <f>'Final list of total hauls pros'!K193</f>
        <v>19.2983333333333</v>
      </c>
      <c r="M193" t="str">
        <f>'Final list of total hauls pros'!L193</f>
        <v>25-32</v>
      </c>
      <c r="N193" t="str">
        <f>Processing!I196</f>
        <v>POL (SD 25-32)</v>
      </c>
    </row>
    <row r="194" spans="2:14" x14ac:dyDescent="0.25">
      <c r="B194">
        <f>Processing!D197</f>
        <v>26124</v>
      </c>
      <c r="C194" t="str">
        <f>Processing!F197</f>
        <v>41G8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17</v>
      </c>
      <c r="G194">
        <f>'Final list of total hauls pros'!F194</f>
        <v>18</v>
      </c>
      <c r="H194">
        <f>'Final list of total hauls pros'!G194</f>
        <v>32</v>
      </c>
      <c r="I194">
        <f>'Final list of total hauls pros'!H194</f>
        <v>5</v>
      </c>
      <c r="J194" t="str">
        <f>'Final list of total hauls pros'!I194</f>
        <v>SWE</v>
      </c>
      <c r="K194" s="13">
        <f>'Final list of total hauls pros'!J194</f>
        <v>56.283333333333303</v>
      </c>
      <c r="L194" s="13">
        <f>'Final list of total hauls pros'!K194</f>
        <v>18.533333333333299</v>
      </c>
      <c r="M194" t="str">
        <f>'Final list of total hauls pros'!L194</f>
        <v>25-32</v>
      </c>
      <c r="N194" t="str">
        <f>Processing!I197</f>
        <v>POL (SD 25-32)</v>
      </c>
    </row>
    <row r="195" spans="2:14" x14ac:dyDescent="0.25">
      <c r="B195">
        <f>Processing!D198</f>
        <v>26125</v>
      </c>
      <c r="C195" t="str">
        <f>Processing!F198</f>
        <v>42G8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24.08</v>
      </c>
      <c r="G195">
        <f>'Final list of total hauls pros'!F195</f>
        <v>18</v>
      </c>
      <c r="H195">
        <f>'Final list of total hauls pros'!G195</f>
        <v>36.479999999999997</v>
      </c>
      <c r="I195">
        <f>'Final list of total hauls pros'!H195</f>
        <v>5</v>
      </c>
      <c r="J195" t="str">
        <f>'Final list of total hauls pros'!I195</f>
        <v>SWE</v>
      </c>
      <c r="K195" s="13">
        <f>'Final list of total hauls pros'!J195</f>
        <v>56.401333333333298</v>
      </c>
      <c r="L195" s="13">
        <f>'Final list of total hauls pros'!K195</f>
        <v>18.608000000000001</v>
      </c>
      <c r="M195" t="str">
        <f>'Final list of total hauls pros'!L195</f>
        <v>25-32</v>
      </c>
      <c r="N195" t="str">
        <f>Processing!I198</f>
        <v>POL (SD 25-32)</v>
      </c>
    </row>
    <row r="196" spans="2:14" x14ac:dyDescent="0.25">
      <c r="B196">
        <f>Processing!D199</f>
        <v>26131</v>
      </c>
      <c r="C196" t="str">
        <f>Processing!F199</f>
        <v>37G9</v>
      </c>
      <c r="D196">
        <f>'Final list of total hauls pros'!C196</f>
        <v>26</v>
      </c>
      <c r="E196">
        <f>'Final list of total hauls pros'!D196</f>
        <v>54</v>
      </c>
      <c r="F196">
        <f>'Final list of total hauls pros'!E196</f>
        <v>24</v>
      </c>
      <c r="G196">
        <f>'Final list of total hauls pros'!F196</f>
        <v>19</v>
      </c>
      <c r="H196">
        <f>'Final list of total hauls pros'!G196</f>
        <v>2.4</v>
      </c>
      <c r="I196">
        <f>'Final list of total hauls pros'!H196</f>
        <v>2</v>
      </c>
      <c r="J196" t="str">
        <f>'Final list of total hauls pros'!I196</f>
        <v>POL</v>
      </c>
      <c r="K196" s="13">
        <f>'Final list of total hauls pros'!J196</f>
        <v>54.4</v>
      </c>
      <c r="L196" s="13">
        <f>'Final list of total hauls pros'!K196</f>
        <v>19.04</v>
      </c>
      <c r="M196" t="str">
        <f>'Final list of total hauls pros'!L196</f>
        <v>25-32</v>
      </c>
      <c r="N196" t="str">
        <f>Processing!I199</f>
        <v>POL (SD 25-32)</v>
      </c>
    </row>
    <row r="197" spans="2:14" x14ac:dyDescent="0.25">
      <c r="B197">
        <f>Processing!D200</f>
        <v>26133</v>
      </c>
      <c r="C197" t="str">
        <f>Processing!F200</f>
        <v>38G8</v>
      </c>
      <c r="D197">
        <f>'Final list of total hauls pros'!C197</f>
        <v>26</v>
      </c>
      <c r="E197">
        <f>'Final list of total hauls pros'!D197</f>
        <v>54</v>
      </c>
      <c r="F197">
        <f>'Final list of total hauls pros'!E197</f>
        <v>42.1</v>
      </c>
      <c r="G197">
        <f>'Final list of total hauls pros'!F197</f>
        <v>18</v>
      </c>
      <c r="H197">
        <f>'Final list of total hauls pros'!G197</f>
        <v>46.6</v>
      </c>
      <c r="I197">
        <f>'Final list of total hauls pros'!H197</f>
        <v>3</v>
      </c>
      <c r="J197" t="str">
        <f>'Final list of total hauls pros'!I197</f>
        <v>POL</v>
      </c>
      <c r="K197" s="13">
        <f>'Final list of total hauls pros'!J197</f>
        <v>54.701666666666704</v>
      </c>
      <c r="L197" s="13">
        <f>'Final list of total hauls pros'!K197</f>
        <v>18.776666666666699</v>
      </c>
      <c r="M197" t="str">
        <f>'Final list of total hauls pros'!L197</f>
        <v>25-32</v>
      </c>
      <c r="N197" t="str">
        <f>Processing!I200</f>
        <v>POL (SD 25-32)</v>
      </c>
    </row>
    <row r="198" spans="2:14" x14ac:dyDescent="0.25">
      <c r="B198">
        <f>Processing!D201</f>
        <v>26138</v>
      </c>
      <c r="C198" t="str">
        <f>Processing!F201</f>
        <v>40G8</v>
      </c>
      <c r="D198">
        <f>'Final list of total hauls pros'!C198</f>
        <v>26</v>
      </c>
      <c r="E198">
        <f>'Final list of total hauls pros'!D198</f>
        <v>55</v>
      </c>
      <c r="F198">
        <f>'Final list of total hauls pros'!E198</f>
        <v>52.8</v>
      </c>
      <c r="G198">
        <f>'Final list of total hauls pros'!F198</f>
        <v>18</v>
      </c>
      <c r="H198">
        <f>'Final list of total hauls pros'!G198</f>
        <v>49</v>
      </c>
      <c r="I198">
        <f>'Final list of total hauls pros'!H198</f>
        <v>6</v>
      </c>
      <c r="J198" t="str">
        <f>'Final list of total hauls pros'!I198</f>
        <v>POL</v>
      </c>
      <c r="K198" s="13">
        <f>'Final list of total hauls pros'!J198</f>
        <v>55.88</v>
      </c>
      <c r="L198" s="13">
        <f>'Final list of total hauls pros'!K198</f>
        <v>18.816666666666698</v>
      </c>
      <c r="M198" t="str">
        <f>'Final list of total hauls pros'!L198</f>
        <v>25-32</v>
      </c>
      <c r="N198" t="str">
        <f>Processing!I201</f>
        <v>POL (SD 25-32)</v>
      </c>
    </row>
    <row r="199" spans="2:14" x14ac:dyDescent="0.25">
      <c r="B199">
        <f>Processing!D202</f>
        <v>26140</v>
      </c>
      <c r="C199" t="str">
        <f>Processing!F202</f>
        <v>41G8</v>
      </c>
      <c r="D199">
        <f>'Final list of total hauls pros'!C199</f>
        <v>26</v>
      </c>
      <c r="E199">
        <f>'Final list of total hauls pros'!D199</f>
        <v>56</v>
      </c>
      <c r="F199">
        <f>'Final list of total hauls pros'!E199</f>
        <v>0.4</v>
      </c>
      <c r="G199">
        <f>'Final list of total hauls pros'!F199</f>
        <v>18</v>
      </c>
      <c r="H199">
        <f>'Final list of total hauls pros'!G199</f>
        <v>54.1</v>
      </c>
      <c r="I199">
        <f>'Final list of total hauls pros'!H199</f>
        <v>6</v>
      </c>
      <c r="J199" t="str">
        <f>'Final list of total hauls pros'!I199</f>
        <v>SWE</v>
      </c>
      <c r="K199" s="13">
        <f>'Final list of total hauls pros'!J199</f>
        <v>56.006666666666703</v>
      </c>
      <c r="L199" s="13">
        <f>'Final list of total hauls pros'!K199</f>
        <v>18.901666666666699</v>
      </c>
      <c r="M199" t="str">
        <f>'Final list of total hauls pros'!L199</f>
        <v>25-32</v>
      </c>
      <c r="N199" t="str">
        <f>Processing!I202</f>
        <v>POL (SD 25-32)</v>
      </c>
    </row>
    <row r="200" spans="2:14" x14ac:dyDescent="0.25">
      <c r="B200">
        <f>Processing!D203</f>
        <v>26141</v>
      </c>
      <c r="C200" t="str">
        <f>Processing!F203</f>
        <v>41G8</v>
      </c>
      <c r="D200">
        <f>'Final list of total hauls pros'!C200</f>
        <v>26</v>
      </c>
      <c r="E200">
        <f>'Final list of total hauls pros'!D200</f>
        <v>56</v>
      </c>
      <c r="F200">
        <f>'Final list of total hauls pros'!E200</f>
        <v>19</v>
      </c>
      <c r="G200">
        <f>'Final list of total hauls pros'!F200</f>
        <v>18</v>
      </c>
      <c r="H200">
        <f>'Final list of total hauls pros'!G200</f>
        <v>40</v>
      </c>
      <c r="I200">
        <f>'Final list of total hauls pros'!H200</f>
        <v>6</v>
      </c>
      <c r="J200" t="str">
        <f>'Final list of total hauls pros'!I200</f>
        <v>SWE</v>
      </c>
      <c r="K200" s="13">
        <f>'Final list of total hauls pros'!J200</f>
        <v>56.316666666666698</v>
      </c>
      <c r="L200" s="13">
        <f>'Final list of total hauls pros'!K200</f>
        <v>18.6666666666667</v>
      </c>
      <c r="M200" t="str">
        <f>'Final list of total hauls pros'!L200</f>
        <v>25-32</v>
      </c>
      <c r="N200" t="str">
        <f>Processing!I203</f>
        <v>POL (SD 25-32)</v>
      </c>
    </row>
    <row r="201" spans="2:14" x14ac:dyDescent="0.25">
      <c r="B201">
        <f>Processing!D204</f>
        <v>26142</v>
      </c>
      <c r="C201" t="str">
        <f>Processing!F204</f>
        <v>41G9</v>
      </c>
      <c r="D201">
        <f>'Final list of total hauls pros'!C201</f>
        <v>26</v>
      </c>
      <c r="E201">
        <f>'Final list of total hauls pros'!D201</f>
        <v>56</v>
      </c>
      <c r="F201">
        <f>'Final list of total hauls pros'!E201</f>
        <v>12</v>
      </c>
      <c r="G201">
        <f>'Final list of total hauls pros'!F201</f>
        <v>19</v>
      </c>
      <c r="H201">
        <f>'Final list of total hauls pros'!G201</f>
        <v>28</v>
      </c>
      <c r="I201">
        <f>'Final list of total hauls pros'!H201</f>
        <v>6</v>
      </c>
      <c r="J201" t="str">
        <f>'Final list of total hauls pros'!I201</f>
        <v>LAT</v>
      </c>
      <c r="K201" s="13">
        <f>'Final list of total hauls pros'!J201</f>
        <v>56.2</v>
      </c>
      <c r="L201" s="13">
        <f>'Final list of total hauls pros'!K201</f>
        <v>19.466666666666701</v>
      </c>
      <c r="M201" t="str">
        <f>'Final list of total hauls pros'!L201</f>
        <v>25-32</v>
      </c>
      <c r="N201" t="str">
        <f>Processing!I204</f>
        <v>POL (SD 25-32)</v>
      </c>
    </row>
    <row r="202" spans="2:14" x14ac:dyDescent="0.25">
      <c r="B202">
        <f>Processing!D205</f>
        <v>26144</v>
      </c>
      <c r="C202" t="str">
        <f>Processing!F205</f>
        <v>41G9</v>
      </c>
      <c r="D202">
        <f>'Final list of total hauls pros'!C202</f>
        <v>26</v>
      </c>
      <c r="E202">
        <f>'Final list of total hauls pros'!D202</f>
        <v>56</v>
      </c>
      <c r="F202">
        <f>'Final list of total hauls pros'!E202</f>
        <v>22</v>
      </c>
      <c r="G202">
        <f>'Final list of total hauls pros'!F202</f>
        <v>19</v>
      </c>
      <c r="H202">
        <f>'Final list of total hauls pros'!G202</f>
        <v>29</v>
      </c>
      <c r="I202">
        <f>'Final list of total hauls pros'!H202</f>
        <v>6</v>
      </c>
      <c r="J202" t="str">
        <f>'Final list of total hauls pros'!I202</f>
        <v>LAT</v>
      </c>
      <c r="K202" s="13">
        <f>'Final list of total hauls pros'!J202</f>
        <v>56.366666666666703</v>
      </c>
      <c r="L202" s="13">
        <f>'Final list of total hauls pros'!K202</f>
        <v>19.483333333333299</v>
      </c>
      <c r="M202" t="str">
        <f>'Final list of total hauls pros'!L202</f>
        <v>25-32</v>
      </c>
      <c r="N202" t="str">
        <f>Processing!I205</f>
        <v>POL (SD 25-32)</v>
      </c>
    </row>
    <row r="203" spans="2:14" x14ac:dyDescent="0.25">
      <c r="B203">
        <f>Processing!D206</f>
        <v>26145</v>
      </c>
      <c r="C203" t="str">
        <f>Processing!F206</f>
        <v>41G9</v>
      </c>
      <c r="D203">
        <f>'Final list of total hauls pros'!C203</f>
        <v>26</v>
      </c>
      <c r="E203">
        <f>'Final list of total hauls pros'!D203</f>
        <v>56</v>
      </c>
      <c r="F203">
        <f>'Final list of total hauls pros'!E203</f>
        <v>27.9</v>
      </c>
      <c r="G203">
        <f>'Final list of total hauls pros'!F203</f>
        <v>19</v>
      </c>
      <c r="H203">
        <f>'Final list of total hauls pros'!G203</f>
        <v>49.7</v>
      </c>
      <c r="I203">
        <f>'Final list of total hauls pros'!H203</f>
        <v>6</v>
      </c>
      <c r="J203" t="str">
        <f>'Final list of total hauls pros'!I203</f>
        <v>LAT</v>
      </c>
      <c r="K203" s="13">
        <f>'Final list of total hauls pros'!J203</f>
        <v>56.465000000000003</v>
      </c>
      <c r="L203" s="13">
        <f>'Final list of total hauls pros'!K203</f>
        <v>19.828333333333301</v>
      </c>
      <c r="M203" t="str">
        <f>'Final list of total hauls pros'!L203</f>
        <v>25-32</v>
      </c>
      <c r="N203" t="str">
        <f>Processing!I206</f>
        <v>POL (SD 25-32)</v>
      </c>
    </row>
    <row r="204" spans="2:14" x14ac:dyDescent="0.25">
      <c r="B204">
        <f>Processing!D207</f>
        <v>26161</v>
      </c>
      <c r="C204" t="str">
        <f>Processing!F207</f>
        <v>40G7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28.8</v>
      </c>
      <c r="G204">
        <f>'Final list of total hauls pros'!F204</f>
        <v>18</v>
      </c>
      <c r="H204">
        <f>'Final list of total hauls pros'!G204</f>
        <v>18.100000000000001</v>
      </c>
      <c r="I204">
        <f>'Final list of total hauls pros'!H204</f>
        <v>5</v>
      </c>
      <c r="J204" t="str">
        <f>'Final list of total hauls pros'!I204</f>
        <v>POL</v>
      </c>
      <c r="K204" s="13">
        <f>'Final list of total hauls pros'!J204</f>
        <v>55.48</v>
      </c>
      <c r="L204" s="13">
        <f>'Final list of total hauls pros'!K204</f>
        <v>18.301666666666701</v>
      </c>
      <c r="M204" t="str">
        <f>'Final list of total hauls pros'!L204</f>
        <v>25-32</v>
      </c>
      <c r="N204" t="str">
        <f>Processing!I207</f>
        <v>DEN (SD 25-32)</v>
      </c>
    </row>
    <row r="205" spans="2:14" x14ac:dyDescent="0.25">
      <c r="B205">
        <f>Processing!D208</f>
        <v>26165</v>
      </c>
      <c r="C205" t="str">
        <f>Processing!F208</f>
        <v>39G8</v>
      </c>
      <c r="D205">
        <f>'Final list of total hauls pros'!C205</f>
        <v>26</v>
      </c>
      <c r="E205">
        <f>'Final list of total hauls pros'!D205</f>
        <v>55</v>
      </c>
      <c r="F205">
        <f>'Final list of total hauls pros'!E205</f>
        <v>26</v>
      </c>
      <c r="G205">
        <f>'Final list of total hauls pros'!F205</f>
        <v>18</v>
      </c>
      <c r="H205">
        <f>'Final list of total hauls pros'!G205</f>
        <v>34</v>
      </c>
      <c r="I205">
        <f>'Final list of total hauls pros'!H205</f>
        <v>5</v>
      </c>
      <c r="J205" t="str">
        <f>'Final list of total hauls pros'!I205</f>
        <v>POL</v>
      </c>
      <c r="K205" s="13">
        <f>'Final list of total hauls pros'!J205</f>
        <v>55.433333333333302</v>
      </c>
      <c r="L205" s="13">
        <f>'Final list of total hauls pros'!K205</f>
        <v>18.566666666666698</v>
      </c>
      <c r="M205" t="str">
        <f>'Final list of total hauls pros'!L205</f>
        <v>25-32</v>
      </c>
      <c r="N205" t="str">
        <f>Processing!I208</f>
        <v>DEN (SD 25-32)</v>
      </c>
    </row>
    <row r="206" spans="2:14" x14ac:dyDescent="0.25">
      <c r="B206">
        <f>Processing!D209</f>
        <v>26170</v>
      </c>
      <c r="C206" t="str">
        <f>Processing!F209</f>
        <v>41G8</v>
      </c>
      <c r="D206">
        <f>'Final list of total hauls pros'!C206</f>
        <v>26</v>
      </c>
      <c r="E206">
        <f>'Final list of total hauls pros'!D206</f>
        <v>56</v>
      </c>
      <c r="F206">
        <f>'Final list of total hauls pros'!E206</f>
        <v>9.8905600000000007</v>
      </c>
      <c r="G206">
        <f>'Final list of total hauls pros'!F206</f>
        <v>18</v>
      </c>
      <c r="H206">
        <f>'Final list of total hauls pros'!G206</f>
        <v>20.27</v>
      </c>
      <c r="I206">
        <f>'Final list of total hauls pros'!H206</f>
        <v>4</v>
      </c>
      <c r="J206" t="str">
        <f>'Final list of total hauls pros'!I206</f>
        <v>SWE</v>
      </c>
      <c r="K206" s="13">
        <f>'Final list of total hauls pros'!J206</f>
        <v>56.164842666666701</v>
      </c>
      <c r="L206" s="13">
        <f>'Final list of total hauls pros'!K206</f>
        <v>18.3378333333333</v>
      </c>
      <c r="M206" t="str">
        <f>'Final list of total hauls pros'!L206</f>
        <v>25-32</v>
      </c>
      <c r="N206" t="str">
        <f>Processing!I209</f>
        <v>POL (SD 25-32)</v>
      </c>
    </row>
    <row r="207" spans="2:14" x14ac:dyDescent="0.25">
      <c r="B207">
        <f>Processing!D210</f>
        <v>26172</v>
      </c>
      <c r="C207" t="str">
        <f>Processing!F210</f>
        <v>40G8</v>
      </c>
      <c r="D207">
        <f>'Final list of total hauls pros'!C207</f>
        <v>26</v>
      </c>
      <c r="E207">
        <f>'Final list of total hauls pros'!D207</f>
        <v>55</v>
      </c>
      <c r="F207">
        <f>'Final list of total hauls pros'!E207</f>
        <v>31.8</v>
      </c>
      <c r="G207">
        <f>'Final list of total hauls pros'!F207</f>
        <v>18</v>
      </c>
      <c r="H207">
        <f>'Final list of total hauls pros'!G207</f>
        <v>10.7</v>
      </c>
      <c r="I207">
        <f>'Final list of total hauls pros'!H207</f>
        <v>5</v>
      </c>
      <c r="J207" t="str">
        <f>'Final list of total hauls pros'!I207</f>
        <v>POL</v>
      </c>
      <c r="K207" s="13">
        <f>'Final list of total hauls pros'!J207</f>
        <v>55.53</v>
      </c>
      <c r="L207" s="13">
        <f>'Final list of total hauls pros'!K207</f>
        <v>18.178333333333299</v>
      </c>
      <c r="M207" t="str">
        <f>'Final list of total hauls pros'!L207</f>
        <v>25-32</v>
      </c>
      <c r="N207" t="str">
        <f>Processing!I210</f>
        <v>DEN (SD 25-32)</v>
      </c>
    </row>
    <row r="208" spans="2:14" x14ac:dyDescent="0.25">
      <c r="B208">
        <f>Processing!D211</f>
        <v>26177</v>
      </c>
      <c r="C208" t="str">
        <f>Processing!F211</f>
        <v>38G8</v>
      </c>
      <c r="D208">
        <f>'Final list of total hauls pros'!C208</f>
        <v>26</v>
      </c>
      <c r="E208">
        <f>'Final list of total hauls pros'!D208</f>
        <v>54</v>
      </c>
      <c r="F208">
        <f>'Final list of total hauls pros'!E208</f>
        <v>54</v>
      </c>
      <c r="G208">
        <f>'Final list of total hauls pros'!F208</f>
        <v>18</v>
      </c>
      <c r="H208">
        <f>'Final list of total hauls pros'!G208</f>
        <v>10</v>
      </c>
      <c r="I208">
        <f>'Final list of total hauls pros'!H208</f>
        <v>2</v>
      </c>
      <c r="J208" t="str">
        <f>'Final list of total hauls pros'!I208</f>
        <v>POL</v>
      </c>
      <c r="K208" s="13">
        <f>'Final list of total hauls pros'!J208</f>
        <v>54.9</v>
      </c>
      <c r="L208" s="13">
        <f>'Final list of total hauls pros'!K208</f>
        <v>18.1666666666667</v>
      </c>
      <c r="M208" t="str">
        <f>'Final list of total hauls pros'!L208</f>
        <v>25-32</v>
      </c>
      <c r="N208" t="str">
        <f>Processing!I211</f>
        <v>POL (SD 25-32)</v>
      </c>
    </row>
    <row r="209" spans="2:14" x14ac:dyDescent="0.25">
      <c r="B209">
        <f>Processing!D212</f>
        <v>26182</v>
      </c>
      <c r="C209" t="str">
        <f>Processing!F212</f>
        <v>41G8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2.8</v>
      </c>
      <c r="G209">
        <f>'Final list of total hauls pros'!F209</f>
        <v>18</v>
      </c>
      <c r="H209">
        <f>'Final list of total hauls pros'!G209</f>
        <v>18.7</v>
      </c>
      <c r="I209">
        <f>'Final list of total hauls pros'!H209</f>
        <v>4</v>
      </c>
      <c r="J209" t="str">
        <f>'Final list of total hauls pros'!I209</f>
        <v>POL</v>
      </c>
      <c r="K209" s="13">
        <f>'Final list of total hauls pros'!J209</f>
        <v>55.046666666666702</v>
      </c>
      <c r="L209" s="13">
        <f>'Final list of total hauls pros'!K209</f>
        <v>18.311666666666699</v>
      </c>
      <c r="M209" t="str">
        <f>'Final list of total hauls pros'!L209</f>
        <v>25-32</v>
      </c>
      <c r="N209" t="str">
        <f>Processing!I212</f>
        <v>POL (SD 25-32)</v>
      </c>
    </row>
    <row r="210" spans="2:14" x14ac:dyDescent="0.25">
      <c r="B210">
        <f>Processing!D213</f>
        <v>26191</v>
      </c>
      <c r="C210" t="str">
        <f>Processing!F213</f>
        <v>40G9</v>
      </c>
      <c r="D210">
        <f>'Final list of total hauls pros'!C210</f>
        <v>26</v>
      </c>
      <c r="E210">
        <f>'Final list of total hauls pros'!D210</f>
        <v>54</v>
      </c>
      <c r="F210">
        <f>'Final list of total hauls pros'!E210</f>
        <v>40.700000000000003</v>
      </c>
      <c r="G210">
        <f>'Final list of total hauls pros'!F210</f>
        <v>19</v>
      </c>
      <c r="H210">
        <f>'Final list of total hauls pros'!G210</f>
        <v>17.8</v>
      </c>
      <c r="I210">
        <f>'Final list of total hauls pros'!H210</f>
        <v>5</v>
      </c>
      <c r="J210" t="str">
        <f>'Final list of total hauls pros'!I210</f>
        <v>POL</v>
      </c>
      <c r="K210" s="13">
        <f>'Final list of total hauls pros'!J210</f>
        <v>54.678333333333299</v>
      </c>
      <c r="L210" s="13">
        <f>'Final list of total hauls pros'!K210</f>
        <v>19.296666666666699</v>
      </c>
      <c r="M210" t="str">
        <f>'Final list of total hauls pros'!L210</f>
        <v>25-32</v>
      </c>
      <c r="N210" t="str">
        <f>Processing!I213</f>
        <v>POL (SD 25-32)</v>
      </c>
    </row>
    <row r="211" spans="2:14" x14ac:dyDescent="0.25">
      <c r="B211">
        <f>Processing!D214</f>
        <v>26199</v>
      </c>
      <c r="C211" t="str">
        <f>Processing!F214</f>
        <v>41G9</v>
      </c>
      <c r="D211">
        <f>'Final list of total hauls pros'!C211</f>
        <v>26</v>
      </c>
      <c r="E211">
        <f>'Final list of total hauls pros'!D211</f>
        <v>56</v>
      </c>
      <c r="F211">
        <f>'Final list of total hauls pros'!E211</f>
        <v>22.8</v>
      </c>
      <c r="G211">
        <f>'Final list of total hauls pros'!F211</f>
        <v>19</v>
      </c>
      <c r="H211">
        <f>'Final list of total hauls pros'!G211</f>
        <v>42.4</v>
      </c>
      <c r="I211">
        <f>'Final list of total hauls pros'!H211</f>
        <v>6</v>
      </c>
      <c r="J211" t="str">
        <f>'Final list of total hauls pros'!I211</f>
        <v>LAT</v>
      </c>
      <c r="K211" s="13">
        <f>'Final list of total hauls pros'!J211</f>
        <v>56.38</v>
      </c>
      <c r="L211" s="13">
        <f>'Final list of total hauls pros'!K211</f>
        <v>19.706666666666699</v>
      </c>
      <c r="M211" t="str">
        <f>'Final list of total hauls pros'!L211</f>
        <v>25-32</v>
      </c>
      <c r="N211" t="str">
        <f>Processing!I214</f>
        <v>POL (SD 25-32)</v>
      </c>
    </row>
    <row r="212" spans="2:14" x14ac:dyDescent="0.25">
      <c r="B212">
        <f>Processing!D215</f>
        <v>26205</v>
      </c>
      <c r="C212" t="str">
        <f>Processing!F215</f>
        <v>40H0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45.5</v>
      </c>
      <c r="G212">
        <f>'Final list of total hauls pros'!F212</f>
        <v>20</v>
      </c>
      <c r="H212">
        <f>'Final list of total hauls pros'!G212</f>
        <v>22.2</v>
      </c>
      <c r="I212">
        <f>'Final list of total hauls pros'!H212</f>
        <v>3</v>
      </c>
      <c r="J212" t="str">
        <f>'Final list of total hauls pros'!I212</f>
        <v>LTU</v>
      </c>
      <c r="K212" s="13">
        <f>'Final list of total hauls pros'!J212</f>
        <v>55.758333333333297</v>
      </c>
      <c r="L212" s="13">
        <f>'Final list of total hauls pros'!K212</f>
        <v>20.37</v>
      </c>
      <c r="M212" t="str">
        <f>'Final list of total hauls pros'!L212</f>
        <v>25-32</v>
      </c>
      <c r="N212" t="str">
        <f>Processing!I215</f>
        <v>LTU (SD 25-32)</v>
      </c>
    </row>
    <row r="213" spans="2:14" x14ac:dyDescent="0.25">
      <c r="B213">
        <f>Processing!D216</f>
        <v>26206</v>
      </c>
      <c r="C213" t="str">
        <f>Processing!F216</f>
        <v>40H0</v>
      </c>
      <c r="D213">
        <f>'Final list of total hauls pros'!C213</f>
        <v>26</v>
      </c>
      <c r="E213">
        <f>'Final list of total hauls pros'!D213</f>
        <v>55</v>
      </c>
      <c r="F213">
        <f>'Final list of total hauls pros'!E213</f>
        <v>45.8</v>
      </c>
      <c r="G213">
        <f>'Final list of total hauls pros'!F213</f>
        <v>20</v>
      </c>
      <c r="H213">
        <f>'Final list of total hauls pros'!G213</f>
        <v>20</v>
      </c>
      <c r="I213">
        <f>'Final list of total hauls pros'!H213</f>
        <v>3</v>
      </c>
      <c r="J213" t="str">
        <f>'Final list of total hauls pros'!I213</f>
        <v>LTU</v>
      </c>
      <c r="K213" s="13">
        <f>'Final list of total hauls pros'!J213</f>
        <v>55.7633333333333</v>
      </c>
      <c r="L213" s="13">
        <f>'Final list of total hauls pros'!K213</f>
        <v>20.3333333333333</v>
      </c>
      <c r="M213" t="str">
        <f>'Final list of total hauls pros'!L213</f>
        <v>25-32</v>
      </c>
      <c r="N213" t="str">
        <f>Processing!I216</f>
        <v>LTU (SD 25-32)</v>
      </c>
    </row>
    <row r="214" spans="2:14" x14ac:dyDescent="0.25">
      <c r="B214">
        <f>Processing!D217</f>
        <v>26209</v>
      </c>
      <c r="C214" t="str">
        <f>Processing!F217</f>
        <v>41G9</v>
      </c>
      <c r="D214">
        <f>'Final list of total hauls pros'!C214</f>
        <v>26</v>
      </c>
      <c r="E214">
        <f>'Final list of total hauls pros'!D214</f>
        <v>56</v>
      </c>
      <c r="F214">
        <f>'Final list of total hauls pros'!E214</f>
        <v>18</v>
      </c>
      <c r="G214">
        <f>'Final list of total hauls pros'!F214</f>
        <v>19</v>
      </c>
      <c r="H214">
        <f>'Final list of total hauls pros'!G214</f>
        <v>31.5</v>
      </c>
      <c r="I214">
        <f>'Final list of total hauls pros'!H214</f>
        <v>6</v>
      </c>
      <c r="J214" t="str">
        <f>'Final list of total hauls pros'!I214</f>
        <v>LAT</v>
      </c>
      <c r="K214" s="13">
        <f>'Final list of total hauls pros'!J214</f>
        <v>56.3</v>
      </c>
      <c r="L214" s="13">
        <f>'Final list of total hauls pros'!K214</f>
        <v>19.524999999999999</v>
      </c>
      <c r="M214" t="str">
        <f>'Final list of total hauls pros'!L214</f>
        <v>25-32</v>
      </c>
      <c r="N214" t="str">
        <f>Processing!I217</f>
        <v>POL (SD 25-32)</v>
      </c>
    </row>
    <row r="215" spans="2:14" x14ac:dyDescent="0.25">
      <c r="B215">
        <f>Processing!D218</f>
        <v>26211</v>
      </c>
      <c r="C215" t="str">
        <f>Processing!F218</f>
        <v>38G9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30.6</v>
      </c>
      <c r="G215">
        <f>'Final list of total hauls pros'!F215</f>
        <v>19</v>
      </c>
      <c r="H215">
        <f>'Final list of total hauls pros'!G215</f>
        <v>21</v>
      </c>
      <c r="I215">
        <f>'Final list of total hauls pros'!H215</f>
        <v>4</v>
      </c>
      <c r="J215" t="str">
        <f>'Final list of total hauls pros'!I215</f>
        <v>POL</v>
      </c>
      <c r="K215" s="13">
        <f>'Final list of total hauls pros'!J215</f>
        <v>54.51</v>
      </c>
      <c r="L215" s="13">
        <f>'Final list of total hauls pros'!K215</f>
        <v>19.350000000000001</v>
      </c>
      <c r="M215" t="str">
        <f>'Final list of total hauls pros'!L215</f>
        <v>25-32</v>
      </c>
      <c r="N215" t="str">
        <f>Processing!I218</f>
        <v>POL (SD 25-32)</v>
      </c>
    </row>
    <row r="216" spans="2:14" x14ac:dyDescent="0.25">
      <c r="B216">
        <f>Processing!D219</f>
        <v>26216</v>
      </c>
      <c r="C216" t="str">
        <f>Processing!F219</f>
        <v>37G9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23.9</v>
      </c>
      <c r="G216">
        <f>'Final list of total hauls pros'!F216</f>
        <v>19</v>
      </c>
      <c r="H216">
        <f>'Final list of total hauls pros'!G216</f>
        <v>16.3</v>
      </c>
      <c r="I216">
        <f>'Final list of total hauls pros'!H216</f>
        <v>2</v>
      </c>
      <c r="J216" t="str">
        <f>'Final list of total hauls pros'!I216</f>
        <v>POL</v>
      </c>
      <c r="K216" s="13">
        <f>'Final list of total hauls pros'!J216</f>
        <v>54.398333333333298</v>
      </c>
      <c r="L216" s="13">
        <f>'Final list of total hauls pros'!K216</f>
        <v>19.2716666666667</v>
      </c>
      <c r="M216" t="str">
        <f>'Final list of total hauls pros'!L216</f>
        <v>25-32</v>
      </c>
      <c r="N216" t="str">
        <f>Processing!I219</f>
        <v>POL (SD 25-32)</v>
      </c>
    </row>
    <row r="217" spans="2:14" x14ac:dyDescent="0.25">
      <c r="B217">
        <f>Processing!D220</f>
        <v>26219</v>
      </c>
      <c r="C217" t="str">
        <f>Processing!F220</f>
        <v>37G8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23.5</v>
      </c>
      <c r="G217">
        <f>'Final list of total hauls pros'!F217</f>
        <v>18</v>
      </c>
      <c r="H217">
        <f>'Final list of total hauls pros'!G217</f>
        <v>58.5</v>
      </c>
      <c r="I217">
        <f>'Final list of total hauls pros'!H217</f>
        <v>2</v>
      </c>
      <c r="J217" t="str">
        <f>'Final list of total hauls pros'!I217</f>
        <v>POL</v>
      </c>
      <c r="K217" s="13">
        <f>'Final list of total hauls pros'!J217</f>
        <v>54.391666666666701</v>
      </c>
      <c r="L217" s="13">
        <f>'Final list of total hauls pros'!K217</f>
        <v>18.975000000000001</v>
      </c>
      <c r="M217" t="str">
        <f>'Final list of total hauls pros'!L217</f>
        <v>25-32</v>
      </c>
      <c r="N217" t="str">
        <f>Processing!I220</f>
        <v>POL (SD 25-32)</v>
      </c>
    </row>
    <row r="218" spans="2:14" x14ac:dyDescent="0.25">
      <c r="B218">
        <f>Processing!D221</f>
        <v>26220</v>
      </c>
      <c r="C218" t="str">
        <f>Processing!F221</f>
        <v>37G9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25.1</v>
      </c>
      <c r="G218">
        <f>'Final list of total hauls pros'!F218</f>
        <v>19</v>
      </c>
      <c r="H218">
        <f>'Final list of total hauls pros'!G218</f>
        <v>5.0999999999999996</v>
      </c>
      <c r="I218">
        <f>'Final list of total hauls pros'!H218</f>
        <v>3</v>
      </c>
      <c r="J218" t="str">
        <f>'Final list of total hauls pros'!I218</f>
        <v>POL</v>
      </c>
      <c r="K218" s="13">
        <f>'Final list of total hauls pros'!J218</f>
        <v>54.418333333333301</v>
      </c>
      <c r="L218" s="13">
        <f>'Final list of total hauls pros'!K218</f>
        <v>19.085000000000001</v>
      </c>
      <c r="M218" t="str">
        <f>'Final list of total hauls pros'!L218</f>
        <v>25-32</v>
      </c>
      <c r="N218" t="str">
        <f>Processing!I221</f>
        <v>POL (SD 25-32)</v>
      </c>
    </row>
    <row r="219" spans="2:14" x14ac:dyDescent="0.25">
      <c r="B219">
        <f>Processing!D222</f>
        <v>26221</v>
      </c>
      <c r="C219" t="str">
        <f>Processing!F222</f>
        <v>40G8</v>
      </c>
      <c r="D219">
        <f>'Final list of total hauls pros'!C219</f>
        <v>26</v>
      </c>
      <c r="E219">
        <f>'Final list of total hauls pros'!D219</f>
        <v>55</v>
      </c>
      <c r="F219">
        <f>'Final list of total hauls pros'!E219</f>
        <v>55.2</v>
      </c>
      <c r="G219">
        <f>'Final list of total hauls pros'!F219</f>
        <v>18</v>
      </c>
      <c r="H219">
        <f>'Final list of total hauls pros'!G219</f>
        <v>35.21</v>
      </c>
      <c r="I219">
        <f>'Final list of total hauls pros'!H219</f>
        <v>6</v>
      </c>
      <c r="J219" t="str">
        <f>'Final list of total hauls pros'!I219</f>
        <v>SWE</v>
      </c>
      <c r="K219" s="13">
        <f>'Final list of total hauls pros'!J219</f>
        <v>55.92</v>
      </c>
      <c r="L219" s="13">
        <f>'Final list of total hauls pros'!K219</f>
        <v>18.586833333333299</v>
      </c>
      <c r="M219" t="str">
        <f>'Final list of total hauls pros'!L219</f>
        <v>25-32</v>
      </c>
      <c r="N219" t="str">
        <f>Processing!I222</f>
        <v>POL (SD 25-32)</v>
      </c>
    </row>
    <row r="220" spans="2:14" x14ac:dyDescent="0.25">
      <c r="B220">
        <f>Processing!D223</f>
        <v>26224</v>
      </c>
      <c r="C220" t="str">
        <f>Processing!F223</f>
        <v>41G8</v>
      </c>
      <c r="D220">
        <f>'Final list of total hauls pros'!C220</f>
        <v>26</v>
      </c>
      <c r="E220">
        <f>'Final list of total hauls pros'!D220</f>
        <v>56</v>
      </c>
      <c r="F220">
        <f>'Final list of total hauls pros'!E220</f>
        <v>22.01</v>
      </c>
      <c r="G220">
        <f>'Final list of total hauls pros'!F220</f>
        <v>18</v>
      </c>
      <c r="H220">
        <f>'Final list of total hauls pros'!G220</f>
        <v>26.8</v>
      </c>
      <c r="I220">
        <f>'Final list of total hauls pros'!H220</f>
        <v>2</v>
      </c>
      <c r="J220" t="str">
        <f>'Final list of total hauls pros'!I220</f>
        <v>SWE</v>
      </c>
      <c r="K220" s="13">
        <f>'Final list of total hauls pros'!J220</f>
        <v>56.366833333333297</v>
      </c>
      <c r="L220" s="13">
        <f>'Final list of total hauls pros'!K220</f>
        <v>18.446666666666701</v>
      </c>
      <c r="M220" t="str">
        <f>'Final list of total hauls pros'!L220</f>
        <v>25-32</v>
      </c>
      <c r="N220" t="str">
        <f>Processing!I223</f>
        <v>POL (SD 25-32)</v>
      </c>
    </row>
    <row r="221" spans="2:14" x14ac:dyDescent="0.25">
      <c r="B221">
        <f>Processing!D224</f>
        <v>26257</v>
      </c>
      <c r="C221" t="str">
        <f>Processing!F224</f>
        <v>38G9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55.5</v>
      </c>
      <c r="G221">
        <f>'Final list of total hauls pros'!F221</f>
        <v>19</v>
      </c>
      <c r="H221">
        <f>'Final list of total hauls pros'!G221</f>
        <v>3</v>
      </c>
      <c r="I221">
        <f>'Final list of total hauls pros'!H221</f>
        <v>6</v>
      </c>
      <c r="J221" t="str">
        <f>'Final list of total hauls pros'!I221</f>
        <v>POL</v>
      </c>
      <c r="K221" s="13">
        <f>'Final list of total hauls pros'!J221</f>
        <v>54.924999999999997</v>
      </c>
      <c r="L221" s="13">
        <f>'Final list of total hauls pros'!K221</f>
        <v>19.05</v>
      </c>
      <c r="M221" t="str">
        <f>'Final list of total hauls pros'!L221</f>
        <v>25-32</v>
      </c>
      <c r="N221" t="str">
        <f>Processing!I224</f>
        <v>POL (SD 25-32)</v>
      </c>
    </row>
    <row r="222" spans="2:14" x14ac:dyDescent="0.25">
      <c r="B222">
        <f>Processing!D225</f>
        <v>26258</v>
      </c>
      <c r="C222" t="str">
        <f>Processing!F225</f>
        <v>37G9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26.9</v>
      </c>
      <c r="G222">
        <f>'Final list of total hauls pros'!F222</f>
        <v>19</v>
      </c>
      <c r="H222">
        <f>'Final list of total hauls pros'!G222</f>
        <v>18</v>
      </c>
      <c r="I222">
        <f>'Final list of total hauls pros'!H222</f>
        <v>4</v>
      </c>
      <c r="J222" t="str">
        <f>'Final list of total hauls pros'!I222</f>
        <v>POL</v>
      </c>
      <c r="K222" s="13">
        <f>'Final list of total hauls pros'!J222</f>
        <v>54.448333333333302</v>
      </c>
      <c r="L222" s="13">
        <f>'Final list of total hauls pros'!K222</f>
        <v>19.3</v>
      </c>
      <c r="M222" t="str">
        <f>'Final list of total hauls pros'!L222</f>
        <v>25-32</v>
      </c>
      <c r="N222" t="str">
        <f>Processing!I225</f>
        <v>POL (SD 25-32)</v>
      </c>
    </row>
    <row r="223" spans="2:14" x14ac:dyDescent="0.25">
      <c r="B223">
        <f>Processing!D226</f>
        <v>26259</v>
      </c>
      <c r="C223" t="str">
        <f>Processing!F226</f>
        <v>41G9</v>
      </c>
      <c r="D223">
        <f>'Final list of total hauls pros'!C223</f>
        <v>26</v>
      </c>
      <c r="E223">
        <f>'Final list of total hauls pros'!D223</f>
        <v>56</v>
      </c>
      <c r="F223">
        <f>'Final list of total hauls pros'!E223</f>
        <v>22</v>
      </c>
      <c r="G223">
        <f>'Final list of total hauls pros'!F223</f>
        <v>19</v>
      </c>
      <c r="H223">
        <f>'Final list of total hauls pros'!G223</f>
        <v>52</v>
      </c>
      <c r="I223">
        <f>'Final list of total hauls pros'!H223</f>
        <v>5</v>
      </c>
      <c r="J223" t="str">
        <f>'Final list of total hauls pros'!I223</f>
        <v>LAT</v>
      </c>
      <c r="K223" s="13">
        <f>'Final list of total hauls pros'!J223</f>
        <v>56.366666666666703</v>
      </c>
      <c r="L223" s="13">
        <f>'Final list of total hauls pros'!K223</f>
        <v>19.866666666666699</v>
      </c>
      <c r="M223" t="str">
        <f>'Final list of total hauls pros'!L223</f>
        <v>25-32</v>
      </c>
      <c r="N223" t="str">
        <f>Processing!I226</f>
        <v>POL (SD 25-32)</v>
      </c>
    </row>
    <row r="224" spans="2:14" x14ac:dyDescent="0.25">
      <c r="B224">
        <f>Processing!D227</f>
        <v>26263</v>
      </c>
      <c r="C224" t="str">
        <f>Processing!F227</f>
        <v>37G8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23.7</v>
      </c>
      <c r="G224">
        <f>'Final list of total hauls pros'!F224</f>
        <v>18</v>
      </c>
      <c r="H224">
        <f>'Final list of total hauls pros'!G224</f>
        <v>59.5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54.395000000000003</v>
      </c>
      <c r="L224" s="13">
        <f>'Final list of total hauls pros'!K224</f>
        <v>18.991666666666699</v>
      </c>
      <c r="M224" t="str">
        <f>'Final list of total hauls pros'!L224</f>
        <v>25-32</v>
      </c>
      <c r="N224" t="str">
        <f>Processing!I227</f>
        <v>POL (SD 25-32)</v>
      </c>
    </row>
    <row r="225" spans="2:14" x14ac:dyDescent="0.25">
      <c r="B225">
        <f>Processing!D228</f>
        <v>26264</v>
      </c>
      <c r="C225" t="str">
        <f>Processing!F228</f>
        <v>37G9</v>
      </c>
      <c r="D225">
        <f>'Final list of total hauls pros'!C225</f>
        <v>26</v>
      </c>
      <c r="E225">
        <f>'Final list of total hauls pros'!D225</f>
        <v>54</v>
      </c>
      <c r="F225">
        <f>'Final list of total hauls pros'!E225</f>
        <v>25.2</v>
      </c>
      <c r="G225">
        <f>'Final list of total hauls pros'!F225</f>
        <v>19</v>
      </c>
      <c r="H225">
        <f>'Final list of total hauls pros'!G225</f>
        <v>2.1</v>
      </c>
      <c r="I225">
        <f>'Final list of total hauls pros'!H225</f>
        <v>3</v>
      </c>
      <c r="J225" t="str">
        <f>'Final list of total hauls pros'!I225</f>
        <v>POL</v>
      </c>
      <c r="K225" s="13">
        <f>'Final list of total hauls pros'!J225</f>
        <v>54.42</v>
      </c>
      <c r="L225" s="13">
        <f>'Final list of total hauls pros'!K225</f>
        <v>19.035</v>
      </c>
      <c r="M225" t="str">
        <f>'Final list of total hauls pros'!L225</f>
        <v>25-32</v>
      </c>
      <c r="N225" t="str">
        <f>Processing!I228</f>
        <v>POL (SD 25-32)</v>
      </c>
    </row>
    <row r="226" spans="2:14" x14ac:dyDescent="0.25">
      <c r="B226">
        <f>Processing!D229</f>
        <v>26265</v>
      </c>
      <c r="C226" t="str">
        <f>Processing!F229</f>
        <v>37G9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26</v>
      </c>
      <c r="G226">
        <f>'Final list of total hauls pros'!F226</f>
        <v>19</v>
      </c>
      <c r="H226">
        <f>'Final list of total hauls pros'!G226</f>
        <v>6</v>
      </c>
      <c r="I226">
        <f>'Final list of total hauls pros'!H226</f>
        <v>3</v>
      </c>
      <c r="J226" t="str">
        <f>'Final list of total hauls pros'!I226</f>
        <v>POL</v>
      </c>
      <c r="K226" s="13">
        <f>'Final list of total hauls pros'!J226</f>
        <v>54.433333333333302</v>
      </c>
      <c r="L226" s="13">
        <f>'Final list of total hauls pros'!K226</f>
        <v>19.100000000000001</v>
      </c>
      <c r="M226" t="str">
        <f>'Final list of total hauls pros'!L226</f>
        <v>25-32</v>
      </c>
      <c r="N226" t="str">
        <f>Processing!I229</f>
        <v>POL (SD 25-32)</v>
      </c>
    </row>
    <row r="227" spans="2:14" x14ac:dyDescent="0.25">
      <c r="B227">
        <f>Processing!D230</f>
        <v>26266</v>
      </c>
      <c r="C227" t="str">
        <f>Processing!F230</f>
        <v>38G8</v>
      </c>
      <c r="D227">
        <f>'Final list of total hauls pros'!C227</f>
        <v>26</v>
      </c>
      <c r="E227">
        <f>'Final list of total hauls pros'!D227</f>
        <v>54</v>
      </c>
      <c r="F227">
        <f>'Final list of total hauls pros'!E227</f>
        <v>48.2</v>
      </c>
      <c r="G227">
        <f>'Final list of total hauls pros'!F227</f>
        <v>18</v>
      </c>
      <c r="H227">
        <f>'Final list of total hauls pros'!G227</f>
        <v>32.9</v>
      </c>
      <c r="I227">
        <f>'Final list of total hauls pros'!H227</f>
        <v>2</v>
      </c>
      <c r="J227" t="str">
        <f>'Final list of total hauls pros'!I227</f>
        <v>POL</v>
      </c>
      <c r="K227" s="13">
        <f>'Final list of total hauls pros'!J227</f>
        <v>54.803333333333299</v>
      </c>
      <c r="L227" s="13">
        <f>'Final list of total hauls pros'!K227</f>
        <v>18.5483333333333</v>
      </c>
      <c r="M227" t="str">
        <f>'Final list of total hauls pros'!L227</f>
        <v>25-32</v>
      </c>
      <c r="N227" t="str">
        <f>Processing!I230</f>
        <v>POL (SD 25-32)</v>
      </c>
    </row>
    <row r="228" spans="2:14" x14ac:dyDescent="0.25">
      <c r="B228">
        <f>Processing!D231</f>
        <v>26267</v>
      </c>
      <c r="C228" t="str">
        <f>Processing!F231</f>
        <v>38G8</v>
      </c>
      <c r="D228">
        <f>'Final list of total hauls pros'!C228</f>
        <v>26</v>
      </c>
      <c r="E228">
        <f>'Final list of total hauls pros'!D228</f>
        <v>54</v>
      </c>
      <c r="F228">
        <f>'Final list of total hauls pros'!E228</f>
        <v>54.6</v>
      </c>
      <c r="G228">
        <f>'Final list of total hauls pros'!F228</f>
        <v>18</v>
      </c>
      <c r="H228">
        <f>'Final list of total hauls pros'!G228</f>
        <v>36.1</v>
      </c>
      <c r="I228">
        <f>'Final list of total hauls pros'!H228</f>
        <v>3</v>
      </c>
      <c r="J228" t="str">
        <f>'Final list of total hauls pros'!I228</f>
        <v>POL</v>
      </c>
      <c r="K228" s="13">
        <f>'Final list of total hauls pros'!J228</f>
        <v>54.91</v>
      </c>
      <c r="L228" s="13">
        <f>'Final list of total hauls pros'!K228</f>
        <v>18.601666666666699</v>
      </c>
      <c r="M228" t="str">
        <f>'Final list of total hauls pros'!L228</f>
        <v>25-32</v>
      </c>
      <c r="N228" t="str">
        <f>Processing!I231</f>
        <v>POL (SD 25-32)</v>
      </c>
    </row>
    <row r="229" spans="2:14" x14ac:dyDescent="0.25">
      <c r="B229">
        <f>Processing!D232</f>
        <v>26268</v>
      </c>
      <c r="C229" t="str">
        <f>Processing!F232</f>
        <v>38G8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59.3</v>
      </c>
      <c r="G229">
        <f>'Final list of total hauls pros'!F229</f>
        <v>18</v>
      </c>
      <c r="H229">
        <f>'Final list of total hauls pros'!G229</f>
        <v>31.7</v>
      </c>
      <c r="I229">
        <f>'Final list of total hauls pros'!H229</f>
        <v>4</v>
      </c>
      <c r="J229" t="str">
        <f>'Final list of total hauls pros'!I229</f>
        <v>POL</v>
      </c>
      <c r="K229" s="13">
        <f>'Final list of total hauls pros'!J229</f>
        <v>54.988333333333301</v>
      </c>
      <c r="L229" s="13">
        <f>'Final list of total hauls pros'!K229</f>
        <v>18.5283333333333</v>
      </c>
      <c r="M229" t="str">
        <f>'Final list of total hauls pros'!L229</f>
        <v>25-32</v>
      </c>
      <c r="N229" t="str">
        <f>Processing!I232</f>
        <v>POL (SD 25-32)</v>
      </c>
    </row>
    <row r="230" spans="2:14" x14ac:dyDescent="0.25">
      <c r="B230">
        <f>Processing!D233</f>
        <v>26269</v>
      </c>
      <c r="C230" t="str">
        <f>Processing!F233</f>
        <v>38G9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36.700000000000003</v>
      </c>
      <c r="G230">
        <f>'Final list of total hauls pros'!F230</f>
        <v>19</v>
      </c>
      <c r="H230">
        <f>'Final list of total hauls pros'!G230</f>
        <v>9.1999999999999993</v>
      </c>
      <c r="I230">
        <f>'Final list of total hauls pros'!H230</f>
        <v>5</v>
      </c>
      <c r="J230" t="str">
        <f>'Final list of total hauls pros'!I230</f>
        <v>POL</v>
      </c>
      <c r="K230" s="13">
        <f>'Final list of total hauls pros'!J230</f>
        <v>54.6116666666667</v>
      </c>
      <c r="L230" s="13">
        <f>'Final list of total hauls pros'!K230</f>
        <v>19.1533333333333</v>
      </c>
      <c r="M230" t="str">
        <f>'Final list of total hauls pros'!L230</f>
        <v>25-32</v>
      </c>
      <c r="N230" t="str">
        <f>Processing!I233</f>
        <v>POL (SD 25-32)</v>
      </c>
    </row>
    <row r="231" spans="2:14" x14ac:dyDescent="0.25">
      <c r="B231">
        <f>Processing!D234</f>
        <v>26273</v>
      </c>
      <c r="C231" t="str">
        <f>Processing!F234</f>
        <v>39G8</v>
      </c>
      <c r="D231">
        <f>'Final list of total hauls pros'!C231</f>
        <v>26</v>
      </c>
      <c r="E231">
        <f>'Final list of total hauls pros'!D231</f>
        <v>55</v>
      </c>
      <c r="F231">
        <f>'Final list of total hauls pros'!E231</f>
        <v>7.9</v>
      </c>
      <c r="G231">
        <f>'Final list of total hauls pros'!F231</f>
        <v>18</v>
      </c>
      <c r="H231">
        <f>'Final list of total hauls pros'!G231</f>
        <v>43.4</v>
      </c>
      <c r="I231">
        <f>'Final list of total hauls pros'!H231</f>
        <v>5</v>
      </c>
      <c r="J231" t="str">
        <f>'Final list of total hauls pros'!I231</f>
        <v>POL</v>
      </c>
      <c r="K231" s="13">
        <f>'Final list of total hauls pros'!J231</f>
        <v>55.131666666666703</v>
      </c>
      <c r="L231" s="13">
        <f>'Final list of total hauls pros'!K231</f>
        <v>18.723333333333301</v>
      </c>
      <c r="M231" t="str">
        <f>'Final list of total hauls pros'!L231</f>
        <v>25-32</v>
      </c>
      <c r="N231" t="str">
        <f>Processing!I234</f>
        <v>POL (SD 25-32)</v>
      </c>
    </row>
    <row r="232" spans="2:14" x14ac:dyDescent="0.25">
      <c r="B232">
        <f>Processing!D235</f>
        <v>26274</v>
      </c>
      <c r="C232" t="str">
        <f>Processing!F235</f>
        <v>38G8</v>
      </c>
      <c r="D232">
        <f>'Final list of total hauls pros'!C232</f>
        <v>26</v>
      </c>
      <c r="E232">
        <f>'Final list of total hauls pros'!D232</f>
        <v>54</v>
      </c>
      <c r="F232">
        <f>'Final list of total hauls pros'!E232</f>
        <v>53.8</v>
      </c>
      <c r="G232">
        <f>'Final list of total hauls pros'!F232</f>
        <v>18</v>
      </c>
      <c r="H232">
        <f>'Final list of total hauls pros'!G232</f>
        <v>10.199999999999999</v>
      </c>
      <c r="I232">
        <f>'Final list of total hauls pros'!H232</f>
        <v>2</v>
      </c>
      <c r="J232" t="str">
        <f>'Final list of total hauls pros'!I232</f>
        <v>POL</v>
      </c>
      <c r="K232" s="13">
        <f>'Final list of total hauls pros'!J232</f>
        <v>54.896666666666697</v>
      </c>
      <c r="L232" s="13">
        <f>'Final list of total hauls pros'!K232</f>
        <v>18.170000000000002</v>
      </c>
      <c r="M232" t="str">
        <f>'Final list of total hauls pros'!L232</f>
        <v>25-32</v>
      </c>
      <c r="N232" t="str">
        <f>Processing!I235</f>
        <v>POL (SD 25-32)</v>
      </c>
    </row>
    <row r="233" spans="2:14" x14ac:dyDescent="0.25">
      <c r="B233">
        <f>Processing!D236</f>
        <v>26278</v>
      </c>
      <c r="C233" t="str">
        <f>Processing!F236</f>
        <v>38G8</v>
      </c>
      <c r="D233">
        <f>'Final list of total hauls pros'!C233</f>
        <v>26</v>
      </c>
      <c r="E233">
        <f>'Final list of total hauls pros'!D233</f>
        <v>54</v>
      </c>
      <c r="F233">
        <f>'Final list of total hauls pros'!E233</f>
        <v>59</v>
      </c>
      <c r="G233">
        <f>'Final list of total hauls pros'!F233</f>
        <v>18</v>
      </c>
      <c r="H233">
        <f>'Final list of total hauls pros'!G233</f>
        <v>46.2</v>
      </c>
      <c r="I233">
        <f>'Final list of total hauls pros'!H233</f>
        <v>5</v>
      </c>
      <c r="J233" t="str">
        <f>'Final list of total hauls pros'!I233</f>
        <v>POL</v>
      </c>
      <c r="K233" s="13">
        <f>'Final list of total hauls pros'!J233</f>
        <v>54.983333333333299</v>
      </c>
      <c r="L233" s="13">
        <f>'Final list of total hauls pros'!K233</f>
        <v>18.77</v>
      </c>
      <c r="M233" t="str">
        <f>'Final list of total hauls pros'!L233</f>
        <v>25-32</v>
      </c>
      <c r="N233" t="str">
        <f>Processing!I236</f>
        <v>POL (SD 25-32)</v>
      </c>
    </row>
    <row r="234" spans="2:14" x14ac:dyDescent="0.25">
      <c r="B234">
        <f>Processing!D237</f>
        <v>26279</v>
      </c>
      <c r="C234" t="str">
        <f>Processing!F237</f>
        <v>38G8</v>
      </c>
      <c r="D234">
        <f>'Final list of total hauls pros'!C234</f>
        <v>26</v>
      </c>
      <c r="E234">
        <f>'Final list of total hauls pros'!D234</f>
        <v>54</v>
      </c>
      <c r="F234">
        <f>'Final list of total hauls pros'!E234</f>
        <v>32.799999999999997</v>
      </c>
      <c r="G234">
        <f>'Final list of total hauls pros'!F234</f>
        <v>18</v>
      </c>
      <c r="H234">
        <f>'Final list of total hauls pros'!G234</f>
        <v>56.6</v>
      </c>
      <c r="I234">
        <f>'Final list of total hauls pros'!H234</f>
        <v>4</v>
      </c>
      <c r="J234" t="str">
        <f>'Final list of total hauls pros'!I234</f>
        <v>POL</v>
      </c>
      <c r="K234" s="13">
        <f>'Final list of total hauls pros'!J234</f>
        <v>54.546666666666702</v>
      </c>
      <c r="L234" s="13">
        <f>'Final list of total hauls pros'!K234</f>
        <v>18.9433333333333</v>
      </c>
      <c r="M234" t="str">
        <f>'Final list of total hauls pros'!L234</f>
        <v>25-32</v>
      </c>
      <c r="N234" t="str">
        <f>Processing!I237</f>
        <v>POL (SD 25-32)</v>
      </c>
    </row>
    <row r="235" spans="2:14" x14ac:dyDescent="0.25">
      <c r="B235">
        <f>Processing!D238</f>
        <v>26280</v>
      </c>
      <c r="C235" t="str">
        <f>Processing!F238</f>
        <v>38G8</v>
      </c>
      <c r="D235">
        <f>'Final list of total hauls pros'!C235</f>
        <v>26</v>
      </c>
      <c r="E235">
        <f>'Final list of total hauls pros'!D235</f>
        <v>54</v>
      </c>
      <c r="F235">
        <f>'Final list of total hauls pros'!E235</f>
        <v>29.6</v>
      </c>
      <c r="G235">
        <f>'Final list of total hauls pros'!F235</f>
        <v>18</v>
      </c>
      <c r="H235">
        <f>'Final list of total hauls pros'!G235</f>
        <v>53.4</v>
      </c>
      <c r="I235">
        <f>'Final list of total hauls pros'!H235</f>
        <v>4</v>
      </c>
      <c r="J235" t="str">
        <f>'Final list of total hauls pros'!I235</f>
        <v>POL</v>
      </c>
      <c r="K235" s="13">
        <f>'Final list of total hauls pros'!J235</f>
        <v>54.493333333333297</v>
      </c>
      <c r="L235" s="13">
        <f>'Final list of total hauls pros'!K235</f>
        <v>18.89</v>
      </c>
      <c r="M235" t="str">
        <f>'Final list of total hauls pros'!L235</f>
        <v>25-32</v>
      </c>
      <c r="N235" t="str">
        <f>Processing!I238</f>
        <v>POL (SD 25-32)</v>
      </c>
    </row>
    <row r="236" spans="2:14" x14ac:dyDescent="0.25">
      <c r="B236">
        <f>Processing!D239</f>
        <v>26281</v>
      </c>
      <c r="C236" t="str">
        <f>Processing!F239</f>
        <v>37G9</v>
      </c>
      <c r="D236">
        <f>'Final list of total hauls pros'!C236</f>
        <v>26</v>
      </c>
      <c r="E236">
        <f>'Final list of total hauls pros'!D236</f>
        <v>54</v>
      </c>
      <c r="F236">
        <f>'Final list of total hauls pros'!E236</f>
        <v>26.3</v>
      </c>
      <c r="G236">
        <f>'Final list of total hauls pros'!F236</f>
        <v>19</v>
      </c>
      <c r="H236">
        <f>'Final list of total hauls pros'!G236</f>
        <v>4</v>
      </c>
      <c r="I236">
        <f>'Final list of total hauls pros'!H236</f>
        <v>3</v>
      </c>
      <c r="J236" t="str">
        <f>'Final list of total hauls pros'!I236</f>
        <v>POL</v>
      </c>
      <c r="K236" s="13">
        <f>'Final list of total hauls pros'!J236</f>
        <v>54.438333333333297</v>
      </c>
      <c r="L236" s="13">
        <f>'Final list of total hauls pros'!K236</f>
        <v>19.066666666666698</v>
      </c>
      <c r="M236" t="str">
        <f>'Final list of total hauls pros'!L236</f>
        <v>25-32</v>
      </c>
      <c r="N236" t="str">
        <f>Processing!I239</f>
        <v>POL (SD 25-32)</v>
      </c>
    </row>
    <row r="237" spans="2:14" x14ac:dyDescent="0.25">
      <c r="B237">
        <f>Processing!D240</f>
        <v>26282</v>
      </c>
      <c r="C237" t="str">
        <f>Processing!F240</f>
        <v>37G9</v>
      </c>
      <c r="D237">
        <f>'Final list of total hauls pros'!C237</f>
        <v>26</v>
      </c>
      <c r="E237">
        <f>'Final list of total hauls pros'!D237</f>
        <v>54</v>
      </c>
      <c r="F237">
        <f>'Final list of total hauls pros'!E237</f>
        <v>25.3</v>
      </c>
      <c r="G237">
        <f>'Final list of total hauls pros'!F237</f>
        <v>19</v>
      </c>
      <c r="H237">
        <f>'Final list of total hauls pros'!G237</f>
        <v>3.9</v>
      </c>
      <c r="I237">
        <f>'Final list of total hauls pros'!H237</f>
        <v>3</v>
      </c>
      <c r="J237" t="str">
        <f>'Final list of total hauls pros'!I237</f>
        <v>POL</v>
      </c>
      <c r="K237" s="13">
        <f>'Final list of total hauls pros'!J237</f>
        <v>54.421666666666702</v>
      </c>
      <c r="L237" s="13">
        <f>'Final list of total hauls pros'!K237</f>
        <v>19.065000000000001</v>
      </c>
      <c r="M237" t="str">
        <f>'Final list of total hauls pros'!L237</f>
        <v>25-32</v>
      </c>
      <c r="N237" t="str">
        <f>Processing!I240</f>
        <v>POL (SD 25-32)</v>
      </c>
    </row>
    <row r="238" spans="2:14" x14ac:dyDescent="0.25">
      <c r="B238">
        <f>Processing!D241</f>
        <v>26289</v>
      </c>
      <c r="C238" t="str">
        <f>Processing!F241</f>
        <v>37G9</v>
      </c>
      <c r="D238">
        <f>'Final list of total hauls pros'!C238</f>
        <v>26</v>
      </c>
      <c r="E238">
        <f>'Final list of total hauls pros'!D238</f>
        <v>54</v>
      </c>
      <c r="F238">
        <f>'Final list of total hauls pros'!E238</f>
        <v>26.1</v>
      </c>
      <c r="G238">
        <f>'Final list of total hauls pros'!F238</f>
        <v>19</v>
      </c>
      <c r="H238">
        <f>'Final list of total hauls pros'!G238</f>
        <v>6.4</v>
      </c>
      <c r="I238">
        <f>'Final list of total hauls pros'!H238</f>
        <v>3</v>
      </c>
      <c r="J238" t="str">
        <f>'Final list of total hauls pros'!I238</f>
        <v>POL</v>
      </c>
      <c r="K238" s="13">
        <f>'Final list of total hauls pros'!J238</f>
        <v>54.435000000000002</v>
      </c>
      <c r="L238" s="13">
        <f>'Final list of total hauls pros'!K238</f>
        <v>19.106666666666701</v>
      </c>
      <c r="M238" t="str">
        <f>'Final list of total hauls pros'!L238</f>
        <v>25-32</v>
      </c>
      <c r="N238" t="str">
        <f>Processing!I241</f>
        <v>POL (SD 25-32)</v>
      </c>
    </row>
    <row r="239" spans="2:14" x14ac:dyDescent="0.25">
      <c r="B239">
        <f>Processing!D242</f>
        <v>27003</v>
      </c>
      <c r="C239" t="str">
        <f>Processing!F242</f>
        <v>43G7</v>
      </c>
      <c r="D239">
        <f>'Final list of total hauls pros'!C239</f>
        <v>27</v>
      </c>
      <c r="E239">
        <f>'Final list of total hauls pros'!D239</f>
        <v>57</v>
      </c>
      <c r="F239">
        <f>'Final list of total hauls pros'!E239</f>
        <v>24.8</v>
      </c>
      <c r="G239">
        <f>'Final list of total hauls pros'!F239</f>
        <v>17</v>
      </c>
      <c r="H239">
        <f>'Final list of total hauls pros'!G239</f>
        <v>1.5</v>
      </c>
      <c r="I239">
        <f>'Final list of total hauls pros'!H239</f>
        <v>3</v>
      </c>
      <c r="J239" t="str">
        <f>'Final list of total hauls pros'!I239</f>
        <v>SWE</v>
      </c>
      <c r="K239" s="13">
        <f>'Final list of total hauls pros'!J239</f>
        <v>57.413333333333298</v>
      </c>
      <c r="L239" s="13">
        <f>'Final list of total hauls pros'!K239</f>
        <v>17.024999999999999</v>
      </c>
      <c r="M239" t="str">
        <f>'Final list of total hauls pros'!L239</f>
        <v>25-32</v>
      </c>
      <c r="N239" t="str">
        <f>Processing!I242</f>
        <v>SWE (SD 25-32)</v>
      </c>
    </row>
    <row r="240" spans="2:14" x14ac:dyDescent="0.25">
      <c r="B240">
        <f>Processing!D243</f>
        <v>27005</v>
      </c>
      <c r="C240" t="str">
        <f>Processing!F243</f>
        <v>42G7</v>
      </c>
      <c r="D240">
        <f>'Final list of total hauls pros'!C240</f>
        <v>27</v>
      </c>
      <c r="E240">
        <f>'Final list of total hauls pros'!D240</f>
        <v>56</v>
      </c>
      <c r="F240">
        <f>'Final list of total hauls pros'!E240</f>
        <v>57.6</v>
      </c>
      <c r="G240">
        <f>'Final list of total hauls pros'!F240</f>
        <v>17</v>
      </c>
      <c r="H240">
        <f>'Final list of total hauls pros'!G240</f>
        <v>10.8</v>
      </c>
      <c r="I240">
        <f>'Final list of total hauls pros'!H240</f>
        <v>5</v>
      </c>
      <c r="J240" t="str">
        <f>'Final list of total hauls pros'!I240</f>
        <v>SWE</v>
      </c>
      <c r="K240" s="13">
        <f>'Final list of total hauls pros'!J240</f>
        <v>56.96</v>
      </c>
      <c r="L240" s="13">
        <f>'Final list of total hauls pros'!K240</f>
        <v>17.18</v>
      </c>
      <c r="M240" t="str">
        <f>'Final list of total hauls pros'!L240</f>
        <v>25-32</v>
      </c>
      <c r="N240" t="str">
        <f>Processing!I243</f>
        <v>SWE (SD 25-32)</v>
      </c>
    </row>
    <row r="241" spans="2:14" x14ac:dyDescent="0.25">
      <c r="B241">
        <f>Processing!D244</f>
        <v>27007</v>
      </c>
      <c r="C241" t="str">
        <f>Processing!F244</f>
        <v>43G7</v>
      </c>
      <c r="D241">
        <f>'Final list of total hauls pros'!C241</f>
        <v>27</v>
      </c>
      <c r="E241">
        <f>'Final list of total hauls pros'!D241</f>
        <v>56</v>
      </c>
      <c r="F241">
        <f>'Final list of total hauls pros'!E241</f>
        <v>59.35</v>
      </c>
      <c r="G241">
        <f>'Final list of total hauls pros'!F241</f>
        <v>17</v>
      </c>
      <c r="H241">
        <f>'Final list of total hauls pros'!G241</f>
        <v>56.63</v>
      </c>
      <c r="I241">
        <f>'Final list of total hauls pros'!H241</f>
        <v>4</v>
      </c>
      <c r="J241" t="str">
        <f>'Final list of total hauls pros'!I241</f>
        <v>SWE</v>
      </c>
      <c r="K241" s="13">
        <f>'Final list of total hauls pros'!J241</f>
        <v>56.989166666666698</v>
      </c>
      <c r="L241" s="13">
        <f>'Final list of total hauls pros'!K241</f>
        <v>17.943833333333298</v>
      </c>
      <c r="M241" t="str">
        <f>'Final list of total hauls pros'!L241</f>
        <v>25-32</v>
      </c>
      <c r="N241" t="str">
        <f>Processing!I244</f>
        <v>SWE (SD 25-32)</v>
      </c>
    </row>
    <row r="242" spans="2:14" x14ac:dyDescent="0.25">
      <c r="B242">
        <f>Processing!D245</f>
        <v>27009</v>
      </c>
      <c r="C242" t="str">
        <f>Processing!F245</f>
        <v>43G7</v>
      </c>
      <c r="D242">
        <f>'Final list of total hauls pros'!C242</f>
        <v>27</v>
      </c>
      <c r="E242">
        <f>'Final list of total hauls pros'!D242</f>
        <v>57</v>
      </c>
      <c r="F242">
        <f>'Final list of total hauls pros'!E242</f>
        <v>4</v>
      </c>
      <c r="G242">
        <f>'Final list of total hauls pros'!F242</f>
        <v>17</v>
      </c>
      <c r="H242">
        <f>'Final list of total hauls pros'!G242</f>
        <v>54</v>
      </c>
      <c r="I242">
        <f>'Final list of total hauls pros'!H242</f>
        <v>4</v>
      </c>
      <c r="J242" t="str">
        <f>'Final list of total hauls pros'!I242</f>
        <v>SWE</v>
      </c>
      <c r="K242" s="13">
        <f>'Final list of total hauls pros'!J242</f>
        <v>57.066666666666698</v>
      </c>
      <c r="L242" s="13">
        <f>'Final list of total hauls pros'!K242</f>
        <v>17.899999999999999</v>
      </c>
      <c r="M242" t="str">
        <f>'Final list of total hauls pros'!L242</f>
        <v>25-32</v>
      </c>
      <c r="N242" t="str">
        <f>Processing!I245</f>
        <v>SWE (SD 25-32)</v>
      </c>
    </row>
    <row r="243" spans="2:14" x14ac:dyDescent="0.25">
      <c r="B243">
        <f>Processing!D246</f>
        <v>27011</v>
      </c>
      <c r="C243" t="str">
        <f>Processing!F246</f>
        <v>43G7</v>
      </c>
      <c r="D243">
        <f>'Final list of total hauls pros'!C243</f>
        <v>27</v>
      </c>
      <c r="E243">
        <f>'Final list of total hauls pros'!D243</f>
        <v>57</v>
      </c>
      <c r="F243">
        <f>'Final list of total hauls pros'!E243</f>
        <v>27.5</v>
      </c>
      <c r="G243">
        <f>'Final list of total hauls pros'!F243</f>
        <v>17</v>
      </c>
      <c r="H243">
        <f>'Final list of total hauls pros'!G243</f>
        <v>32.799999999999997</v>
      </c>
      <c r="I243">
        <f>'Final list of total hauls pros'!H243</f>
        <v>5</v>
      </c>
      <c r="J243" t="str">
        <f>'Final list of total hauls pros'!I243</f>
        <v>SWE</v>
      </c>
      <c r="K243" s="13">
        <f>'Final list of total hauls pros'!J243</f>
        <v>57.4583333333333</v>
      </c>
      <c r="L243" s="13">
        <f>'Final list of total hauls pros'!K243</f>
        <v>17.546666666666699</v>
      </c>
      <c r="M243" t="str">
        <f>'Final list of total hauls pros'!L243</f>
        <v>25-32</v>
      </c>
      <c r="N243" t="str">
        <f>Processing!I246</f>
        <v>SWE (SD 25-32)</v>
      </c>
    </row>
    <row r="244" spans="2:14" x14ac:dyDescent="0.25">
      <c r="B244">
        <f>Processing!D247</f>
        <v>27017</v>
      </c>
      <c r="C244" t="str">
        <f>Processing!F247</f>
        <v>43G7</v>
      </c>
      <c r="D244">
        <f>'Final list of total hauls pros'!C244</f>
        <v>27</v>
      </c>
      <c r="E244">
        <f>'Final list of total hauls pros'!D244</f>
        <v>57</v>
      </c>
      <c r="F244">
        <f>'Final list of total hauls pros'!E244</f>
        <v>30</v>
      </c>
      <c r="G244">
        <f>'Final list of total hauls pros'!F244</f>
        <v>17</v>
      </c>
      <c r="H244">
        <f>'Final list of total hauls pros'!G244</f>
        <v>43</v>
      </c>
      <c r="I244">
        <f>'Final list of total hauls pros'!H244</f>
        <v>5</v>
      </c>
      <c r="J244" t="str">
        <f>'Final list of total hauls pros'!I244</f>
        <v>SWE</v>
      </c>
      <c r="K244" s="13">
        <f>'Final list of total hauls pros'!J244</f>
        <v>57.5</v>
      </c>
      <c r="L244" s="13">
        <f>'Final list of total hauls pros'!K244</f>
        <v>17.716666666666701</v>
      </c>
      <c r="M244" t="str">
        <f>'Final list of total hauls pros'!L244</f>
        <v>25-32</v>
      </c>
      <c r="N244" t="str">
        <f>Processing!I247</f>
        <v>SWE (SD 25-32)</v>
      </c>
    </row>
    <row r="245" spans="2:14" x14ac:dyDescent="0.25">
      <c r="B245">
        <f>Processing!D248</f>
        <v>27019</v>
      </c>
      <c r="C245" t="str">
        <f>Processing!F248</f>
        <v>44G8</v>
      </c>
      <c r="D245">
        <f>'Final list of total hauls pros'!C245</f>
        <v>27</v>
      </c>
      <c r="E245">
        <f>'Final list of total hauls pros'!D245</f>
        <v>57</v>
      </c>
      <c r="F245">
        <f>'Final list of total hauls pros'!E245</f>
        <v>42.8</v>
      </c>
      <c r="G245">
        <f>'Final list of total hauls pros'!F245</f>
        <v>18</v>
      </c>
      <c r="H245">
        <f>'Final list of total hauls pros'!G245</f>
        <v>16.2</v>
      </c>
      <c r="I245">
        <f>'Final list of total hauls pros'!H245</f>
        <v>5</v>
      </c>
      <c r="J245" t="str">
        <f>'Final list of total hauls pros'!I245</f>
        <v>SWE</v>
      </c>
      <c r="K245" s="13">
        <f>'Final list of total hauls pros'!J245</f>
        <v>57.713333333333303</v>
      </c>
      <c r="L245" s="13">
        <f>'Final list of total hauls pros'!K245</f>
        <v>18.27</v>
      </c>
      <c r="M245" t="str">
        <f>'Final list of total hauls pros'!L245</f>
        <v>25-32</v>
      </c>
      <c r="N245" t="str">
        <f>Processing!I248</f>
        <v>SWE (SD 25-32)</v>
      </c>
    </row>
    <row r="246" spans="2:14" x14ac:dyDescent="0.25">
      <c r="B246">
        <f>Processing!D249</f>
        <v>27020</v>
      </c>
      <c r="C246" t="str">
        <f>Processing!F249</f>
        <v>43G6</v>
      </c>
      <c r="D246">
        <f>'Final list of total hauls pros'!C246</f>
        <v>27</v>
      </c>
      <c r="E246">
        <f>'Final list of total hauls pros'!D246</f>
        <v>57</v>
      </c>
      <c r="F246">
        <f>'Final list of total hauls pros'!E246</f>
        <v>21.9</v>
      </c>
      <c r="G246">
        <f>'Final list of total hauls pros'!F246</f>
        <v>16</v>
      </c>
      <c r="H246">
        <f>'Final list of total hauls pros'!G246</f>
        <v>55.1</v>
      </c>
      <c r="I246">
        <f>'Final list of total hauls pros'!H246</f>
        <v>3</v>
      </c>
      <c r="J246" t="str">
        <f>'Final list of total hauls pros'!I246</f>
        <v>SWE</v>
      </c>
      <c r="K246" s="13">
        <f>'Final list of total hauls pros'!J246</f>
        <v>57.365000000000002</v>
      </c>
      <c r="L246" s="13">
        <f>'Final list of total hauls pros'!K246</f>
        <v>16.918333333333301</v>
      </c>
      <c r="M246" t="str">
        <f>'Final list of total hauls pros'!L246</f>
        <v>25-32</v>
      </c>
      <c r="N246" t="str">
        <f>Processing!I249</f>
        <v>SWE (SD 25-32)</v>
      </c>
    </row>
    <row r="247" spans="2:14" x14ac:dyDescent="0.25">
      <c r="B247">
        <f>Processing!D250</f>
        <v>27022</v>
      </c>
      <c r="C247" t="str">
        <f>Processing!F250</f>
        <v>42G6</v>
      </c>
      <c r="D247">
        <f>'Final list of total hauls pros'!C247</f>
        <v>27</v>
      </c>
      <c r="E247">
        <f>'Final list of total hauls pros'!D247</f>
        <v>56</v>
      </c>
      <c r="F247">
        <f>'Final list of total hauls pros'!E247</f>
        <v>42.2</v>
      </c>
      <c r="G247">
        <f>'Final list of total hauls pros'!F247</f>
        <v>16</v>
      </c>
      <c r="H247">
        <f>'Final list of total hauls pros'!G247</f>
        <v>59.1</v>
      </c>
      <c r="I247">
        <f>'Final list of total hauls pros'!H247</f>
        <v>4</v>
      </c>
      <c r="J247" t="str">
        <f>'Final list of total hauls pros'!I247</f>
        <v>SWE</v>
      </c>
      <c r="K247" s="13">
        <f>'Final list of total hauls pros'!J247</f>
        <v>56.703333333333298</v>
      </c>
      <c r="L247" s="13">
        <f>'Final list of total hauls pros'!K247</f>
        <v>16.984999999999999</v>
      </c>
      <c r="M247" t="str">
        <f>'Final list of total hauls pros'!L247</f>
        <v>25-32</v>
      </c>
      <c r="N247" t="str">
        <f>Processing!I250</f>
        <v>SWE (SD 25-32)</v>
      </c>
    </row>
    <row r="248" spans="2:14" x14ac:dyDescent="0.25">
      <c r="B248">
        <f>Processing!D251</f>
        <v>27029</v>
      </c>
      <c r="C248" t="str">
        <f>Processing!F251</f>
        <v>43G7</v>
      </c>
      <c r="D248">
        <f>'Final list of total hauls pros'!C248</f>
        <v>27</v>
      </c>
      <c r="E248">
        <f>'Final list of total hauls pros'!D248</f>
        <v>57</v>
      </c>
      <c r="F248">
        <f>'Final list of total hauls pros'!E248</f>
        <v>18.13</v>
      </c>
      <c r="G248">
        <f>'Final list of total hauls pros'!F248</f>
        <v>17</v>
      </c>
      <c r="H248">
        <f>'Final list of total hauls pros'!G248</f>
        <v>24.98</v>
      </c>
      <c r="I248">
        <f>'Final list of total hauls pros'!H248</f>
        <v>4</v>
      </c>
      <c r="J248" t="str">
        <f>'Final list of total hauls pros'!I248</f>
        <v>SWE</v>
      </c>
      <c r="K248" s="13">
        <f>'Final list of total hauls pros'!J248</f>
        <v>57.3021666666667</v>
      </c>
      <c r="L248" s="13">
        <f>'Final list of total hauls pros'!K248</f>
        <v>17.416333333333299</v>
      </c>
      <c r="M248" t="str">
        <f>'Final list of total hauls pros'!L248</f>
        <v>25-32</v>
      </c>
      <c r="N248" t="str">
        <f>Processing!I251</f>
        <v>SWE (SD 25-32)</v>
      </c>
    </row>
    <row r="249" spans="2:14" x14ac:dyDescent="0.25">
      <c r="B249">
        <f>Processing!D252</f>
        <v>28002</v>
      </c>
      <c r="C249" t="str">
        <f>Processing!F252</f>
        <v>42H0</v>
      </c>
      <c r="D249">
        <f>'Final list of total hauls pros'!C249</f>
        <v>28</v>
      </c>
      <c r="E249">
        <f>'Final list of total hauls pros'!D249</f>
        <v>56</v>
      </c>
      <c r="F249">
        <f>'Final list of total hauls pros'!E249</f>
        <v>36.5</v>
      </c>
      <c r="G249">
        <f>'Final list of total hauls pros'!F249</f>
        <v>20</v>
      </c>
      <c r="H249">
        <f>'Final list of total hauls pros'!G249</f>
        <v>41.3</v>
      </c>
      <c r="I249">
        <f>'Final list of total hauls pros'!H249</f>
        <v>3</v>
      </c>
      <c r="J249" t="str">
        <f>'Final list of total hauls pros'!I249</f>
        <v>LAT</v>
      </c>
      <c r="K249" s="13">
        <f>'Final list of total hauls pros'!J249</f>
        <v>56.608333333333299</v>
      </c>
      <c r="L249" s="13">
        <f>'Final list of total hauls pros'!K249</f>
        <v>20.688333333333301</v>
      </c>
      <c r="M249" t="str">
        <f>'Final list of total hauls pros'!L249</f>
        <v>25-32</v>
      </c>
      <c r="N249" t="str">
        <f>Processing!I252</f>
        <v>LAT (SD 25-32)</v>
      </c>
    </row>
    <row r="250" spans="2:14" x14ac:dyDescent="0.25">
      <c r="B250">
        <f>Processing!D253</f>
        <v>28009</v>
      </c>
      <c r="C250" t="str">
        <f>Processing!F253</f>
        <v>43H1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24.2</v>
      </c>
      <c r="G250">
        <f>'Final list of total hauls pros'!F250</f>
        <v>21</v>
      </c>
      <c r="H250">
        <f>'Final list of total hauls pros'!G250</f>
        <v>20.7</v>
      </c>
      <c r="I250">
        <f>'Final list of total hauls pros'!H250</f>
        <v>2</v>
      </c>
      <c r="J250" t="str">
        <f>'Final list of total hauls pros'!I250</f>
        <v>LAT</v>
      </c>
      <c r="K250" s="13">
        <f>'Final list of total hauls pros'!J250</f>
        <v>57.4033333333333</v>
      </c>
      <c r="L250" s="13">
        <f>'Final list of total hauls pros'!K250</f>
        <v>21.344999999999999</v>
      </c>
      <c r="M250" t="str">
        <f>'Final list of total hauls pros'!L250</f>
        <v>25-32</v>
      </c>
      <c r="N250" t="str">
        <f>Processing!I253</f>
        <v>LAT (SD 25-32)</v>
      </c>
    </row>
    <row r="251" spans="2:14" x14ac:dyDescent="0.25">
      <c r="B251">
        <f>Processing!D254</f>
        <v>28016</v>
      </c>
      <c r="C251" t="str">
        <f>Processing!F254</f>
        <v>43G8</v>
      </c>
      <c r="D251">
        <f>'Final list of total hauls pros'!C251</f>
        <v>28</v>
      </c>
      <c r="E251">
        <f>'Final list of total hauls pros'!D251</f>
        <v>57</v>
      </c>
      <c r="F251">
        <f>'Final list of total hauls pros'!E251</f>
        <v>10</v>
      </c>
      <c r="G251">
        <f>'Final list of total hauls pros'!F251</f>
        <v>18</v>
      </c>
      <c r="H251">
        <f>'Final list of total hauls pros'!G251</f>
        <v>51</v>
      </c>
      <c r="I251">
        <f>'Final list of total hauls pros'!H251</f>
        <v>3</v>
      </c>
      <c r="J251" t="str">
        <f>'Final list of total hauls pros'!I251</f>
        <v>SWE</v>
      </c>
      <c r="K251" s="13">
        <f>'Final list of total hauls pros'!J251</f>
        <v>57.1666666666667</v>
      </c>
      <c r="L251" s="13">
        <f>'Final list of total hauls pros'!K251</f>
        <v>18.850000000000001</v>
      </c>
      <c r="M251" t="str">
        <f>'Final list of total hauls pros'!L251</f>
        <v>25-32</v>
      </c>
      <c r="N251" t="str">
        <f>Processing!I254</f>
        <v>SWE (SD 25-32)</v>
      </c>
    </row>
    <row r="252" spans="2:14" x14ac:dyDescent="0.25">
      <c r="B252">
        <f>Processing!D255</f>
        <v>28017</v>
      </c>
      <c r="C252" t="str">
        <f>Processing!F255</f>
        <v>43H0</v>
      </c>
      <c r="D252">
        <f>'Final list of total hauls pros'!C252</f>
        <v>28</v>
      </c>
      <c r="E252">
        <f>'Final list of total hauls pros'!D252</f>
        <v>57</v>
      </c>
      <c r="F252">
        <f>'Final list of total hauls pros'!E252</f>
        <v>13.5</v>
      </c>
      <c r="G252">
        <f>'Final list of total hauls pros'!F252</f>
        <v>20</v>
      </c>
      <c r="H252">
        <f>'Final list of total hauls pros'!G252</f>
        <v>44.8</v>
      </c>
      <c r="I252">
        <f>'Final list of total hauls pros'!H252</f>
        <v>3</v>
      </c>
      <c r="J252" t="str">
        <f>'Final list of total hauls pros'!I252</f>
        <v>LAT</v>
      </c>
      <c r="K252" s="13">
        <f>'Final list of total hauls pros'!J252</f>
        <v>57.225000000000001</v>
      </c>
      <c r="L252" s="13">
        <f>'Final list of total hauls pros'!K252</f>
        <v>20.746666666666702</v>
      </c>
      <c r="M252" t="str">
        <f>'Final list of total hauls pros'!L252</f>
        <v>25-32</v>
      </c>
      <c r="N252" t="str">
        <f>Processing!I255</f>
        <v>LAT (SD 25-32)</v>
      </c>
    </row>
    <row r="253" spans="2:14" x14ac:dyDescent="0.25">
      <c r="B253">
        <f>Processing!D256</f>
        <v>28023</v>
      </c>
      <c r="C253" t="str">
        <f>Processing!F256</f>
        <v>43H1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25.7</v>
      </c>
      <c r="G253">
        <f>'Final list of total hauls pros'!F253</f>
        <v>21</v>
      </c>
      <c r="H253">
        <f>'Final list of total hauls pros'!G253</f>
        <v>16.600000000000001</v>
      </c>
      <c r="I253">
        <f>'Final list of total hauls pros'!H253</f>
        <v>4</v>
      </c>
      <c r="J253" t="str">
        <f>'Final list of total hauls pros'!I253</f>
        <v>LAT</v>
      </c>
      <c r="K253" s="13">
        <f>'Final list of total hauls pros'!J253</f>
        <v>57.428333333333299</v>
      </c>
      <c r="L253" s="13">
        <f>'Final list of total hauls pros'!K253</f>
        <v>21.276666666666699</v>
      </c>
      <c r="M253" t="str">
        <f>'Final list of total hauls pros'!L253</f>
        <v>25-32</v>
      </c>
      <c r="N253" t="str">
        <f>Processing!I256</f>
        <v>LAT (SD 25-32)</v>
      </c>
    </row>
    <row r="254" spans="2:14" x14ac:dyDescent="0.25">
      <c r="B254">
        <f>Processing!D257</f>
        <v>28039</v>
      </c>
      <c r="C254" t="str">
        <f>Processing!F257</f>
        <v>43H0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1.9</v>
      </c>
      <c r="G254">
        <f>'Final list of total hauls pros'!F254</f>
        <v>20</v>
      </c>
      <c r="H254">
        <f>'Final list of total hauls pros'!G254</f>
        <v>32.200000000000003</v>
      </c>
      <c r="I254">
        <f>'Final list of total hauls pros'!H254</f>
        <v>5</v>
      </c>
      <c r="J254" t="str">
        <f>'Final list of total hauls pros'!I254</f>
        <v>LAT</v>
      </c>
      <c r="K254" s="13">
        <f>'Final list of total hauls pros'!J254</f>
        <v>57.031666666666702</v>
      </c>
      <c r="L254" s="13">
        <f>'Final list of total hauls pros'!K254</f>
        <v>20.536666666666701</v>
      </c>
      <c r="M254" t="str">
        <f>'Final list of total hauls pros'!L254</f>
        <v>25-32</v>
      </c>
      <c r="N254" t="str">
        <f>Processing!I257</f>
        <v>LAT (SD 25-32)</v>
      </c>
    </row>
    <row r="255" spans="2:14" x14ac:dyDescent="0.25">
      <c r="B255">
        <f>Processing!D258</f>
        <v>28049</v>
      </c>
      <c r="C255" t="str">
        <f>Processing!F258</f>
        <v>43H1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13.5</v>
      </c>
      <c r="G255">
        <f>'Final list of total hauls pros'!F255</f>
        <v>21</v>
      </c>
      <c r="H255">
        <f>'Final list of total hauls pros'!G255</f>
        <v>2.2000000000000002</v>
      </c>
      <c r="I255">
        <f>'Final list of total hauls pros'!H255</f>
        <v>3</v>
      </c>
      <c r="J255" t="str">
        <f>'Final list of total hauls pros'!I255</f>
        <v>LAT</v>
      </c>
      <c r="K255" s="13">
        <f>'Final list of total hauls pros'!J255</f>
        <v>57.225000000000001</v>
      </c>
      <c r="L255" s="13">
        <f>'Final list of total hauls pros'!K255</f>
        <v>21.036666666666701</v>
      </c>
      <c r="M255" t="str">
        <f>'Final list of total hauls pros'!L255</f>
        <v>25-32</v>
      </c>
      <c r="N255" t="str">
        <f>Processing!I258</f>
        <v>LAT (SD 25-32)</v>
      </c>
    </row>
    <row r="256" spans="2:14" x14ac:dyDescent="0.25">
      <c r="B256">
        <f>Processing!D259</f>
        <v>28051</v>
      </c>
      <c r="C256" t="str">
        <f>Processing!F259</f>
        <v>43G8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21.2</v>
      </c>
      <c r="G256">
        <f>'Final list of total hauls pros'!F256</f>
        <v>19</v>
      </c>
      <c r="H256">
        <f>'Final list of total hauls pros'!G256</f>
        <v>9.1999999999999993</v>
      </c>
      <c r="I256">
        <f>'Final list of total hauls pros'!H256</f>
        <v>4</v>
      </c>
      <c r="J256" t="str">
        <f>'Final list of total hauls pros'!I256</f>
        <v>SWE</v>
      </c>
      <c r="K256" s="13">
        <f>'Final list of total hauls pros'!J256</f>
        <v>57.353333333333303</v>
      </c>
      <c r="L256" s="13">
        <f>'Final list of total hauls pros'!K256</f>
        <v>19.1533333333333</v>
      </c>
      <c r="M256" t="str">
        <f>'Final list of total hauls pros'!L256</f>
        <v>25-32</v>
      </c>
      <c r="N256" t="str">
        <f>Processing!I259</f>
        <v>SWE (SD 25-32)</v>
      </c>
    </row>
    <row r="257" spans="2:14" x14ac:dyDescent="0.25">
      <c r="B257">
        <f>Processing!D260</f>
        <v>28053</v>
      </c>
      <c r="C257" t="str">
        <f>Processing!F260</f>
        <v>44G9</v>
      </c>
      <c r="D257">
        <f>'Final list of total hauls pros'!C257</f>
        <v>28</v>
      </c>
      <c r="E257">
        <f>'Final list of total hauls pros'!D257</f>
        <v>57</v>
      </c>
      <c r="F257">
        <f>'Final list of total hauls pros'!E257</f>
        <v>32.1</v>
      </c>
      <c r="G257">
        <f>'Final list of total hauls pros'!F257</f>
        <v>19</v>
      </c>
      <c r="H257">
        <f>'Final list of total hauls pros'!G257</f>
        <v>17.5</v>
      </c>
      <c r="I257">
        <f>'Final list of total hauls pros'!H257</f>
        <v>4</v>
      </c>
      <c r="J257" t="str">
        <f>'Final list of total hauls pros'!I257</f>
        <v>SWE</v>
      </c>
      <c r="K257" s="13">
        <f>'Final list of total hauls pros'!J257</f>
        <v>57.534999999999997</v>
      </c>
      <c r="L257" s="13">
        <f>'Final list of total hauls pros'!K257</f>
        <v>19.2916666666667</v>
      </c>
      <c r="M257" t="str">
        <f>'Final list of total hauls pros'!L257</f>
        <v>25-32</v>
      </c>
      <c r="N257" t="str">
        <f>Processing!I260</f>
        <v>SWE (SD 25-32)</v>
      </c>
    </row>
    <row r="258" spans="2:14" x14ac:dyDescent="0.25">
      <c r="B258">
        <f>Processing!D261</f>
        <v>28063</v>
      </c>
      <c r="C258" t="str">
        <f>Processing!F261</f>
        <v>42H0</v>
      </c>
      <c r="D258">
        <f>'Final list of total hauls pros'!C258</f>
        <v>28</v>
      </c>
      <c r="E258">
        <f>'Final list of total hauls pros'!D258</f>
        <v>56</v>
      </c>
      <c r="F258">
        <f>'Final list of total hauls pros'!E258</f>
        <v>31.9</v>
      </c>
      <c r="G258">
        <f>'Final list of total hauls pros'!F258</f>
        <v>20</v>
      </c>
      <c r="H258">
        <f>'Final list of total hauls pros'!G258</f>
        <v>14.9</v>
      </c>
      <c r="I258">
        <f>'Final list of total hauls pros'!H258</f>
        <v>5</v>
      </c>
      <c r="J258" t="str">
        <f>'Final list of total hauls pros'!I258</f>
        <v>LAT</v>
      </c>
      <c r="K258" s="13">
        <f>'Final list of total hauls pros'!J258</f>
        <v>56.531666666666702</v>
      </c>
      <c r="L258" s="13">
        <f>'Final list of total hauls pros'!K258</f>
        <v>20.248333333333299</v>
      </c>
      <c r="M258" t="str">
        <f>'Final list of total hauls pros'!L258</f>
        <v>25-32</v>
      </c>
      <c r="N258" t="str">
        <f>Processing!I261</f>
        <v>LAT (SD 25-32)</v>
      </c>
    </row>
    <row r="259" spans="2:14" x14ac:dyDescent="0.25">
      <c r="B259">
        <f>Processing!D262</f>
        <v>28067</v>
      </c>
      <c r="C259" t="str">
        <f>Processing!F262</f>
        <v>43G8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6.5</v>
      </c>
      <c r="G259">
        <f>'Final list of total hauls pros'!F259</f>
        <v>18</v>
      </c>
      <c r="H259">
        <f>'Final list of total hauls pros'!G259</f>
        <v>57.1</v>
      </c>
      <c r="I259">
        <f>'Final list of total hauls pros'!H259</f>
        <v>5</v>
      </c>
      <c r="J259" t="str">
        <f>'Final list of total hauls pros'!I259</f>
        <v>SWE</v>
      </c>
      <c r="K259" s="13">
        <f>'Final list of total hauls pros'!J259</f>
        <v>57.108333333333299</v>
      </c>
      <c r="L259" s="13">
        <f>'Final list of total hauls pros'!K259</f>
        <v>18.9516666666667</v>
      </c>
      <c r="M259" t="str">
        <f>'Final list of total hauls pros'!L259</f>
        <v>25-32</v>
      </c>
      <c r="N259" t="str">
        <f>Processing!I262</f>
        <v>SWE (SD 25-32)</v>
      </c>
    </row>
    <row r="260" spans="2:14" x14ac:dyDescent="0.25">
      <c r="B260">
        <f>Processing!D263</f>
        <v>28071</v>
      </c>
      <c r="C260" t="str">
        <f>Processing!F263</f>
        <v>43G8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10</v>
      </c>
      <c r="G260">
        <f>'Final list of total hauls pros'!F260</f>
        <v>19</v>
      </c>
      <c r="H260">
        <f>'Final list of total hauls pros'!G260</f>
        <v>1.4</v>
      </c>
      <c r="I260">
        <f>'Final list of total hauls pros'!H260</f>
        <v>5</v>
      </c>
      <c r="J260" t="str">
        <f>'Final list of total hauls pros'!I260</f>
        <v>SWE</v>
      </c>
      <c r="K260" s="13">
        <f>'Final list of total hauls pros'!J260</f>
        <v>57.1666666666667</v>
      </c>
      <c r="L260" s="13">
        <f>'Final list of total hauls pros'!K260</f>
        <v>19.023333333333301</v>
      </c>
      <c r="M260" t="str">
        <f>'Final list of total hauls pros'!L260</f>
        <v>25-32</v>
      </c>
      <c r="N260" t="str">
        <f>Processing!I263</f>
        <v>SWE (SD 25-32)</v>
      </c>
    </row>
    <row r="261" spans="2:14" x14ac:dyDescent="0.25">
      <c r="B261">
        <f>Processing!D264</f>
        <v>28074</v>
      </c>
      <c r="C261" t="str">
        <f>Processing!F264</f>
        <v>43H0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10.5</v>
      </c>
      <c r="G261">
        <f>'Final list of total hauls pros'!F261</f>
        <v>20</v>
      </c>
      <c r="H261">
        <f>'Final list of total hauls pros'!G261</f>
        <v>35.200000000000003</v>
      </c>
      <c r="I261">
        <f>'Final list of total hauls pros'!H261</f>
        <v>5</v>
      </c>
      <c r="J261" t="str">
        <f>'Final list of total hauls pros'!I261</f>
        <v>LAT</v>
      </c>
      <c r="K261" s="13">
        <f>'Final list of total hauls pros'!J261</f>
        <v>57.174999999999997</v>
      </c>
      <c r="L261" s="13">
        <f>'Final list of total hauls pros'!K261</f>
        <v>20.586666666666702</v>
      </c>
      <c r="M261" t="str">
        <f>'Final list of total hauls pros'!L261</f>
        <v>25-32</v>
      </c>
      <c r="N261" t="str">
        <f>Processing!I264</f>
        <v>LAT (SD 25-32)</v>
      </c>
    </row>
    <row r="262" spans="2:14" x14ac:dyDescent="0.25">
      <c r="B262">
        <f>Processing!D265</f>
        <v>28077</v>
      </c>
      <c r="C262" t="str">
        <f>Processing!F265</f>
        <v>45H1</v>
      </c>
      <c r="D262">
        <f>'Final list of total hauls pros'!C262</f>
        <v>28</v>
      </c>
      <c r="E262">
        <f>'Final list of total hauls pros'!D262</f>
        <v>58</v>
      </c>
      <c r="F262">
        <f>'Final list of total hauls pros'!E262</f>
        <v>3</v>
      </c>
      <c r="G262">
        <f>'Final list of total hauls pros'!F262</f>
        <v>21</v>
      </c>
      <c r="H262">
        <f>'Final list of total hauls pros'!G262</f>
        <v>1</v>
      </c>
      <c r="I262">
        <f>'Final list of total hauls pros'!H262</f>
        <v>4</v>
      </c>
      <c r="J262" t="str">
        <f>'Final list of total hauls pros'!I262</f>
        <v>EST</v>
      </c>
      <c r="K262" s="13">
        <f>'Final list of total hauls pros'!J262</f>
        <v>58.05</v>
      </c>
      <c r="L262" s="13">
        <f>'Final list of total hauls pros'!K262</f>
        <v>21.016666666666701</v>
      </c>
      <c r="M262" t="str">
        <f>'Final list of total hauls pros'!L262</f>
        <v>25-32</v>
      </c>
      <c r="N262" t="str">
        <f>Processing!I265</f>
        <v>LAT (SD 25-32)</v>
      </c>
    </row>
    <row r="263" spans="2:14" x14ac:dyDescent="0.25">
      <c r="B263">
        <f>Processing!D266</f>
        <v>28078</v>
      </c>
      <c r="C263" t="str">
        <f>Processing!F266</f>
        <v>45G9</v>
      </c>
      <c r="D263">
        <f>'Final list of total hauls pros'!C263</f>
        <v>28</v>
      </c>
      <c r="E263">
        <f>'Final list of total hauls pros'!D263</f>
        <v>58</v>
      </c>
      <c r="F263">
        <f>'Final list of total hauls pros'!E263</f>
        <v>3.4</v>
      </c>
      <c r="G263">
        <f>'Final list of total hauls pros'!F263</f>
        <v>19</v>
      </c>
      <c r="H263">
        <f>'Final list of total hauls pros'!G263</f>
        <v>27.9</v>
      </c>
      <c r="I263">
        <f>'Final list of total hauls pros'!H263</f>
        <v>5</v>
      </c>
      <c r="J263" t="str">
        <f>'Final list of total hauls pros'!I263</f>
        <v>SWE</v>
      </c>
      <c r="K263" s="13">
        <f>'Final list of total hauls pros'!J263</f>
        <v>58.0566666666667</v>
      </c>
      <c r="L263" s="13">
        <f>'Final list of total hauls pros'!K263</f>
        <v>19.465</v>
      </c>
      <c r="M263" t="str">
        <f>'Final list of total hauls pros'!L263</f>
        <v>25-32</v>
      </c>
      <c r="N263" t="str">
        <f>Processing!I266</f>
        <v>SWE (SD 25-32)</v>
      </c>
    </row>
    <row r="264" spans="2:14" x14ac:dyDescent="0.25">
      <c r="B264">
        <f>Processing!D267</f>
        <v>28084</v>
      </c>
      <c r="C264" t="str">
        <f>Processing!F267</f>
        <v>42H0</v>
      </c>
      <c r="D264">
        <f>'Final list of total hauls pros'!C264</f>
        <v>28</v>
      </c>
      <c r="E264">
        <f>'Final list of total hauls pros'!D264</f>
        <v>56</v>
      </c>
      <c r="F264">
        <f>'Final list of total hauls pros'!E264</f>
        <v>36</v>
      </c>
      <c r="G264">
        <f>'Final list of total hauls pros'!F264</f>
        <v>20</v>
      </c>
      <c r="H264">
        <f>'Final list of total hauls pros'!G264</f>
        <v>20.3</v>
      </c>
      <c r="I264">
        <f>'Final list of total hauls pros'!H264</f>
        <v>5</v>
      </c>
      <c r="J264" t="str">
        <f>'Final list of total hauls pros'!I264</f>
        <v>LAT</v>
      </c>
      <c r="K264" s="13">
        <f>'Final list of total hauls pros'!J264</f>
        <v>56.6</v>
      </c>
      <c r="L264" s="13">
        <f>'Final list of total hauls pros'!K264</f>
        <v>20.338333333333299</v>
      </c>
      <c r="M264" t="str">
        <f>'Final list of total hauls pros'!L264</f>
        <v>25-32</v>
      </c>
      <c r="N264" t="str">
        <f>Processing!I267</f>
        <v>LAT (SD 25-32)</v>
      </c>
    </row>
    <row r="265" spans="2:14" x14ac:dyDescent="0.25">
      <c r="B265">
        <f>Processing!D268</f>
        <v>28085</v>
      </c>
      <c r="C265" t="str">
        <f>Processing!F268</f>
        <v>43H0</v>
      </c>
      <c r="D265">
        <f>'Final list of total hauls pros'!C265</f>
        <v>28</v>
      </c>
      <c r="E265">
        <f>'Final list of total hauls pros'!D265</f>
        <v>57</v>
      </c>
      <c r="F265">
        <f>'Final list of total hauls pros'!E265</f>
        <v>18.3</v>
      </c>
      <c r="G265">
        <f>'Final list of total hauls pros'!F265</f>
        <v>20</v>
      </c>
      <c r="H265">
        <f>'Final list of total hauls pros'!G265</f>
        <v>17.5</v>
      </c>
      <c r="I265">
        <f>'Final list of total hauls pros'!H265</f>
        <v>6</v>
      </c>
      <c r="J265" t="str">
        <f>'Final list of total hauls pros'!I265</f>
        <v>LAT</v>
      </c>
      <c r="K265" s="13">
        <f>'Final list of total hauls pros'!J265</f>
        <v>57.305</v>
      </c>
      <c r="L265" s="13">
        <f>'Final list of total hauls pros'!K265</f>
        <v>20.2916666666667</v>
      </c>
      <c r="M265" t="str">
        <f>'Final list of total hauls pros'!L265</f>
        <v>25-32</v>
      </c>
      <c r="N265" t="str">
        <f>Processing!I268</f>
        <v>LAT (SD 25-32)</v>
      </c>
    </row>
    <row r="266" spans="2:14" x14ac:dyDescent="0.25">
      <c r="B266">
        <f>Processing!D269</f>
        <v>28088</v>
      </c>
      <c r="C266" t="str">
        <f>Processing!F269</f>
        <v>43H0</v>
      </c>
      <c r="D266">
        <f>'Final list of total hauls pros'!C266</f>
        <v>28</v>
      </c>
      <c r="E266">
        <f>'Final list of total hauls pros'!D266</f>
        <v>57</v>
      </c>
      <c r="F266">
        <f>'Final list of total hauls pros'!E266</f>
        <v>26.7</v>
      </c>
      <c r="G266">
        <f>'Final list of total hauls pros'!F266</f>
        <v>20</v>
      </c>
      <c r="H266">
        <f>'Final list of total hauls pros'!G266</f>
        <v>34.200000000000003</v>
      </c>
      <c r="I266">
        <f>'Final list of total hauls pros'!H266</f>
        <v>6</v>
      </c>
      <c r="J266" t="str">
        <f>'Final list of total hauls pros'!I266</f>
        <v>LAT</v>
      </c>
      <c r="K266" s="13">
        <f>'Final list of total hauls pros'!J266</f>
        <v>57.445</v>
      </c>
      <c r="L266" s="13">
        <f>'Final list of total hauls pros'!K266</f>
        <v>20.57</v>
      </c>
      <c r="M266" t="str">
        <f>'Final list of total hauls pros'!L266</f>
        <v>25-32</v>
      </c>
      <c r="N266" t="str">
        <f>Processing!I269</f>
        <v>LAT (SD 25-32)</v>
      </c>
    </row>
    <row r="267" spans="2:14" x14ac:dyDescent="0.25">
      <c r="B267">
        <f>Processing!D270</f>
        <v>28090</v>
      </c>
      <c r="C267" t="str">
        <f>Processing!F270</f>
        <v>44H0</v>
      </c>
      <c r="D267">
        <f>'Final list of total hauls pros'!C267</f>
        <v>28</v>
      </c>
      <c r="E267">
        <f>'Final list of total hauls pros'!D267</f>
        <v>57</v>
      </c>
      <c r="F267">
        <f>'Final list of total hauls pros'!E267</f>
        <v>45.9</v>
      </c>
      <c r="G267">
        <f>'Final list of total hauls pros'!F267</f>
        <v>20</v>
      </c>
      <c r="H267">
        <f>'Final list of total hauls pros'!G267</f>
        <v>42.4</v>
      </c>
      <c r="I267">
        <f>'Final list of total hauls pros'!H267</f>
        <v>6</v>
      </c>
      <c r="J267" t="str">
        <f>'Final list of total hauls pros'!I267</f>
        <v>LAT</v>
      </c>
      <c r="K267" s="13">
        <f>'Final list of total hauls pros'!J267</f>
        <v>57.765000000000001</v>
      </c>
      <c r="L267" s="13">
        <f>'Final list of total hauls pros'!K267</f>
        <v>20.706666666666699</v>
      </c>
      <c r="M267" t="str">
        <f>'Final list of total hauls pros'!L267</f>
        <v>25-32</v>
      </c>
      <c r="N267" t="str">
        <f>Processing!I270</f>
        <v>LAT (SD 25-32)</v>
      </c>
    </row>
    <row r="268" spans="2:14" x14ac:dyDescent="0.25">
      <c r="B268">
        <f>Processing!D271</f>
        <v>28092</v>
      </c>
      <c r="C268" t="str">
        <f>Processing!F271</f>
        <v>43H0</v>
      </c>
      <c r="D268">
        <f>'Final list of total hauls pros'!C268</f>
        <v>28</v>
      </c>
      <c r="E268">
        <f>'Final list of total hauls pros'!D268</f>
        <v>57</v>
      </c>
      <c r="F268">
        <f>'Final list of total hauls pros'!E268</f>
        <v>20.399999999999999</v>
      </c>
      <c r="G268">
        <f>'Final list of total hauls pros'!F268</f>
        <v>20</v>
      </c>
      <c r="H268">
        <f>'Final list of total hauls pros'!G268</f>
        <v>35.6</v>
      </c>
      <c r="I268">
        <f>'Final list of total hauls pros'!H268</f>
        <v>5</v>
      </c>
      <c r="J268" t="str">
        <f>'Final list of total hauls pros'!I268</f>
        <v>LAT</v>
      </c>
      <c r="K268" s="13">
        <f>'Final list of total hauls pros'!J268</f>
        <v>57.34</v>
      </c>
      <c r="L268" s="13">
        <f>'Final list of total hauls pros'!K268</f>
        <v>20.593333333333302</v>
      </c>
      <c r="M268" t="str">
        <f>'Final list of total hauls pros'!L268</f>
        <v>25-32</v>
      </c>
      <c r="N268" t="str">
        <f>Processing!I271</f>
        <v>LAT (SD 25-32)</v>
      </c>
    </row>
    <row r="269" spans="2:14" x14ac:dyDescent="0.25">
      <c r="B269">
        <f>Processing!D272</f>
        <v>28093</v>
      </c>
      <c r="C269" t="str">
        <f>Processing!F272</f>
        <v>43H1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29.3</v>
      </c>
      <c r="G269">
        <f>'Final list of total hauls pros'!F269</f>
        <v>21</v>
      </c>
      <c r="H269">
        <f>'Final list of total hauls pros'!G269</f>
        <v>26.2</v>
      </c>
      <c r="I269">
        <f>'Final list of total hauls pros'!H269</f>
        <v>2</v>
      </c>
      <c r="J269" t="str">
        <f>'Final list of total hauls pros'!I269</f>
        <v>LAT</v>
      </c>
      <c r="K269" s="13">
        <f>'Final list of total hauls pros'!J269</f>
        <v>57.488333333333301</v>
      </c>
      <c r="L269" s="13">
        <f>'Final list of total hauls pros'!K269</f>
        <v>21.436666666666699</v>
      </c>
      <c r="M269" t="str">
        <f>'Final list of total hauls pros'!L269</f>
        <v>25-32</v>
      </c>
      <c r="N269" t="str">
        <f>Processing!I272</f>
        <v>LAT (SD 25-32)</v>
      </c>
    </row>
    <row r="270" spans="2:14" x14ac:dyDescent="0.25">
      <c r="B270">
        <f>Processing!D273</f>
        <v>28094</v>
      </c>
      <c r="C270" t="str">
        <f>Processing!F273</f>
        <v>42H0</v>
      </c>
      <c r="D270">
        <f>'Final list of total hauls pros'!C270</f>
        <v>28</v>
      </c>
      <c r="E270">
        <f>'Final list of total hauls pros'!D270</f>
        <v>56</v>
      </c>
      <c r="F270">
        <f>'Final list of total hauls pros'!E270</f>
        <v>56.4</v>
      </c>
      <c r="G270">
        <f>'Final list of total hauls pros'!F270</f>
        <v>20</v>
      </c>
      <c r="H270">
        <f>'Final list of total hauls pros'!G270</f>
        <v>23</v>
      </c>
      <c r="I270">
        <f>'Final list of total hauls pros'!H270</f>
        <v>5</v>
      </c>
      <c r="J270" t="str">
        <f>'Final list of total hauls pros'!I270</f>
        <v>LAT</v>
      </c>
      <c r="K270" s="13">
        <f>'Final list of total hauls pros'!J270</f>
        <v>56.94</v>
      </c>
      <c r="L270" s="13">
        <f>'Final list of total hauls pros'!K270</f>
        <v>20.383333333333301</v>
      </c>
      <c r="M270" t="str">
        <f>'Final list of total hauls pros'!L270</f>
        <v>25-32</v>
      </c>
      <c r="N270" t="str">
        <f>Processing!I273</f>
        <v>LAT (SD 25-32)</v>
      </c>
    </row>
    <row r="271" spans="2:14" x14ac:dyDescent="0.25">
      <c r="B271">
        <f>Processing!D274</f>
        <v>28096</v>
      </c>
      <c r="C271" t="str">
        <f>Processing!F274</f>
        <v>43G8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9.6</v>
      </c>
      <c r="G271">
        <f>'Final list of total hauls pros'!F271</f>
        <v>18</v>
      </c>
      <c r="H271">
        <f>'Final list of total hauls pros'!G271</f>
        <v>48.5</v>
      </c>
      <c r="I271">
        <f>'Final list of total hauls pros'!H271</f>
        <v>3</v>
      </c>
      <c r="J271" t="str">
        <f>'Final list of total hauls pros'!I271</f>
        <v>SWE</v>
      </c>
      <c r="K271" s="13">
        <f>'Final list of total hauls pros'!J271</f>
        <v>57.16</v>
      </c>
      <c r="L271" s="13">
        <f>'Final list of total hauls pros'!K271</f>
        <v>18.808333333333302</v>
      </c>
      <c r="M271" t="str">
        <f>'Final list of total hauls pros'!L271</f>
        <v>25-32</v>
      </c>
      <c r="N271" t="str">
        <f>Processing!I274</f>
        <v>SWE (SD 25-32)</v>
      </c>
    </row>
    <row r="272" spans="2:14" x14ac:dyDescent="0.25">
      <c r="B272">
        <f>Processing!D275</f>
        <v>28097</v>
      </c>
      <c r="C272" t="str">
        <f>Processing!F275</f>
        <v>44G9</v>
      </c>
      <c r="D272">
        <f>'Final list of total hauls pros'!C272</f>
        <v>28</v>
      </c>
      <c r="E272">
        <f>'Final list of total hauls pros'!D272</f>
        <v>57</v>
      </c>
      <c r="F272">
        <f>'Final list of total hauls pros'!E272</f>
        <v>52.5</v>
      </c>
      <c r="G272">
        <f>'Final list of total hauls pros'!F272</f>
        <v>19</v>
      </c>
      <c r="H272">
        <f>'Final list of total hauls pros'!G272</f>
        <v>25.6</v>
      </c>
      <c r="I272">
        <f>'Final list of total hauls pros'!H272</f>
        <v>3</v>
      </c>
      <c r="J272" t="str">
        <f>'Final list of total hauls pros'!I272</f>
        <v>SWE</v>
      </c>
      <c r="K272" s="13">
        <f>'Final list of total hauls pros'!J272</f>
        <v>57.875</v>
      </c>
      <c r="L272" s="13">
        <f>'Final list of total hauls pros'!K272</f>
        <v>19.426666666666701</v>
      </c>
      <c r="M272" t="str">
        <f>'Final list of total hauls pros'!L272</f>
        <v>25-32</v>
      </c>
      <c r="N272" t="str">
        <f>Processing!I275</f>
        <v>SWE (SD 25-32)</v>
      </c>
    </row>
    <row r="273" spans="2:14" x14ac:dyDescent="0.25">
      <c r="B273">
        <f>Processing!D276</f>
        <v>28098</v>
      </c>
      <c r="C273" t="str">
        <f>Processing!F276</f>
        <v>43G8</v>
      </c>
      <c r="D273">
        <f>'Final list of total hauls pros'!C273</f>
        <v>28</v>
      </c>
      <c r="E273">
        <f>'Final list of total hauls pros'!D273</f>
        <v>57</v>
      </c>
      <c r="F273">
        <f>'Final list of total hauls pros'!E273</f>
        <v>20.2</v>
      </c>
      <c r="G273">
        <f>'Final list of total hauls pros'!F273</f>
        <v>19</v>
      </c>
      <c r="H273">
        <f>'Final list of total hauls pros'!G273</f>
        <v>8.1</v>
      </c>
      <c r="I273">
        <f>'Final list of total hauls pros'!H273</f>
        <v>5</v>
      </c>
      <c r="J273" t="str">
        <f>'Final list of total hauls pros'!I273</f>
        <v>SWE</v>
      </c>
      <c r="K273" s="13">
        <f>'Final list of total hauls pros'!J273</f>
        <v>57.336666666666702</v>
      </c>
      <c r="L273" s="13">
        <f>'Final list of total hauls pros'!K273</f>
        <v>19.135000000000002</v>
      </c>
      <c r="M273" t="str">
        <f>'Final list of total hauls pros'!L273</f>
        <v>25-32</v>
      </c>
      <c r="N273" t="str">
        <f>Processing!I276</f>
        <v>SWE (SD 25-32)</v>
      </c>
    </row>
    <row r="274" spans="2:14" x14ac:dyDescent="0.25">
      <c r="B274">
        <f>Processing!D277</f>
        <v>28099</v>
      </c>
      <c r="C274" t="str">
        <f>Processing!F277</f>
        <v>44G9</v>
      </c>
      <c r="D274">
        <f>'Final list of total hauls pros'!C274</f>
        <v>28</v>
      </c>
      <c r="E274">
        <f>'Final list of total hauls pros'!D274</f>
        <v>57</v>
      </c>
      <c r="F274">
        <f>'Final list of total hauls pros'!E274</f>
        <v>48.8</v>
      </c>
      <c r="G274">
        <f>'Final list of total hauls pros'!F274</f>
        <v>19</v>
      </c>
      <c r="H274">
        <f>'Final list of total hauls pros'!G274</f>
        <v>32</v>
      </c>
      <c r="I274">
        <f>'Final list of total hauls pros'!H274</f>
        <v>5</v>
      </c>
      <c r="J274" t="str">
        <f>'Final list of total hauls pros'!I274</f>
        <v>SWE</v>
      </c>
      <c r="K274" s="13">
        <f>'Final list of total hauls pros'!J274</f>
        <v>57.813333333333297</v>
      </c>
      <c r="L274" s="13">
        <f>'Final list of total hauls pros'!K274</f>
        <v>19.533333333333299</v>
      </c>
      <c r="M274" t="str">
        <f>'Final list of total hauls pros'!L274</f>
        <v>25-32</v>
      </c>
      <c r="N274" t="str">
        <f>Processing!I277</f>
        <v>SWE (SD 25-32)</v>
      </c>
    </row>
    <row r="275" spans="2:14" x14ac:dyDescent="0.25">
      <c r="B275">
        <f>Processing!D278</f>
        <v>28112</v>
      </c>
      <c r="C275" t="str">
        <f>Processing!F278</f>
        <v>44H1</v>
      </c>
      <c r="D275">
        <f>'Final list of total hauls pros'!C275</f>
        <v>28</v>
      </c>
      <c r="E275">
        <f>'Final list of total hauls pros'!D275</f>
        <v>57</v>
      </c>
      <c r="F275">
        <f>'Final list of total hauls pros'!E275</f>
        <v>53</v>
      </c>
      <c r="G275">
        <f>'Final list of total hauls pros'!F275</f>
        <v>21</v>
      </c>
      <c r="H275">
        <f>'Final list of total hauls pros'!G275</f>
        <v>18.5</v>
      </c>
      <c r="I275">
        <f>'Final list of total hauls pros'!H275</f>
        <v>4</v>
      </c>
      <c r="J275" t="str">
        <f>'Final list of total hauls pros'!I275</f>
        <v>EST</v>
      </c>
      <c r="K275" s="13">
        <f>'Final list of total hauls pros'!J275</f>
        <v>57.883333333333297</v>
      </c>
      <c r="L275" s="13">
        <f>'Final list of total hauls pros'!K275</f>
        <v>21.308333333333302</v>
      </c>
      <c r="M275" t="str">
        <f>'Final list of total hauls pros'!L275</f>
        <v>25-32</v>
      </c>
      <c r="N275" t="str">
        <f>Processing!I278</f>
        <v>LAT (SD 25-32)</v>
      </c>
    </row>
    <row r="276" spans="2:14" x14ac:dyDescent="0.25">
      <c r="B276">
        <f>Processing!D279</f>
        <v>28136</v>
      </c>
      <c r="C276" t="str">
        <f>Processing!F279</f>
        <v>43H1</v>
      </c>
      <c r="D276">
        <f>'Final list of total hauls pros'!C276</f>
        <v>28</v>
      </c>
      <c r="E276">
        <f>'Final list of total hauls pros'!D276</f>
        <v>57</v>
      </c>
      <c r="F276">
        <f>'Final list of total hauls pros'!E276</f>
        <v>1.86</v>
      </c>
      <c r="G276">
        <f>'Final list of total hauls pros'!F276</f>
        <v>21</v>
      </c>
      <c r="H276">
        <f>'Final list of total hauls pros'!G276</f>
        <v>5.66</v>
      </c>
      <c r="I276">
        <f>'Final list of total hauls pros'!H276</f>
        <v>2</v>
      </c>
      <c r="J276" t="str">
        <f>'Final list of total hauls pros'!I276</f>
        <v>LAT</v>
      </c>
      <c r="K276" s="13">
        <f>'Final list of total hauls pros'!J276</f>
        <v>57.030999999999999</v>
      </c>
      <c r="L276" s="13">
        <f>'Final list of total hauls pros'!K276</f>
        <v>21.094333333333299</v>
      </c>
      <c r="M276" t="str">
        <f>'Final list of total hauls pros'!L276</f>
        <v>25-32</v>
      </c>
      <c r="N276" t="str">
        <f>Processing!I279</f>
        <v>LAT (SD 25-32)</v>
      </c>
    </row>
    <row r="277" spans="2:14" x14ac:dyDescent="0.25">
      <c r="B277">
        <f>Processing!D280</f>
        <v>28138</v>
      </c>
      <c r="C277" t="str">
        <f>Processing!F280</f>
        <v>43H1</v>
      </c>
      <c r="D277">
        <f>'Final list of total hauls pros'!C277</f>
        <v>28</v>
      </c>
      <c r="E277">
        <f>'Final list of total hauls pros'!D277</f>
        <v>57</v>
      </c>
      <c r="F277">
        <f>'Final list of total hauls pros'!E277</f>
        <v>4.05</v>
      </c>
      <c r="G277">
        <f>'Final list of total hauls pros'!F277</f>
        <v>21</v>
      </c>
      <c r="H277">
        <f>'Final list of total hauls pros'!G277</f>
        <v>7.77</v>
      </c>
      <c r="I277">
        <f>'Final list of total hauls pros'!H277</f>
        <v>2</v>
      </c>
      <c r="J277" t="str">
        <f>'Final list of total hauls pros'!I277</f>
        <v>LAT</v>
      </c>
      <c r="K277" s="13">
        <f>'Final list of total hauls pros'!J277</f>
        <v>57.067500000000003</v>
      </c>
      <c r="L277" s="13">
        <f>'Final list of total hauls pros'!K277</f>
        <v>21.1295</v>
      </c>
      <c r="M277" t="str">
        <f>'Final list of total hauls pros'!L277</f>
        <v>25-32</v>
      </c>
      <c r="N277" t="str">
        <f>Processing!I280</f>
        <v>LAT (SD 25-32)</v>
      </c>
    </row>
    <row r="278" spans="2:14" x14ac:dyDescent="0.25">
      <c r="B278">
        <f>Processing!D281</f>
        <v>28157</v>
      </c>
      <c r="C278" t="str">
        <f>Processing!F281</f>
        <v>42H0</v>
      </c>
      <c r="D278">
        <f>'Final list of total hauls pros'!C278</f>
        <v>28</v>
      </c>
      <c r="E278">
        <f>'Final list of total hauls pros'!D278</f>
        <v>56</v>
      </c>
      <c r="F278">
        <f>'Final list of total hauls pros'!E278</f>
        <v>39.380000000000003</v>
      </c>
      <c r="G278">
        <f>'Final list of total hauls pros'!F278</f>
        <v>20</v>
      </c>
      <c r="H278">
        <f>'Final list of total hauls pros'!G278</f>
        <v>45.92</v>
      </c>
      <c r="I278">
        <f>'Final list of total hauls pros'!H278</f>
        <v>2</v>
      </c>
      <c r="J278" t="str">
        <f>'Final list of total hauls pros'!I278</f>
        <v>LAT</v>
      </c>
      <c r="K278" s="13">
        <f>'Final list of total hauls pros'!J278</f>
        <v>56.656333333333301</v>
      </c>
      <c r="L278" s="13">
        <f>'Final list of total hauls pros'!K278</f>
        <v>20.765333333333299</v>
      </c>
      <c r="M278" t="str">
        <f>'Final list of total hauls pros'!L278</f>
        <v>25-32</v>
      </c>
      <c r="N278" t="str">
        <f>Processing!I281</f>
        <v>LAT (SD 25-32)</v>
      </c>
    </row>
    <row r="279" spans="2:14" x14ac:dyDescent="0.25">
      <c r="B279">
        <f>Processing!D282</f>
        <v>28161</v>
      </c>
      <c r="C279" t="str">
        <f>Processing!F282</f>
        <v>42H0</v>
      </c>
      <c r="D279">
        <f>'Final list of total hauls pros'!C279</f>
        <v>28</v>
      </c>
      <c r="E279">
        <f>'Final list of total hauls pros'!D279</f>
        <v>56</v>
      </c>
      <c r="F279">
        <f>'Final list of total hauls pros'!E279</f>
        <v>38.1</v>
      </c>
      <c r="G279">
        <f>'Final list of total hauls pros'!F279</f>
        <v>20</v>
      </c>
      <c r="H279">
        <f>'Final list of total hauls pros'!G279</f>
        <v>43.9</v>
      </c>
      <c r="I279">
        <f>'Final list of total hauls pros'!H279</f>
        <v>2</v>
      </c>
      <c r="J279" t="str">
        <f>'Final list of total hauls pros'!I279</f>
        <v>LAT</v>
      </c>
      <c r="K279" s="13">
        <f>'Final list of total hauls pros'!J279</f>
        <v>56.634999999999998</v>
      </c>
      <c r="L279" s="13">
        <f>'Final list of total hauls pros'!K279</f>
        <v>20.731666666666701</v>
      </c>
      <c r="M279" t="str">
        <f>'Final list of total hauls pros'!L279</f>
        <v>25-32</v>
      </c>
      <c r="N279" t="str">
        <f>Processing!I282</f>
        <v>LAT (SD 25-32)</v>
      </c>
    </row>
    <row r="280" spans="2:14" x14ac:dyDescent="0.25">
      <c r="B280">
        <f>Processing!D283</f>
        <v>28190</v>
      </c>
      <c r="C280" t="str">
        <f>Processing!F283</f>
        <v>44H0</v>
      </c>
      <c r="D280">
        <f>'Final list of total hauls pros'!C280</f>
        <v>28</v>
      </c>
      <c r="E280">
        <f>'Final list of total hauls pros'!D280</f>
        <v>57</v>
      </c>
      <c r="F280">
        <f>'Final list of total hauls pros'!E280</f>
        <v>58.9</v>
      </c>
      <c r="G280">
        <f>'Final list of total hauls pros'!F280</f>
        <v>20</v>
      </c>
      <c r="H280">
        <f>'Final list of total hauls pros'!G280</f>
        <v>58.43</v>
      </c>
      <c r="I280">
        <f>'Final list of total hauls pros'!H280</f>
        <v>5</v>
      </c>
      <c r="J280" t="str">
        <f>'Final list of total hauls pros'!I280</f>
        <v>EST</v>
      </c>
      <c r="K280" s="13">
        <f>'Final list of total hauls pros'!J280</f>
        <v>57.981666666666698</v>
      </c>
      <c r="L280" s="13">
        <f>'Final list of total hauls pros'!K280</f>
        <v>20.9738333333333</v>
      </c>
      <c r="M280" t="str">
        <f>'Final list of total hauls pros'!L280</f>
        <v>25-32</v>
      </c>
      <c r="N280" t="str">
        <f>Processing!I283</f>
        <v>LAT (SD 25-32)</v>
      </c>
    </row>
    <row r="281" spans="2:14" x14ac:dyDescent="0.25">
      <c r="B281">
        <f>Processing!D284</f>
        <v>24008</v>
      </c>
      <c r="C281" t="str">
        <f>Processing!F284</f>
        <v>38G3</v>
      </c>
      <c r="D281">
        <f>'Final list of total hauls pros'!C281</f>
        <v>24</v>
      </c>
      <c r="E281">
        <f>'Final list of total hauls pros'!D281</f>
        <v>54</v>
      </c>
      <c r="F281">
        <f>'Final list of total hauls pros'!E281</f>
        <v>30.01</v>
      </c>
      <c r="G281">
        <f>'Final list of total hauls pros'!F281</f>
        <v>13</v>
      </c>
      <c r="H281">
        <f>'Final list of total hauls pros'!G281</f>
        <v>58.73</v>
      </c>
      <c r="I281">
        <f>'Final list of total hauls pros'!H281</f>
        <v>2</v>
      </c>
      <c r="J281" t="str">
        <f>'Final list of total hauls pros'!I281</f>
        <v>GFR</v>
      </c>
      <c r="K281" s="13">
        <f>'Final list of total hauls pros'!J281</f>
        <v>54.500166666666701</v>
      </c>
      <c r="L281" s="13">
        <f>'Final list of total hauls pros'!K281</f>
        <v>13.9788333333333</v>
      </c>
      <c r="M281" t="str">
        <f>'Final list of total hauls pros'!L281</f>
        <v>21-24</v>
      </c>
      <c r="N281" t="str">
        <f>Processing!I284</f>
        <v>GFR (SD 21-24)</v>
      </c>
    </row>
    <row r="282" spans="2:14" x14ac:dyDescent="0.25">
      <c r="B282">
        <f>Processing!D285</f>
        <v>24009</v>
      </c>
      <c r="C282" t="str">
        <f>Processing!F285</f>
        <v>38G3</v>
      </c>
      <c r="D282">
        <f>'Final list of total hauls pros'!C282</f>
        <v>24</v>
      </c>
      <c r="E282">
        <f>'Final list of total hauls pros'!D282</f>
        <v>54</v>
      </c>
      <c r="F282">
        <f>'Final list of total hauls pros'!E282</f>
        <v>31.54</v>
      </c>
      <c r="G282">
        <f>'Final list of total hauls pros'!F282</f>
        <v>13</v>
      </c>
      <c r="H282">
        <f>'Final list of total hauls pros'!G282</f>
        <v>57.76</v>
      </c>
      <c r="I282">
        <f>'Final list of total hauls pros'!H282</f>
        <v>2</v>
      </c>
      <c r="J282" t="str">
        <f>'Final list of total hauls pros'!I282</f>
        <v>GFR</v>
      </c>
      <c r="K282" s="13">
        <f>'Final list of total hauls pros'!J282</f>
        <v>54.525666666666702</v>
      </c>
      <c r="L282" s="13">
        <f>'Final list of total hauls pros'!K282</f>
        <v>13.962666666666699</v>
      </c>
      <c r="M282" t="str">
        <f>'Final list of total hauls pros'!L282</f>
        <v>21-24</v>
      </c>
      <c r="N282" t="str">
        <f>Processing!I285</f>
        <v>GFR (SD 21-24)</v>
      </c>
    </row>
    <row r="283" spans="2:14" x14ac:dyDescent="0.25">
      <c r="B283">
        <f>Processing!D286</f>
        <v>24021</v>
      </c>
      <c r="C283" t="str">
        <f>Processing!F286</f>
        <v>38G3</v>
      </c>
      <c r="D283">
        <f>'Final list of total hauls pros'!C283</f>
        <v>24</v>
      </c>
      <c r="E283">
        <f>'Final list of total hauls pros'!D283</f>
        <v>54</v>
      </c>
      <c r="F283">
        <f>'Final list of total hauls pros'!E283</f>
        <v>29.57</v>
      </c>
      <c r="G283">
        <f>'Final list of total hauls pros'!F283</f>
        <v>13</v>
      </c>
      <c r="H283">
        <f>'Final list of total hauls pros'!G283</f>
        <v>43.66</v>
      </c>
      <c r="I283">
        <f>'Final list of total hauls pros'!H283</f>
        <v>2</v>
      </c>
      <c r="J283" t="str">
        <f>'Final list of total hauls pros'!I283</f>
        <v>GFR</v>
      </c>
      <c r="K283" s="13">
        <f>'Final list of total hauls pros'!J283</f>
        <v>54.492833333333301</v>
      </c>
      <c r="L283" s="13">
        <f>'Final list of total hauls pros'!K283</f>
        <v>13.7276666666667</v>
      </c>
      <c r="M283" t="str">
        <f>'Final list of total hauls pros'!L283</f>
        <v>21-24</v>
      </c>
      <c r="N283" t="str">
        <f>Processing!I286</f>
        <v>GFR (SD 21-24)</v>
      </c>
    </row>
    <row r="284" spans="2:14" x14ac:dyDescent="0.25">
      <c r="B284">
        <f>Processing!D287</f>
        <v>24280</v>
      </c>
      <c r="C284" t="str">
        <f>Processing!F287</f>
        <v>38G2</v>
      </c>
      <c r="D284">
        <f>'Final list of total hauls pros'!C284</f>
        <v>24</v>
      </c>
      <c r="E284">
        <f>'Final list of total hauls pros'!D284</f>
        <v>54</v>
      </c>
      <c r="F284">
        <f>'Final list of total hauls pros'!E284</f>
        <v>41.32</v>
      </c>
      <c r="G284">
        <f>'Final list of total hauls pros'!F284</f>
        <v>12</v>
      </c>
      <c r="H284">
        <f>'Final list of total hauls pros'!G284</f>
        <v>11.83</v>
      </c>
      <c r="I284">
        <f>'Final list of total hauls pros'!H284</f>
        <v>2</v>
      </c>
      <c r="J284" t="str">
        <f>'Final list of total hauls pros'!I284</f>
        <v>DEN</v>
      </c>
      <c r="K284" s="13">
        <f>'Final list of total hauls pros'!J284</f>
        <v>54.688666666666698</v>
      </c>
      <c r="L284" s="13">
        <f>'Final list of total hauls pros'!K284</f>
        <v>12.1971666666667</v>
      </c>
      <c r="M284" t="str">
        <f>'Final list of total hauls pros'!L284</f>
        <v>21-24</v>
      </c>
      <c r="N284" t="str">
        <f>Processing!I287</f>
        <v>GFR (SD 21-24)</v>
      </c>
    </row>
    <row r="285" spans="2:14" x14ac:dyDescent="0.25">
      <c r="B285">
        <f>Processing!D288</f>
        <v>24281</v>
      </c>
      <c r="C285" t="str">
        <f>Processing!F288</f>
        <v>38G2</v>
      </c>
      <c r="D285">
        <f>'Final list of total hauls pros'!C285</f>
        <v>24</v>
      </c>
      <c r="E285">
        <f>'Final list of total hauls pros'!D285</f>
        <v>54</v>
      </c>
      <c r="F285">
        <f>'Final list of total hauls pros'!E285</f>
        <v>50.68</v>
      </c>
      <c r="G285">
        <f>'Final list of total hauls pros'!F285</f>
        <v>12</v>
      </c>
      <c r="H285">
        <f>'Final list of total hauls pros'!G285</f>
        <v>40.729999999999997</v>
      </c>
      <c r="I285">
        <f>'Final list of total hauls pros'!H285</f>
        <v>2</v>
      </c>
      <c r="J285" t="str">
        <f>'Final list of total hauls pros'!I285</f>
        <v>DEN</v>
      </c>
      <c r="K285" s="13">
        <f>'Final list of total hauls pros'!J285</f>
        <v>54.844666666666697</v>
      </c>
      <c r="L285" s="13">
        <f>'Final list of total hauls pros'!K285</f>
        <v>12.6788333333333</v>
      </c>
      <c r="M285" t="str">
        <f>'Final list of total hauls pros'!L285</f>
        <v>21-24</v>
      </c>
      <c r="N285" t="str">
        <f>Processing!I288</f>
        <v>GFR (SD 21-24)</v>
      </c>
    </row>
    <row r="286" spans="2:14" x14ac:dyDescent="0.25">
      <c r="B286">
        <f>Processing!D289</f>
        <v>25380</v>
      </c>
      <c r="C286" t="str">
        <f>Processing!F289</f>
        <v>40G6</v>
      </c>
      <c r="D286">
        <f>'Final list of total hauls pros'!C286</f>
        <v>25</v>
      </c>
      <c r="E286">
        <f>'Final list of total hauls pros'!D286</f>
        <v>55</v>
      </c>
      <c r="F286">
        <f>'Final list of total hauls pros'!E286</f>
        <v>38.5</v>
      </c>
      <c r="G286">
        <f>'Final list of total hauls pros'!F286</f>
        <v>17</v>
      </c>
      <c r="H286">
        <f>'Final list of total hauls pros'!G286</f>
        <v>37.799999999999997</v>
      </c>
      <c r="I286">
        <f>'Final list of total hauls pros'!H286</f>
        <v>3</v>
      </c>
      <c r="J286" t="str">
        <f>'Final list of total hauls pros'!I286</f>
        <v>POL</v>
      </c>
      <c r="K286" s="13">
        <f>'Final list of total hauls pros'!J286</f>
        <v>55.641666666666701</v>
      </c>
      <c r="L286" s="13">
        <f>'Final list of total hauls pros'!K286</f>
        <v>17.63</v>
      </c>
      <c r="M286" t="str">
        <f>'Final list of total hauls pros'!L286</f>
        <v>25-32</v>
      </c>
      <c r="N286" t="str">
        <f>Processing!I289</f>
        <v>DEN (SD 25-32)</v>
      </c>
    </row>
    <row r="287" spans="2:14" x14ac:dyDescent="0.25">
      <c r="B287">
        <f>Processing!D290</f>
        <v>25403</v>
      </c>
      <c r="C287" t="str">
        <f>Processing!F290</f>
        <v>40G6</v>
      </c>
      <c r="D287">
        <f>'Final list of total hauls pros'!C287</f>
        <v>25</v>
      </c>
      <c r="E287">
        <f>'Final list of total hauls pros'!D287</f>
        <v>55</v>
      </c>
      <c r="F287">
        <f>'Final list of total hauls pros'!E287</f>
        <v>51.93</v>
      </c>
      <c r="G287">
        <f>'Final list of total hauls pros'!F287</f>
        <v>16</v>
      </c>
      <c r="H287">
        <f>'Final list of total hauls pros'!G287</f>
        <v>26.14</v>
      </c>
      <c r="I287">
        <f>'Final list of total hauls pros'!H287</f>
        <v>3</v>
      </c>
      <c r="J287" t="str">
        <f>'Final list of total hauls pros'!I287</f>
        <v>SWE</v>
      </c>
      <c r="K287" s="13">
        <f>'Final list of total hauls pros'!J287</f>
        <v>55.865499999999997</v>
      </c>
      <c r="L287" s="13">
        <f>'Final list of total hauls pros'!K287</f>
        <v>16.435666666666702</v>
      </c>
      <c r="M287" t="str">
        <f>'Final list of total hauls pros'!L287</f>
        <v>25-32</v>
      </c>
      <c r="N287" t="str">
        <f>Processing!I290</f>
        <v>SWE (SD 25-32)</v>
      </c>
    </row>
    <row r="288" spans="2:14" x14ac:dyDescent="0.25">
      <c r="B288">
        <f>Processing!D291</f>
        <v>25416</v>
      </c>
      <c r="C288" t="str">
        <f>Processing!F291</f>
        <v>40G4</v>
      </c>
      <c r="D288">
        <f>'Final list of total hauls pros'!C288</f>
        <v>25</v>
      </c>
      <c r="E288">
        <f>'Final list of total hauls pros'!D288</f>
        <v>55</v>
      </c>
      <c r="F288">
        <f>'Final list of total hauls pros'!E288</f>
        <v>41.56</v>
      </c>
      <c r="G288">
        <f>'Final list of total hauls pros'!F288</f>
        <v>14</v>
      </c>
      <c r="H288">
        <f>'Final list of total hauls pros'!G288</f>
        <v>22.75</v>
      </c>
      <c r="I288">
        <f>'Final list of total hauls pros'!H288</f>
        <v>3</v>
      </c>
      <c r="J288" t="str">
        <f>'Final list of total hauls pros'!I288</f>
        <v>SWE</v>
      </c>
      <c r="K288" s="13">
        <f>'Final list of total hauls pros'!J288</f>
        <v>55.692666666666703</v>
      </c>
      <c r="L288" s="13">
        <f>'Final list of total hauls pros'!K288</f>
        <v>14.3791666666667</v>
      </c>
      <c r="M288" t="str">
        <f>'Final list of total hauls pros'!L288</f>
        <v>25-32</v>
      </c>
      <c r="N288" t="str">
        <f>Processing!I291</f>
        <v>SWE (SD 25-32)</v>
      </c>
    </row>
    <row r="289" spans="2:14" x14ac:dyDescent="0.25">
      <c r="B289">
        <f>Processing!D292</f>
        <v>25421</v>
      </c>
      <c r="C289" t="str">
        <f>Processing!F292</f>
        <v>40G4</v>
      </c>
      <c r="D289">
        <f>'Final list of total hauls pros'!C289</f>
        <v>25</v>
      </c>
      <c r="E289">
        <f>'Final list of total hauls pros'!D289</f>
        <v>55</v>
      </c>
      <c r="F289">
        <f>'Final list of total hauls pros'!E289</f>
        <v>41.2</v>
      </c>
      <c r="G289">
        <f>'Final list of total hauls pros'!F289</f>
        <v>14</v>
      </c>
      <c r="H289">
        <f>'Final list of total hauls pros'!G289</f>
        <v>27.3</v>
      </c>
      <c r="I289">
        <f>'Final list of total hauls pros'!H289</f>
        <v>3</v>
      </c>
      <c r="J289" t="str">
        <f>'Final list of total hauls pros'!I289</f>
        <v>SWE</v>
      </c>
      <c r="K289" s="13">
        <f>'Final list of total hauls pros'!J289</f>
        <v>55.686666666666703</v>
      </c>
      <c r="L289" s="13">
        <f>'Final list of total hauls pros'!K289</f>
        <v>14.455</v>
      </c>
      <c r="M289" t="str">
        <f>'Final list of total hauls pros'!L289</f>
        <v>25-32</v>
      </c>
      <c r="N289" t="str">
        <f>Processing!I292</f>
        <v>SWE (SD 25-32)</v>
      </c>
    </row>
    <row r="290" spans="2:14" x14ac:dyDescent="0.25">
      <c r="B290">
        <f>Processing!D293</f>
        <v>26086</v>
      </c>
      <c r="C290" t="str">
        <f>Processing!F293</f>
        <v>38G8</v>
      </c>
      <c r="D290">
        <f>'Final list of total hauls pros'!C290</f>
        <v>26</v>
      </c>
      <c r="E290">
        <f>'Final list of total hauls pros'!D290</f>
        <v>54</v>
      </c>
      <c r="F290">
        <f>'Final list of total hauls pros'!E290</f>
        <v>58.5</v>
      </c>
      <c r="G290">
        <f>'Final list of total hauls pros'!F290</f>
        <v>18</v>
      </c>
      <c r="H290">
        <f>'Final list of total hauls pros'!G290</f>
        <v>48</v>
      </c>
      <c r="I290">
        <f>'Final list of total hauls pros'!H290</f>
        <v>5</v>
      </c>
      <c r="J290" t="str">
        <f>'Final list of total hauls pros'!I290</f>
        <v>POL</v>
      </c>
      <c r="K290" s="13">
        <f>'Final list of total hauls pros'!J290</f>
        <v>54.975000000000001</v>
      </c>
      <c r="L290" s="13">
        <f>'Final list of total hauls pros'!K290</f>
        <v>18.8</v>
      </c>
      <c r="M290" t="str">
        <f>'Final list of total hauls pros'!L290</f>
        <v>25-32</v>
      </c>
      <c r="N290" t="str">
        <f>Processing!I293</f>
        <v>POL (SD 25-32)</v>
      </c>
    </row>
    <row r="291" spans="2:14" x14ac:dyDescent="0.25">
      <c r="B291">
        <f>Processing!D294</f>
        <v>26160</v>
      </c>
      <c r="C291" t="str">
        <f>Processing!F294</f>
        <v>41H0</v>
      </c>
      <c r="D291">
        <f>'Final list of total hauls pros'!C291</f>
        <v>26</v>
      </c>
      <c r="E291">
        <f>'Final list of total hauls pros'!D291</f>
        <v>56</v>
      </c>
      <c r="F291">
        <f>'Final list of total hauls pros'!E291</f>
        <v>28.864999999999998</v>
      </c>
      <c r="G291">
        <f>'Final list of total hauls pros'!F291</f>
        <v>20</v>
      </c>
      <c r="H291">
        <f>'Final list of total hauls pros'!G291</f>
        <v>7.94</v>
      </c>
      <c r="I291">
        <f>'Final list of total hauls pros'!H291</f>
        <v>5</v>
      </c>
      <c r="J291" t="str">
        <f>'Final list of total hauls pros'!I291</f>
        <v>LAT</v>
      </c>
      <c r="K291" s="13">
        <f>'Final list of total hauls pros'!J291</f>
        <v>56.481083333333302</v>
      </c>
      <c r="L291" s="13">
        <f>'Final list of total hauls pros'!K291</f>
        <v>20.1323333333333</v>
      </c>
      <c r="M291" t="str">
        <f>'Final list of total hauls pros'!L291</f>
        <v>25-32</v>
      </c>
      <c r="N291" t="str">
        <f>Processing!I294</f>
        <v>POL (SD 25-32)</v>
      </c>
    </row>
    <row r="292" spans="2:14" x14ac:dyDescent="0.25">
      <c r="B292">
        <f>Processing!D295</f>
        <v>26164</v>
      </c>
      <c r="C292" t="str">
        <f>Processing!F295</f>
        <v>40G8</v>
      </c>
      <c r="D292">
        <f>'Final list of total hauls pros'!C292</f>
        <v>26</v>
      </c>
      <c r="E292">
        <f>'Final list of total hauls pros'!D292</f>
        <v>55</v>
      </c>
      <c r="F292">
        <f>'Final list of total hauls pros'!E292</f>
        <v>31.7</v>
      </c>
      <c r="G292">
        <f>'Final list of total hauls pros'!F292</f>
        <v>18</v>
      </c>
      <c r="H292">
        <f>'Final list of total hauls pros'!G292</f>
        <v>33</v>
      </c>
      <c r="I292">
        <f>'Final list of total hauls pros'!H292</f>
        <v>5</v>
      </c>
      <c r="J292" t="str">
        <f>'Final list of total hauls pros'!I292</f>
        <v>POL</v>
      </c>
      <c r="K292" s="13">
        <f>'Final list of total hauls pros'!J292</f>
        <v>55.5283333333333</v>
      </c>
      <c r="L292" s="13">
        <f>'Final list of total hauls pros'!K292</f>
        <v>18.55</v>
      </c>
      <c r="M292" t="str">
        <f>'Final list of total hauls pros'!L292</f>
        <v>25-32</v>
      </c>
      <c r="N292" t="str">
        <f>Processing!I295</f>
        <v>DEN (SD 25-32)</v>
      </c>
    </row>
    <row r="293" spans="2:14" x14ac:dyDescent="0.25">
      <c r="B293">
        <f>Processing!D296</f>
        <v>26287</v>
      </c>
      <c r="C293" t="str">
        <f>Processing!F296</f>
        <v>38G9</v>
      </c>
      <c r="D293">
        <f>'Final list of total hauls pros'!C293</f>
        <v>26</v>
      </c>
      <c r="E293">
        <f>'Final list of total hauls pros'!D293</f>
        <v>54</v>
      </c>
      <c r="F293">
        <f>'Final list of total hauls pros'!E293</f>
        <v>36.700000000000003</v>
      </c>
      <c r="G293">
        <f>'Final list of total hauls pros'!F293</f>
        <v>19</v>
      </c>
      <c r="H293">
        <f>'Final list of total hauls pros'!G293</f>
        <v>2.1</v>
      </c>
      <c r="I293">
        <f>'Final list of total hauls pros'!H293</f>
        <v>5</v>
      </c>
      <c r="J293" t="str">
        <f>'Final list of total hauls pros'!I293</f>
        <v>POL</v>
      </c>
      <c r="K293" s="13">
        <f>'Final list of total hauls pros'!J293</f>
        <v>54.6116666666667</v>
      </c>
      <c r="L293" s="13">
        <f>'Final list of total hauls pros'!K293</f>
        <v>19.035</v>
      </c>
      <c r="M293" t="str">
        <f>'Final list of total hauls pros'!L293</f>
        <v>25-32</v>
      </c>
      <c r="N293" t="str">
        <f>Processing!I296</f>
        <v>POL (SD 25-32)</v>
      </c>
    </row>
    <row r="294" spans="2:14" x14ac:dyDescent="0.25">
      <c r="B294">
        <f>Processing!D297</f>
        <v>28011</v>
      </c>
      <c r="C294" t="str">
        <f>Processing!F297</f>
        <v>42H0</v>
      </c>
      <c r="D294">
        <f>'Final list of total hauls pros'!C294</f>
        <v>28</v>
      </c>
      <c r="E294">
        <f>'Final list of total hauls pros'!D294</f>
        <v>56</v>
      </c>
      <c r="F294">
        <f>'Final list of total hauls pros'!E294</f>
        <v>37.799999999999997</v>
      </c>
      <c r="G294">
        <f>'Final list of total hauls pros'!F294</f>
        <v>20</v>
      </c>
      <c r="H294">
        <f>'Final list of total hauls pros'!G294</f>
        <v>38</v>
      </c>
      <c r="I294">
        <f>'Final list of total hauls pros'!H294</f>
        <v>3</v>
      </c>
      <c r="J294" t="str">
        <f>'Final list of total hauls pros'!I294</f>
        <v>LAT</v>
      </c>
      <c r="K294" s="13">
        <f>'Final list of total hauls pros'!J294</f>
        <v>56.63</v>
      </c>
      <c r="L294" s="13">
        <f>'Final list of total hauls pros'!K294</f>
        <v>20.633333333333301</v>
      </c>
      <c r="M294" t="str">
        <f>'Final list of total hauls pros'!L294</f>
        <v>25-32</v>
      </c>
      <c r="N294" t="str">
        <f>Processing!I297</f>
        <v>LAT (SD 25-32)</v>
      </c>
    </row>
    <row r="295" spans="2:14" x14ac:dyDescent="0.25">
      <c r="B295">
        <f>Processing!D298</f>
        <v>28160</v>
      </c>
      <c r="C295" t="str">
        <f>Processing!F298</f>
        <v>42H0</v>
      </c>
      <c r="D295">
        <f>'Final list of total hauls pros'!C295</f>
        <v>28</v>
      </c>
      <c r="E295">
        <f>'Final list of total hauls pros'!D295</f>
        <v>56</v>
      </c>
      <c r="F295">
        <f>'Final list of total hauls pros'!E295</f>
        <v>36.49</v>
      </c>
      <c r="G295">
        <f>'Final list of total hauls pros'!F295</f>
        <v>20</v>
      </c>
      <c r="H295">
        <f>'Final list of total hauls pros'!G295</f>
        <v>41.28</v>
      </c>
      <c r="I295">
        <f>'Final list of total hauls pros'!H295</f>
        <v>3</v>
      </c>
      <c r="J295" t="str">
        <f>'Final list of total hauls pros'!I295</f>
        <v>LAT</v>
      </c>
      <c r="K295" s="13">
        <f>'Final list of total hauls pros'!J295</f>
        <v>56.608166666666698</v>
      </c>
      <c r="L295" s="13">
        <f>'Final list of total hauls pros'!K295</f>
        <v>20.687999999999999</v>
      </c>
      <c r="M295" t="str">
        <f>'Final list of total hauls pros'!L295</f>
        <v>25-32</v>
      </c>
      <c r="N295" t="str">
        <f>Processing!I298</f>
        <v>LAT (SD 25-32)</v>
      </c>
    </row>
    <row r="296" spans="2:14" x14ac:dyDescent="0.25">
      <c r="B296">
        <f>Processing!D299</f>
        <v>28173</v>
      </c>
      <c r="C296" t="str">
        <f>Processing!F299</f>
        <v>42H0</v>
      </c>
      <c r="D296">
        <f>'Final list of total hauls pros'!C296</f>
        <v>28</v>
      </c>
      <c r="E296">
        <f>'Final list of total hauls pros'!D296</f>
        <v>56</v>
      </c>
      <c r="F296">
        <f>'Final list of total hauls pros'!E296</f>
        <v>38.85</v>
      </c>
      <c r="G296">
        <f>'Final list of total hauls pros'!F296</f>
        <v>20</v>
      </c>
      <c r="H296">
        <f>'Final list of total hauls pros'!G296</f>
        <v>36.28</v>
      </c>
      <c r="I296">
        <f>'Final list of total hauls pros'!H296</f>
        <v>3</v>
      </c>
      <c r="J296" t="str">
        <f>'Final list of total hauls pros'!I296</f>
        <v>LAT</v>
      </c>
      <c r="K296" s="13">
        <f>'Final list of total hauls pros'!J296</f>
        <v>56.647500000000001</v>
      </c>
      <c r="L296" s="13">
        <f>'Final list of total hauls pros'!K296</f>
        <v>20.604666666666699</v>
      </c>
      <c r="M296" t="str">
        <f>'Final list of total hauls pros'!L296</f>
        <v>25-32</v>
      </c>
      <c r="N296" t="str">
        <f>Processing!I299</f>
        <v>LAT (SD 25-32)</v>
      </c>
    </row>
    <row r="297" spans="2:14" x14ac:dyDescent="0.25">
      <c r="B297">
        <f>Processing!D300</f>
        <v>0</v>
      </c>
      <c r="C297">
        <f>Processing!F300</f>
        <v>0</v>
      </c>
      <c r="D297">
        <f>'Final list of total hauls pros'!C297</f>
        <v>0</v>
      </c>
      <c r="E297">
        <f>'Final list of total hauls pros'!D297</f>
        <v>0</v>
      </c>
      <c r="F297">
        <f>'Final list of total hauls pros'!E297</f>
        <v>0</v>
      </c>
      <c r="G297">
        <f>'Final list of total hauls pros'!F297</f>
        <v>0</v>
      </c>
      <c r="H297">
        <f>'Final list of total hauls pros'!G297</f>
        <v>0</v>
      </c>
      <c r="I297">
        <f>'Final list of total hauls pros'!H297</f>
        <v>0</v>
      </c>
      <c r="J297">
        <f>'Final list of total hauls pros'!I297</f>
        <v>0</v>
      </c>
      <c r="K297" s="13">
        <f>'Final list of total hauls pros'!J297</f>
        <v>0</v>
      </c>
      <c r="L297" s="13">
        <f>'Final list of total hauls pros'!K297</f>
        <v>0</v>
      </c>
      <c r="M297">
        <f>'Final list of total hauls pros'!L297</f>
        <v>0</v>
      </c>
      <c r="N297">
        <f>Processing!I300</f>
        <v>0</v>
      </c>
    </row>
    <row r="298" spans="2:14" x14ac:dyDescent="0.25">
      <c r="B298">
        <f>Processing!D301</f>
        <v>0</v>
      </c>
      <c r="C298">
        <f>Processing!F301</f>
        <v>0</v>
      </c>
      <c r="D298">
        <f>'Final list of total hauls pros'!C298</f>
        <v>0</v>
      </c>
      <c r="E298">
        <f>'Final list of total hauls pros'!D298</f>
        <v>0</v>
      </c>
      <c r="F298">
        <f>'Final list of total hauls pros'!E298</f>
        <v>0</v>
      </c>
      <c r="G298">
        <f>'Final list of total hauls pros'!F298</f>
        <v>0</v>
      </c>
      <c r="H298">
        <f>'Final list of total hauls pros'!G298</f>
        <v>0</v>
      </c>
      <c r="I298">
        <f>'Final list of total hauls pros'!H298</f>
        <v>0</v>
      </c>
      <c r="J298">
        <f>'Final list of total hauls pros'!I298</f>
        <v>0</v>
      </c>
      <c r="K298" s="13">
        <f>'Final list of total hauls pros'!J298</f>
        <v>0</v>
      </c>
      <c r="L298" s="13">
        <f>'Final list of total hauls pros'!K298</f>
        <v>0</v>
      </c>
      <c r="M298">
        <f>'Final list of total hauls pros'!L298</f>
        <v>0</v>
      </c>
      <c r="N298">
        <f>Processing!I301</f>
        <v>0</v>
      </c>
    </row>
    <row r="299" spans="2:14" x14ac:dyDescent="0.25">
      <c r="B299">
        <f>Processing!D302</f>
        <v>0</v>
      </c>
      <c r="C299">
        <f>Processing!F302</f>
        <v>0</v>
      </c>
      <c r="D299">
        <f>'Final list of total hauls pros'!C299</f>
        <v>0</v>
      </c>
      <c r="E299">
        <f>'Final list of total hauls pros'!D299</f>
        <v>0</v>
      </c>
      <c r="F299">
        <f>'Final list of total hauls pros'!E299</f>
        <v>0</v>
      </c>
      <c r="G299">
        <f>'Final list of total hauls pros'!F299</f>
        <v>0</v>
      </c>
      <c r="H299">
        <f>'Final list of total hauls pros'!G299</f>
        <v>0</v>
      </c>
      <c r="I299">
        <f>'Final list of total hauls pros'!H299</f>
        <v>0</v>
      </c>
      <c r="J299">
        <f>'Final list of total hauls pros'!I299</f>
        <v>0</v>
      </c>
      <c r="K299" s="13">
        <f>'Final list of total hauls pros'!J299</f>
        <v>0</v>
      </c>
      <c r="L299" s="13">
        <f>'Final list of total hauls pros'!K299</f>
        <v>0</v>
      </c>
      <c r="M299">
        <f>'Final list of total hauls pros'!L299</f>
        <v>0</v>
      </c>
      <c r="N299">
        <f>Processing!I302</f>
        <v>0</v>
      </c>
    </row>
    <row r="300" spans="2:14" x14ac:dyDescent="0.25">
      <c r="B300">
        <f>Processing!D303</f>
        <v>0</v>
      </c>
      <c r="C300">
        <f>Processing!F303</f>
        <v>0</v>
      </c>
      <c r="D300">
        <f>'Final list of total hauls pros'!C300</f>
        <v>0</v>
      </c>
      <c r="E300">
        <f>'Final list of total hauls pros'!D300</f>
        <v>0</v>
      </c>
      <c r="F300">
        <f>'Final list of total hauls pros'!E300</f>
        <v>0</v>
      </c>
      <c r="G300">
        <f>'Final list of total hauls pros'!F300</f>
        <v>0</v>
      </c>
      <c r="H300">
        <f>'Final list of total hauls pros'!G300</f>
        <v>0</v>
      </c>
      <c r="I300">
        <f>'Final list of total hauls pros'!H300</f>
        <v>0</v>
      </c>
      <c r="J300">
        <f>'Final list of total hauls pros'!I300</f>
        <v>0</v>
      </c>
      <c r="K300" s="13">
        <f>'Final list of total hauls pros'!J300</f>
        <v>0</v>
      </c>
      <c r="L300" s="13">
        <f>'Final list of total hauls pros'!K300</f>
        <v>0</v>
      </c>
      <c r="M300">
        <f>'Final list of total hauls pros'!L300</f>
        <v>0</v>
      </c>
      <c r="N300">
        <f>Processing!I303</f>
        <v>0</v>
      </c>
    </row>
    <row r="301" spans="2:14" x14ac:dyDescent="0.25">
      <c r="B301">
        <f>Processing!D304</f>
        <v>0</v>
      </c>
      <c r="C301">
        <f>Processing!F304</f>
        <v>0</v>
      </c>
      <c r="D301">
        <f>'Final list of total hauls pros'!C301</f>
        <v>0</v>
      </c>
      <c r="E301">
        <f>'Final list of total hauls pros'!D301</f>
        <v>0</v>
      </c>
      <c r="F301">
        <f>'Final list of total hauls pros'!E301</f>
        <v>0</v>
      </c>
      <c r="G301">
        <f>'Final list of total hauls pros'!F301</f>
        <v>0</v>
      </c>
      <c r="H301">
        <f>'Final list of total hauls pros'!G301</f>
        <v>0</v>
      </c>
      <c r="I301">
        <f>'Final list of total hauls pros'!H301</f>
        <v>0</v>
      </c>
      <c r="J301">
        <f>'Final list of total hauls pros'!I301</f>
        <v>0</v>
      </c>
      <c r="K301" s="13">
        <f>'Final list of total hauls pros'!J301</f>
        <v>0</v>
      </c>
      <c r="L301" s="13">
        <f>'Final list of total hauls pros'!K301</f>
        <v>0</v>
      </c>
      <c r="M301">
        <f>'Final list of total hauls pros'!L301</f>
        <v>0</v>
      </c>
      <c r="N301">
        <f>Processing!I304</f>
        <v>0</v>
      </c>
    </row>
    <row r="302" spans="2:14" x14ac:dyDescent="0.25">
      <c r="B302">
        <f>Processing!D305</f>
        <v>0</v>
      </c>
      <c r="C302">
        <f>Processing!F305</f>
        <v>0</v>
      </c>
      <c r="D302">
        <f>'Final list of total hauls pros'!C302</f>
        <v>0</v>
      </c>
      <c r="E302">
        <f>'Final list of total hauls pros'!D302</f>
        <v>0</v>
      </c>
      <c r="F302">
        <f>'Final list of total hauls pros'!E302</f>
        <v>0</v>
      </c>
      <c r="G302">
        <f>'Final list of total hauls pros'!F302</f>
        <v>0</v>
      </c>
      <c r="H302">
        <f>'Final list of total hauls pros'!G302</f>
        <v>0</v>
      </c>
      <c r="I302">
        <f>'Final list of total hauls pros'!H302</f>
        <v>0</v>
      </c>
      <c r="J302">
        <f>'Final list of total hauls pros'!I302</f>
        <v>0</v>
      </c>
      <c r="K302" s="13">
        <f>'Final list of total hauls pros'!J302</f>
        <v>0</v>
      </c>
      <c r="L302" s="13">
        <f>'Final list of total hauls pros'!K302</f>
        <v>0</v>
      </c>
      <c r="M302">
        <f>'Final list of total hauls pros'!L302</f>
        <v>0</v>
      </c>
      <c r="N302">
        <f>Processing!I305</f>
        <v>0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4"/>
  <sheetViews>
    <sheetView topLeftCell="A269" workbookViewId="0">
      <selection sqref="A1:N298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51</v>
      </c>
      <c r="B1" t="str">
        <f>CONCATENATE('Cover sheet'!B3,". ","quarter ",'Cover sheet'!B2)</f>
        <v>1. quarter 2022</v>
      </c>
      <c r="C1" s="28"/>
    </row>
    <row r="3" spans="1:14" x14ac:dyDescent="0.25">
      <c r="B3" t="str">
        <f>Processing!D4</f>
        <v>NrHaul</v>
      </c>
      <c r="C3" t="str">
        <f>Processing!F4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25">
      <c r="B4">
        <f>Processing!D5</f>
        <v>22002</v>
      </c>
      <c r="C4" t="str">
        <f>Processing!F5</f>
        <v>37G1</v>
      </c>
      <c r="D4">
        <f>'Final list of total hauls pros'!C2</f>
        <v>22</v>
      </c>
      <c r="E4">
        <f>'Final list of total hauls pros'!D2</f>
        <v>54</v>
      </c>
      <c r="F4">
        <f>'Final list of total hauls pros'!E2</f>
        <v>11.27</v>
      </c>
      <c r="G4">
        <f>'Final list of total hauls pros'!F2</f>
        <v>11</v>
      </c>
      <c r="H4">
        <f>'Final list of total hauls pros'!G2</f>
        <v>55.26</v>
      </c>
      <c r="I4">
        <f>'Final list of total hauls pros'!H2</f>
        <v>2</v>
      </c>
      <c r="J4" t="str">
        <f>'Final list of total hauls pros'!I2</f>
        <v>GFR</v>
      </c>
      <c r="K4" s="13">
        <f>'Final list of total hauls pros'!J2</f>
        <v>54.187833333333302</v>
      </c>
      <c r="L4" s="13">
        <f>'Final list of total hauls pros'!K2</f>
        <v>11.920999999999999</v>
      </c>
      <c r="M4" t="str">
        <f>'Final list of total hauls pros'!L2</f>
        <v>21-24</v>
      </c>
      <c r="N4" t="str">
        <f>Processing!I5</f>
        <v>GFR (SD 21-24)</v>
      </c>
    </row>
    <row r="5" spans="1:14" x14ac:dyDescent="0.25">
      <c r="B5">
        <f>Processing!D6</f>
        <v>22008</v>
      </c>
      <c r="C5" t="str">
        <f>Processing!F6</f>
        <v>37G1</v>
      </c>
      <c r="D5">
        <f>'Final list of total hauls pros'!C3</f>
        <v>22</v>
      </c>
      <c r="E5">
        <f>'Final list of total hauls pros'!D3</f>
        <v>54</v>
      </c>
      <c r="F5">
        <f>'Final list of total hauls pros'!E3</f>
        <v>20.8</v>
      </c>
      <c r="G5">
        <f>'Final list of total hauls pros'!F3</f>
        <v>11</v>
      </c>
      <c r="H5">
        <f>'Final list of total hauls pros'!G3</f>
        <v>55.3</v>
      </c>
      <c r="I5">
        <f>'Final list of total hauls pros'!H3</f>
        <v>2</v>
      </c>
      <c r="J5" t="str">
        <f>'Final list of total hauls pros'!I3</f>
        <v>GFR</v>
      </c>
      <c r="K5" s="13">
        <f>'Final list of total hauls pros'!J3</f>
        <v>54.3466666666667</v>
      </c>
      <c r="L5" s="13">
        <f>'Final list of total hauls pros'!K3</f>
        <v>11.921666666666701</v>
      </c>
      <c r="M5" t="str">
        <f>'Final list of total hauls pros'!L3</f>
        <v>21-24</v>
      </c>
      <c r="N5" t="str">
        <f>Processing!I6</f>
        <v>GFR (SD 21-24)</v>
      </c>
    </row>
    <row r="6" spans="1:14" x14ac:dyDescent="0.25">
      <c r="B6">
        <f>Processing!D7</f>
        <v>22018</v>
      </c>
      <c r="C6" t="str">
        <f>Processing!F7</f>
        <v>39G1</v>
      </c>
      <c r="D6">
        <f>'Final list of total hauls pros'!C4</f>
        <v>22</v>
      </c>
      <c r="E6">
        <f>'Final list of total hauls pros'!D4</f>
        <v>55</v>
      </c>
      <c r="F6">
        <f>'Final list of total hauls pros'!E4</f>
        <v>4.2</v>
      </c>
      <c r="G6">
        <f>'Final list of total hauls pros'!F4</f>
        <v>11</v>
      </c>
      <c r="H6">
        <f>'Final list of total hauls pros'!G4</f>
        <v>4.0999999999999996</v>
      </c>
      <c r="I6">
        <f>'Final list of total hauls pros'!H4</f>
        <v>2</v>
      </c>
      <c r="J6" t="str">
        <f>'Final list of total hauls pros'!I4</f>
        <v>DEN</v>
      </c>
      <c r="K6" s="13">
        <f>'Final list of total hauls pros'!J4</f>
        <v>55.07</v>
      </c>
      <c r="L6" s="13">
        <f>'Final list of total hauls pros'!K4</f>
        <v>11.0683333333333</v>
      </c>
      <c r="M6" t="str">
        <f>'Final list of total hauls pros'!L4</f>
        <v>21-24</v>
      </c>
      <c r="N6" t="str">
        <f>Processing!I7</f>
        <v>DEN (SD 21-24)</v>
      </c>
    </row>
    <row r="7" spans="1:14" x14ac:dyDescent="0.25">
      <c r="B7">
        <f>Processing!D8</f>
        <v>22020</v>
      </c>
      <c r="C7" t="str">
        <f>Processing!F8</f>
        <v>39G0</v>
      </c>
      <c r="D7">
        <f>'Final list of total hauls pros'!C5</f>
        <v>22</v>
      </c>
      <c r="E7">
        <f>'Final list of total hauls pros'!D5</f>
        <v>55</v>
      </c>
      <c r="F7">
        <f>'Final list of total hauls pros'!E5</f>
        <v>12.7</v>
      </c>
      <c r="G7">
        <f>'Final list of total hauls pros'!F5</f>
        <v>10</v>
      </c>
      <c r="H7">
        <f>'Final list of total hauls pros'!G5</f>
        <v>56.3</v>
      </c>
      <c r="I7">
        <f>'Final list of total hauls pros'!H5</f>
        <v>2</v>
      </c>
      <c r="J7" t="str">
        <f>'Final list of total hauls pros'!I5</f>
        <v>DEN</v>
      </c>
      <c r="K7" s="13">
        <f>'Final list of total hauls pros'!J5</f>
        <v>55.211666666666702</v>
      </c>
      <c r="L7" s="13">
        <f>'Final list of total hauls pros'!K5</f>
        <v>10.938333333333301</v>
      </c>
      <c r="M7" t="str">
        <f>'Final list of total hauls pros'!L5</f>
        <v>21-24</v>
      </c>
      <c r="N7" t="str">
        <f>Processing!I8</f>
        <v>DEN (SD 21-24)</v>
      </c>
    </row>
    <row r="8" spans="1:14" x14ac:dyDescent="0.25">
      <c r="B8">
        <f>Processing!D9</f>
        <v>22023</v>
      </c>
      <c r="C8" t="str">
        <f>Processing!F9</f>
        <v>39G1</v>
      </c>
      <c r="D8">
        <f>'Final list of total hauls pros'!C6</f>
        <v>22</v>
      </c>
      <c r="E8">
        <f>'Final list of total hauls pros'!D6</f>
        <v>55</v>
      </c>
      <c r="F8">
        <f>'Final list of total hauls pros'!E6</f>
        <v>18.47</v>
      </c>
      <c r="G8">
        <f>'Final list of total hauls pros'!F6</f>
        <v>11</v>
      </c>
      <c r="H8">
        <f>'Final list of total hauls pros'!G6</f>
        <v>1.28</v>
      </c>
      <c r="I8">
        <f>'Final list of total hauls pros'!H6</f>
        <v>2</v>
      </c>
      <c r="J8" t="str">
        <f>'Final list of total hauls pros'!I6</f>
        <v>DEN</v>
      </c>
      <c r="K8" s="13">
        <f>'Final list of total hauls pros'!J6</f>
        <v>55.307833333333299</v>
      </c>
      <c r="L8" s="13">
        <f>'Final list of total hauls pros'!K6</f>
        <v>11.021333333333301</v>
      </c>
      <c r="M8" t="str">
        <f>'Final list of total hauls pros'!L6</f>
        <v>21-24</v>
      </c>
      <c r="N8" t="str">
        <f>Processing!I9</f>
        <v>DEN (SD 21-24)</v>
      </c>
    </row>
    <row r="9" spans="1:14" x14ac:dyDescent="0.25">
      <c r="B9">
        <f>Processing!D10</f>
        <v>22024</v>
      </c>
      <c r="C9" t="str">
        <f>Processing!F10</f>
        <v>39F9</v>
      </c>
      <c r="D9">
        <f>'Final list of total hauls pros'!C7</f>
        <v>22</v>
      </c>
      <c r="E9">
        <f>'Final list of total hauls pros'!D7</f>
        <v>55</v>
      </c>
      <c r="F9">
        <f>'Final list of total hauls pros'!E7</f>
        <v>21.9</v>
      </c>
      <c r="G9">
        <f>'Final list of total hauls pros'!F7</f>
        <v>9</v>
      </c>
      <c r="H9">
        <f>'Final list of total hauls pros'!G7</f>
        <v>45.16</v>
      </c>
      <c r="I9">
        <f>'Final list of total hauls pros'!H7</f>
        <v>2</v>
      </c>
      <c r="J9" t="str">
        <f>'Final list of total hauls pros'!I7</f>
        <v>DEN</v>
      </c>
      <c r="K9" s="13">
        <f>'Final list of total hauls pros'!J7</f>
        <v>55.365000000000002</v>
      </c>
      <c r="L9" s="13">
        <f>'Final list of total hauls pros'!K7</f>
        <v>9.7526666666666699</v>
      </c>
      <c r="M9" t="str">
        <f>'Final list of total hauls pros'!L7</f>
        <v>21-24</v>
      </c>
      <c r="N9" t="str">
        <f>Processing!I10</f>
        <v>DEN (SD 21-24)</v>
      </c>
    </row>
    <row r="10" spans="1:14" x14ac:dyDescent="0.25">
      <c r="B10">
        <f>Processing!D11</f>
        <v>22025</v>
      </c>
      <c r="C10" t="str">
        <f>Processing!F11</f>
        <v>39G0</v>
      </c>
      <c r="D10">
        <f>'Final list of total hauls pros'!C8</f>
        <v>22</v>
      </c>
      <c r="E10">
        <f>'Final list of total hauls pros'!D8</f>
        <v>55</v>
      </c>
      <c r="F10">
        <f>'Final list of total hauls pros'!E8</f>
        <v>23.14</v>
      </c>
      <c r="G10">
        <f>'Final list of total hauls pros'!F8</f>
        <v>10</v>
      </c>
      <c r="H10">
        <f>'Final list of total hauls pros'!G8</f>
        <v>50.56</v>
      </c>
      <c r="I10">
        <f>'Final list of total hauls pros'!H8</f>
        <v>2</v>
      </c>
      <c r="J10" t="str">
        <f>'Final list of total hauls pros'!I8</f>
        <v>DEN</v>
      </c>
      <c r="K10" s="13">
        <f>'Final list of total hauls pros'!J8</f>
        <v>55.385666666666701</v>
      </c>
      <c r="L10" s="13">
        <f>'Final list of total hauls pros'!K8</f>
        <v>10.8426666666667</v>
      </c>
      <c r="M10" t="str">
        <f>'Final list of total hauls pros'!L8</f>
        <v>21-24</v>
      </c>
      <c r="N10" t="str">
        <f>Processing!I11</f>
        <v>DEN (SD 21-24)</v>
      </c>
    </row>
    <row r="11" spans="1:14" x14ac:dyDescent="0.25">
      <c r="B11">
        <f>Processing!D12</f>
        <v>22026</v>
      </c>
      <c r="C11" t="str">
        <f>Processing!F12</f>
        <v>39G0</v>
      </c>
      <c r="D11">
        <f>'Final list of total hauls pros'!C9</f>
        <v>22</v>
      </c>
      <c r="E11">
        <f>'Final list of total hauls pros'!D9</f>
        <v>55</v>
      </c>
      <c r="F11">
        <f>'Final list of total hauls pros'!E9</f>
        <v>25.4</v>
      </c>
      <c r="G11">
        <f>'Final list of total hauls pros'!F9</f>
        <v>10</v>
      </c>
      <c r="H11">
        <f>'Final list of total hauls pros'!G9</f>
        <v>46</v>
      </c>
      <c r="I11">
        <f>'Final list of total hauls pros'!H9</f>
        <v>2</v>
      </c>
      <c r="J11" t="str">
        <f>'Final list of total hauls pros'!I9</f>
        <v>DEN</v>
      </c>
      <c r="K11" s="13">
        <f>'Final list of total hauls pros'!J9</f>
        <v>55.423333333333296</v>
      </c>
      <c r="L11" s="13">
        <f>'Final list of total hauls pros'!K9</f>
        <v>10.766666666666699</v>
      </c>
      <c r="M11" t="str">
        <f>'Final list of total hauls pros'!L9</f>
        <v>21-24</v>
      </c>
      <c r="N11" t="str">
        <f>Processing!I12</f>
        <v>DEN (SD 21-24)</v>
      </c>
    </row>
    <row r="12" spans="1:14" x14ac:dyDescent="0.25">
      <c r="B12">
        <f>Processing!D13</f>
        <v>22027</v>
      </c>
      <c r="C12" t="str">
        <f>Processing!F13</f>
        <v>40G0</v>
      </c>
      <c r="D12">
        <f>'Final list of total hauls pros'!C10</f>
        <v>22</v>
      </c>
      <c r="E12">
        <f>'Final list of total hauls pros'!D10</f>
        <v>55</v>
      </c>
      <c r="F12">
        <f>'Final list of total hauls pros'!E10</f>
        <v>38.1</v>
      </c>
      <c r="G12">
        <f>'Final list of total hauls pros'!F10</f>
        <v>10</v>
      </c>
      <c r="H12">
        <f>'Final list of total hauls pros'!G10</f>
        <v>0.4</v>
      </c>
      <c r="I12">
        <f>'Final list of total hauls pros'!H10</f>
        <v>2</v>
      </c>
      <c r="J12" t="str">
        <f>'Final list of total hauls pros'!I10</f>
        <v>DEN</v>
      </c>
      <c r="K12" s="13">
        <f>'Final list of total hauls pros'!J10</f>
        <v>55.634999999999998</v>
      </c>
      <c r="L12" s="13">
        <f>'Final list of total hauls pros'!K10</f>
        <v>10.0066666666667</v>
      </c>
      <c r="M12" t="str">
        <f>'Final list of total hauls pros'!L10</f>
        <v>21-24</v>
      </c>
      <c r="N12" t="str">
        <f>Processing!I13</f>
        <v>DEN (SD 21-24)</v>
      </c>
    </row>
    <row r="13" spans="1:14" x14ac:dyDescent="0.25">
      <c r="B13">
        <f>Processing!D14</f>
        <v>22032</v>
      </c>
      <c r="C13" t="str">
        <f>Processing!F14</f>
        <v>40G0</v>
      </c>
      <c r="D13">
        <f>'Final list of total hauls pros'!C11</f>
        <v>22</v>
      </c>
      <c r="E13">
        <f>'Final list of total hauls pros'!D11</f>
        <v>55</v>
      </c>
      <c r="F13">
        <f>'Final list of total hauls pros'!E11</f>
        <v>46.7</v>
      </c>
      <c r="G13">
        <f>'Final list of total hauls pros'!F11</f>
        <v>10</v>
      </c>
      <c r="H13">
        <f>'Final list of total hauls pros'!G11</f>
        <v>40.799999999999997</v>
      </c>
      <c r="I13">
        <f>'Final list of total hauls pros'!H11</f>
        <v>2</v>
      </c>
      <c r="J13" t="str">
        <f>'Final list of total hauls pros'!I11</f>
        <v>DEN</v>
      </c>
      <c r="K13" s="13">
        <f>'Final list of total hauls pros'!J11</f>
        <v>55.7783333333333</v>
      </c>
      <c r="L13" s="13">
        <f>'Final list of total hauls pros'!K11</f>
        <v>10.68</v>
      </c>
      <c r="M13" t="str">
        <f>'Final list of total hauls pros'!L11</f>
        <v>21-24</v>
      </c>
      <c r="N13" t="str">
        <f>Processing!I14</f>
        <v>DEN (SD 21-24)</v>
      </c>
    </row>
    <row r="14" spans="1:14" x14ac:dyDescent="0.25">
      <c r="B14">
        <f>Processing!D15</f>
        <v>22034</v>
      </c>
      <c r="C14" t="str">
        <f>Processing!F15</f>
        <v>40G0</v>
      </c>
      <c r="D14">
        <f>'Final list of total hauls pros'!C12</f>
        <v>22</v>
      </c>
      <c r="E14">
        <f>'Final list of total hauls pros'!D12</f>
        <v>55</v>
      </c>
      <c r="F14">
        <f>'Final list of total hauls pros'!E12</f>
        <v>59.6</v>
      </c>
      <c r="G14">
        <f>'Final list of total hauls pros'!F12</f>
        <v>10</v>
      </c>
      <c r="H14">
        <f>'Final list of total hauls pros'!G12</f>
        <v>38.4</v>
      </c>
      <c r="I14">
        <f>'Final list of total hauls pros'!H12</f>
        <v>2</v>
      </c>
      <c r="J14" t="str">
        <f>'Final list of total hauls pros'!I12</f>
        <v>DEN</v>
      </c>
      <c r="K14" s="13">
        <f>'Final list of total hauls pros'!J12</f>
        <v>55.993333333333297</v>
      </c>
      <c r="L14" s="13">
        <f>'Final list of total hauls pros'!K12</f>
        <v>10.64</v>
      </c>
      <c r="M14" t="str">
        <f>'Final list of total hauls pros'!L12</f>
        <v>21-24</v>
      </c>
      <c r="N14" t="str">
        <f>Processing!I15</f>
        <v>DEN (SD 21-24)</v>
      </c>
    </row>
    <row r="15" spans="1:14" x14ac:dyDescent="0.25">
      <c r="B15">
        <f>Processing!D16</f>
        <v>22036</v>
      </c>
      <c r="C15" t="str">
        <f>Processing!F16</f>
        <v>40G1</v>
      </c>
      <c r="D15">
        <f>'Final list of total hauls pros'!C13</f>
        <v>22</v>
      </c>
      <c r="E15">
        <f>'Final list of total hauls pros'!D13</f>
        <v>55</v>
      </c>
      <c r="F15">
        <f>'Final list of total hauls pros'!E13</f>
        <v>55.3</v>
      </c>
      <c r="G15">
        <f>'Final list of total hauls pros'!F13</f>
        <v>11</v>
      </c>
      <c r="H15">
        <f>'Final list of total hauls pros'!G13</f>
        <v>13.6</v>
      </c>
      <c r="I15">
        <f>'Final list of total hauls pros'!H13</f>
        <v>2</v>
      </c>
      <c r="J15" t="str">
        <f>'Final list of total hauls pros'!I13</f>
        <v>DEN</v>
      </c>
      <c r="K15" s="13">
        <f>'Final list of total hauls pros'!J13</f>
        <v>55.921666666666702</v>
      </c>
      <c r="L15" s="13">
        <f>'Final list of total hauls pros'!K13</f>
        <v>11.2266666666667</v>
      </c>
      <c r="M15" t="str">
        <f>'Final list of total hauls pros'!L13</f>
        <v>21-24</v>
      </c>
      <c r="N15" t="str">
        <f>Processing!I16</f>
        <v>DEN (SD 21-24)</v>
      </c>
    </row>
    <row r="16" spans="1:14" x14ac:dyDescent="0.25">
      <c r="B16">
        <f>Processing!D17</f>
        <v>22037</v>
      </c>
      <c r="C16" t="str">
        <f>Processing!F17</f>
        <v>40G1</v>
      </c>
      <c r="D16">
        <f>'Final list of total hauls pros'!C14</f>
        <v>22</v>
      </c>
      <c r="E16">
        <f>'Final list of total hauls pros'!D14</f>
        <v>55</v>
      </c>
      <c r="F16">
        <f>'Final list of total hauls pros'!E14</f>
        <v>58.9</v>
      </c>
      <c r="G16">
        <f>'Final list of total hauls pros'!F14</f>
        <v>11</v>
      </c>
      <c r="H16">
        <f>'Final list of total hauls pros'!G14</f>
        <v>1.8</v>
      </c>
      <c r="I16">
        <f>'Final list of total hauls pros'!H14</f>
        <v>2</v>
      </c>
      <c r="J16" t="str">
        <f>'Final list of total hauls pros'!I14</f>
        <v>DEN</v>
      </c>
      <c r="K16" s="13">
        <f>'Final list of total hauls pros'!J14</f>
        <v>55.981666666666698</v>
      </c>
      <c r="L16" s="13">
        <f>'Final list of total hauls pros'!K14</f>
        <v>11.03</v>
      </c>
      <c r="M16" t="str">
        <f>'Final list of total hauls pros'!L14</f>
        <v>21-24</v>
      </c>
      <c r="N16" t="str">
        <f>Processing!I17</f>
        <v>DEN (SD 21-24)</v>
      </c>
    </row>
    <row r="17" spans="2:14" x14ac:dyDescent="0.25">
      <c r="B17">
        <f>Processing!D18</f>
        <v>22044</v>
      </c>
      <c r="C17" t="str">
        <f>Processing!F18</f>
        <v>37G1</v>
      </c>
      <c r="D17">
        <f>'Final list of total hauls pros'!C15</f>
        <v>22</v>
      </c>
      <c r="E17">
        <f>'Final list of total hauls pros'!D15</f>
        <v>54</v>
      </c>
      <c r="F17">
        <f>'Final list of total hauls pros'!E15</f>
        <v>7.13</v>
      </c>
      <c r="G17">
        <f>'Final list of total hauls pros'!F15</f>
        <v>11</v>
      </c>
      <c r="H17">
        <f>'Final list of total hauls pros'!G15</f>
        <v>10.01</v>
      </c>
      <c r="I17">
        <f>'Final list of total hauls pros'!H15</f>
        <v>2</v>
      </c>
      <c r="J17" t="str">
        <f>'Final list of total hauls pros'!I15</f>
        <v>GFR</v>
      </c>
      <c r="K17" s="13">
        <f>'Final list of total hauls pros'!J15</f>
        <v>54.118833333333299</v>
      </c>
      <c r="L17" s="13">
        <f>'Final list of total hauls pros'!K15</f>
        <v>11.166833333333299</v>
      </c>
      <c r="M17" t="str">
        <f>'Final list of total hauls pros'!L15</f>
        <v>21-24</v>
      </c>
      <c r="N17" t="str">
        <f>Processing!I18</f>
        <v>GFR (SD 21-24)</v>
      </c>
    </row>
    <row r="18" spans="2:14" x14ac:dyDescent="0.25">
      <c r="B18">
        <f>Processing!D19</f>
        <v>22045</v>
      </c>
      <c r="C18" t="str">
        <f>Processing!F19</f>
        <v>37G1</v>
      </c>
      <c r="D18">
        <f>'Final list of total hauls pros'!C16</f>
        <v>22</v>
      </c>
      <c r="E18">
        <f>'Final list of total hauls pros'!D16</f>
        <v>54</v>
      </c>
      <c r="F18">
        <f>'Final list of total hauls pros'!E16</f>
        <v>17.28</v>
      </c>
      <c r="G18">
        <f>'Final list of total hauls pros'!F16</f>
        <v>11</v>
      </c>
      <c r="H18">
        <f>'Final list of total hauls pros'!G16</f>
        <v>18.11</v>
      </c>
      <c r="I18">
        <f>'Final list of total hauls pros'!H16</f>
        <v>2</v>
      </c>
      <c r="J18" t="str">
        <f>'Final list of total hauls pros'!I16</f>
        <v>GFR</v>
      </c>
      <c r="K18" s="13">
        <f>'Final list of total hauls pros'!J16</f>
        <v>54.287999999999997</v>
      </c>
      <c r="L18" s="13">
        <f>'Final list of total hauls pros'!K16</f>
        <v>11.301833333333301</v>
      </c>
      <c r="M18" t="str">
        <f>'Final list of total hauls pros'!L16</f>
        <v>21-24</v>
      </c>
      <c r="N18" t="str">
        <f>Processing!I19</f>
        <v>GFR (SD 21-24)</v>
      </c>
    </row>
    <row r="19" spans="2:14" x14ac:dyDescent="0.25">
      <c r="B19">
        <f>Processing!D20</f>
        <v>22051</v>
      </c>
      <c r="C19" t="str">
        <f>Processing!F20</f>
        <v>37G1</v>
      </c>
      <c r="D19">
        <f>'Final list of total hauls pros'!C17</f>
        <v>22</v>
      </c>
      <c r="E19">
        <f>'Final list of total hauls pros'!D17</f>
        <v>54</v>
      </c>
      <c r="F19">
        <f>'Final list of total hauls pros'!E17</f>
        <v>14.48</v>
      </c>
      <c r="G19">
        <f>'Final list of total hauls pros'!F17</f>
        <v>11</v>
      </c>
      <c r="H19">
        <f>'Final list of total hauls pros'!G17</f>
        <v>43.21</v>
      </c>
      <c r="I19">
        <f>'Final list of total hauls pros'!H17</f>
        <v>2</v>
      </c>
      <c r="J19" t="str">
        <f>'Final list of total hauls pros'!I17</f>
        <v>GFR</v>
      </c>
      <c r="K19" s="13">
        <f>'Final list of total hauls pros'!J17</f>
        <v>54.241333333333301</v>
      </c>
      <c r="L19" s="13">
        <f>'Final list of total hauls pros'!K17</f>
        <v>11.720166666666699</v>
      </c>
      <c r="M19" t="str">
        <f>'Final list of total hauls pros'!L17</f>
        <v>21-24</v>
      </c>
      <c r="N19" t="str">
        <f>Processing!I20</f>
        <v>GFR (SD 21-24)</v>
      </c>
    </row>
    <row r="20" spans="2:14" x14ac:dyDescent="0.25">
      <c r="B20">
        <f>Processing!D21</f>
        <v>22058</v>
      </c>
      <c r="C20" t="str">
        <f>Processing!F21</f>
        <v>37G1</v>
      </c>
      <c r="D20">
        <f>'Final list of total hauls pros'!C18</f>
        <v>22</v>
      </c>
      <c r="E20">
        <f>'Final list of total hauls pros'!D18</f>
        <v>54</v>
      </c>
      <c r="F20">
        <f>'Final list of total hauls pros'!E18</f>
        <v>27.17</v>
      </c>
      <c r="G20">
        <f>'Final list of total hauls pros'!F18</f>
        <v>11</v>
      </c>
      <c r="H20">
        <f>'Final list of total hauls pros'!G18</f>
        <v>25.18</v>
      </c>
      <c r="I20">
        <f>'Final list of total hauls pros'!H18</f>
        <v>2</v>
      </c>
      <c r="J20" t="str">
        <f>'Final list of total hauls pros'!I18</f>
        <v>GFR</v>
      </c>
      <c r="K20" s="13">
        <f>'Final list of total hauls pros'!J18</f>
        <v>54.452833333333302</v>
      </c>
      <c r="L20" s="13">
        <f>'Final list of total hauls pros'!K18</f>
        <v>11.4196666666667</v>
      </c>
      <c r="M20" t="str">
        <f>'Final list of total hauls pros'!L18</f>
        <v>21-24</v>
      </c>
      <c r="N20" t="str">
        <f>Processing!I21</f>
        <v>GFR (SD 21-24)</v>
      </c>
    </row>
    <row r="21" spans="2:14" x14ac:dyDescent="0.25">
      <c r="B21">
        <f>Processing!D22</f>
        <v>22071</v>
      </c>
      <c r="C21" t="str">
        <f>Processing!F22</f>
        <v>38G1</v>
      </c>
      <c r="D21">
        <f>'Final list of total hauls pros'!C19</f>
        <v>22</v>
      </c>
      <c r="E21">
        <f>'Final list of total hauls pros'!D19</f>
        <v>54</v>
      </c>
      <c r="F21">
        <f>'Final list of total hauls pros'!E19</f>
        <v>32.4</v>
      </c>
      <c r="G21">
        <f>'Final list of total hauls pros'!F19</f>
        <v>11</v>
      </c>
      <c r="H21">
        <f>'Final list of total hauls pros'!G19</f>
        <v>24.4</v>
      </c>
      <c r="I21">
        <f>'Final list of total hauls pros'!H19</f>
        <v>2</v>
      </c>
      <c r="J21" t="str">
        <f>'Final list of total hauls pros'!I19</f>
        <v>DEN</v>
      </c>
      <c r="K21" s="13">
        <f>'Final list of total hauls pros'!J19</f>
        <v>54.54</v>
      </c>
      <c r="L21" s="13">
        <f>'Final list of total hauls pros'!K19</f>
        <v>11.4066666666667</v>
      </c>
      <c r="M21" t="str">
        <f>'Final list of total hauls pros'!L19</f>
        <v>21-24</v>
      </c>
      <c r="N21" t="str">
        <f>Processing!I22</f>
        <v>GFR (SD 21-24)</v>
      </c>
    </row>
    <row r="22" spans="2:14" x14ac:dyDescent="0.25">
      <c r="B22">
        <f>Processing!D23</f>
        <v>22072</v>
      </c>
      <c r="C22" t="str">
        <f>Processing!F23</f>
        <v>38G1</v>
      </c>
      <c r="D22">
        <f>'Final list of total hauls pros'!C20</f>
        <v>22</v>
      </c>
      <c r="E22">
        <f>'Final list of total hauls pros'!D20</f>
        <v>54</v>
      </c>
      <c r="F22">
        <f>'Final list of total hauls pros'!E20</f>
        <v>33.53</v>
      </c>
      <c r="G22">
        <f>'Final list of total hauls pros'!F20</f>
        <v>11</v>
      </c>
      <c r="H22">
        <f>'Final list of total hauls pros'!G20</f>
        <v>21.74</v>
      </c>
      <c r="I22">
        <f>'Final list of total hauls pros'!H20</f>
        <v>2</v>
      </c>
      <c r="J22" t="str">
        <f>'Final list of total hauls pros'!I20</f>
        <v>GFR</v>
      </c>
      <c r="K22" s="13">
        <f>'Final list of total hauls pros'!J20</f>
        <v>54.558833333333297</v>
      </c>
      <c r="L22" s="13">
        <f>'Final list of total hauls pros'!K20</f>
        <v>11.3623333333333</v>
      </c>
      <c r="M22" t="str">
        <f>'Final list of total hauls pros'!L20</f>
        <v>21-24</v>
      </c>
      <c r="N22" t="str">
        <f>Processing!I23</f>
        <v>GFR (SD 21-24)</v>
      </c>
    </row>
    <row r="23" spans="2:14" x14ac:dyDescent="0.25">
      <c r="B23">
        <f>Processing!D24</f>
        <v>22075</v>
      </c>
      <c r="C23" t="str">
        <f>Processing!F24</f>
        <v>38G0</v>
      </c>
      <c r="D23">
        <f>'Final list of total hauls pros'!C21</f>
        <v>22</v>
      </c>
      <c r="E23">
        <f>'Final list of total hauls pros'!D21</f>
        <v>54</v>
      </c>
      <c r="F23">
        <f>'Final list of total hauls pros'!E21</f>
        <v>48.3</v>
      </c>
      <c r="G23">
        <f>'Final list of total hauls pros'!F21</f>
        <v>10</v>
      </c>
      <c r="H23">
        <f>'Final list of total hauls pros'!G21</f>
        <v>8.6999999999999993</v>
      </c>
      <c r="I23">
        <f>'Final list of total hauls pros'!H21</f>
        <v>2</v>
      </c>
      <c r="J23" t="str">
        <f>'Final list of total hauls pros'!I21</f>
        <v>DEN</v>
      </c>
      <c r="K23" s="13">
        <f>'Final list of total hauls pros'!J21</f>
        <v>54.805</v>
      </c>
      <c r="L23" s="13">
        <f>'Final list of total hauls pros'!K21</f>
        <v>10.145</v>
      </c>
      <c r="M23" t="str">
        <f>'Final list of total hauls pros'!L21</f>
        <v>21-24</v>
      </c>
      <c r="N23" t="str">
        <f>Processing!I24</f>
        <v>DEN (SD 21-24)</v>
      </c>
    </row>
    <row r="24" spans="2:14" x14ac:dyDescent="0.25">
      <c r="B24">
        <f>Processing!D25</f>
        <v>22076</v>
      </c>
      <c r="C24" t="str">
        <f>Processing!F25</f>
        <v>38G0</v>
      </c>
      <c r="D24">
        <f>'Final list of total hauls pros'!C22</f>
        <v>22</v>
      </c>
      <c r="E24">
        <f>'Final list of total hauls pros'!D22</f>
        <v>54</v>
      </c>
      <c r="F24">
        <f>'Final list of total hauls pros'!E22</f>
        <v>49.11</v>
      </c>
      <c r="G24">
        <f>'Final list of total hauls pros'!F22</f>
        <v>10</v>
      </c>
      <c r="H24">
        <f>'Final list of total hauls pros'!G22</f>
        <v>16.47</v>
      </c>
      <c r="I24">
        <f>'Final list of total hauls pros'!H22</f>
        <v>2</v>
      </c>
      <c r="J24" t="str">
        <f>'Final list of total hauls pros'!I22</f>
        <v>DEN</v>
      </c>
      <c r="K24" s="13">
        <f>'Final list of total hauls pros'!J22</f>
        <v>54.8185</v>
      </c>
      <c r="L24" s="13">
        <f>'Final list of total hauls pros'!K22</f>
        <v>10.2745</v>
      </c>
      <c r="M24" t="str">
        <f>'Final list of total hauls pros'!L22</f>
        <v>21-24</v>
      </c>
      <c r="N24" t="str">
        <f>Processing!I25</f>
        <v>DEN (SD 21-24)</v>
      </c>
    </row>
    <row r="25" spans="2:14" x14ac:dyDescent="0.25">
      <c r="B25">
        <f>Processing!D26</f>
        <v>22077</v>
      </c>
      <c r="C25" t="str">
        <f>Processing!F26</f>
        <v>38G0</v>
      </c>
      <c r="D25">
        <f>'Final list of total hauls pros'!C23</f>
        <v>22</v>
      </c>
      <c r="E25">
        <f>'Final list of total hauls pros'!D23</f>
        <v>54</v>
      </c>
      <c r="F25">
        <f>'Final list of total hauls pros'!E23</f>
        <v>41.63</v>
      </c>
      <c r="G25">
        <f>'Final list of total hauls pros'!F23</f>
        <v>10</v>
      </c>
      <c r="H25">
        <f>'Final list of total hauls pros'!G23</f>
        <v>19.45</v>
      </c>
      <c r="I25">
        <f>'Final list of total hauls pros'!H23</f>
        <v>2</v>
      </c>
      <c r="J25" t="str">
        <f>'Final list of total hauls pros'!I23</f>
        <v>DEN</v>
      </c>
      <c r="K25" s="13">
        <f>'Final list of total hauls pros'!J23</f>
        <v>54.693833333333302</v>
      </c>
      <c r="L25" s="13">
        <f>'Final list of total hauls pros'!K23</f>
        <v>10.3241666666667</v>
      </c>
      <c r="M25" t="str">
        <f>'Final list of total hauls pros'!L23</f>
        <v>21-24</v>
      </c>
      <c r="N25" t="str">
        <f>Processing!I26</f>
        <v>DEN (SD 21-24)</v>
      </c>
    </row>
    <row r="26" spans="2:14" x14ac:dyDescent="0.25">
      <c r="B26">
        <f>Processing!D27</f>
        <v>22079</v>
      </c>
      <c r="C26" t="str">
        <f>Processing!F27</f>
        <v>38G0</v>
      </c>
      <c r="D26">
        <f>'Final list of total hauls pros'!C24</f>
        <v>22</v>
      </c>
      <c r="E26">
        <f>'Final list of total hauls pros'!D24</f>
        <v>55</v>
      </c>
      <c r="F26">
        <f>'Final list of total hauls pros'!E24</f>
        <v>5.09</v>
      </c>
      <c r="G26">
        <f>'Final list of total hauls pros'!F24</f>
        <v>9</v>
      </c>
      <c r="H26">
        <f>'Final list of total hauls pros'!G24</f>
        <v>59.08</v>
      </c>
      <c r="I26">
        <f>'Final list of total hauls pros'!H24</f>
        <v>2</v>
      </c>
      <c r="J26" t="str">
        <f>'Final list of total hauls pros'!I24</f>
        <v>DEN</v>
      </c>
      <c r="K26" s="13">
        <f>'Final list of total hauls pros'!J24</f>
        <v>55.0848333333333</v>
      </c>
      <c r="L26" s="13">
        <f>'Final list of total hauls pros'!K24</f>
        <v>9.9846666666666692</v>
      </c>
      <c r="M26" t="str">
        <f>'Final list of total hauls pros'!L24</f>
        <v>21-24</v>
      </c>
      <c r="N26" t="str">
        <f>Processing!I27</f>
        <v>DEN (SD 21-24)</v>
      </c>
    </row>
    <row r="27" spans="2:14" x14ac:dyDescent="0.25">
      <c r="B27">
        <f>Processing!D28</f>
        <v>22081</v>
      </c>
      <c r="C27" t="str">
        <f>Processing!F28</f>
        <v>39F9</v>
      </c>
      <c r="D27">
        <f>'Final list of total hauls pros'!C25</f>
        <v>22</v>
      </c>
      <c r="E27">
        <f>'Final list of total hauls pros'!D25</f>
        <v>55</v>
      </c>
      <c r="F27">
        <f>'Final list of total hauls pros'!E25</f>
        <v>6.3</v>
      </c>
      <c r="G27">
        <f>'Final list of total hauls pros'!F25</f>
        <v>9</v>
      </c>
      <c r="H27">
        <f>'Final list of total hauls pros'!G25</f>
        <v>59.28</v>
      </c>
      <c r="I27">
        <f>'Final list of total hauls pros'!H25</f>
        <v>2</v>
      </c>
      <c r="J27" t="str">
        <f>'Final list of total hauls pros'!I25</f>
        <v>DEN</v>
      </c>
      <c r="K27" s="13">
        <f>'Final list of total hauls pros'!J25</f>
        <v>55.104999999999997</v>
      </c>
      <c r="L27" s="13">
        <f>'Final list of total hauls pros'!K25</f>
        <v>9.9879999999999995</v>
      </c>
      <c r="M27" t="str">
        <f>'Final list of total hauls pros'!L25</f>
        <v>21-24</v>
      </c>
      <c r="N27" t="str">
        <f>Processing!I28</f>
        <v>DEN (SD 21-24)</v>
      </c>
    </row>
    <row r="28" spans="2:14" x14ac:dyDescent="0.25">
      <c r="B28">
        <f>Processing!D29</f>
        <v>22084</v>
      </c>
      <c r="C28" t="str">
        <f>Processing!F29</f>
        <v>39G1</v>
      </c>
      <c r="D28">
        <f>'Final list of total hauls pros'!C26</f>
        <v>22</v>
      </c>
      <c r="E28">
        <f>'Final list of total hauls pros'!D26</f>
        <v>55</v>
      </c>
      <c r="F28">
        <f>'Final list of total hauls pros'!E26</f>
        <v>11.9</v>
      </c>
      <c r="G28">
        <f>'Final list of total hauls pros'!F26</f>
        <v>11</v>
      </c>
      <c r="H28">
        <f>'Final list of total hauls pros'!G26</f>
        <v>4.5999999999999996</v>
      </c>
      <c r="I28">
        <f>'Final list of total hauls pros'!H26</f>
        <v>2</v>
      </c>
      <c r="J28" t="str">
        <f>'Final list of total hauls pros'!I26</f>
        <v>DEN</v>
      </c>
      <c r="K28" s="13">
        <f>'Final list of total hauls pros'!J26</f>
        <v>55.198333333333302</v>
      </c>
      <c r="L28" s="13">
        <f>'Final list of total hauls pros'!K26</f>
        <v>11.0766666666667</v>
      </c>
      <c r="M28" t="str">
        <f>'Final list of total hauls pros'!L26</f>
        <v>21-24</v>
      </c>
      <c r="N28" t="str">
        <f>Processing!I29</f>
        <v>DEN (SD 21-24)</v>
      </c>
    </row>
    <row r="29" spans="2:14" x14ac:dyDescent="0.25">
      <c r="B29">
        <f>Processing!D30</f>
        <v>22085</v>
      </c>
      <c r="C29" t="str">
        <f>Processing!F30</f>
        <v>40G0</v>
      </c>
      <c r="D29">
        <f>'Final list of total hauls pros'!C27</f>
        <v>22</v>
      </c>
      <c r="E29">
        <f>'Final list of total hauls pros'!D27</f>
        <v>55</v>
      </c>
      <c r="F29">
        <f>'Final list of total hauls pros'!E27</f>
        <v>38.659999999999997</v>
      </c>
      <c r="G29">
        <f>'Final list of total hauls pros'!F27</f>
        <v>10</v>
      </c>
      <c r="H29">
        <f>'Final list of total hauls pros'!G27</f>
        <v>32.11</v>
      </c>
      <c r="I29">
        <f>'Final list of total hauls pros'!H27</f>
        <v>2</v>
      </c>
      <c r="J29" t="str">
        <f>'Final list of total hauls pros'!I27</f>
        <v>DEN</v>
      </c>
      <c r="K29" s="13">
        <f>'Final list of total hauls pros'!J27</f>
        <v>55.6443333333333</v>
      </c>
      <c r="L29" s="13">
        <f>'Final list of total hauls pros'!K27</f>
        <v>10.535166666666701</v>
      </c>
      <c r="M29" t="str">
        <f>'Final list of total hauls pros'!L27</f>
        <v>21-24</v>
      </c>
      <c r="N29" t="str">
        <f>Processing!I30</f>
        <v>DEN (SD 21-24)</v>
      </c>
    </row>
    <row r="30" spans="2:14" x14ac:dyDescent="0.25">
      <c r="B30">
        <f>Processing!D31</f>
        <v>22086</v>
      </c>
      <c r="C30" t="str">
        <f>Processing!F31</f>
        <v>40G0</v>
      </c>
      <c r="D30">
        <f>'Final list of total hauls pros'!C28</f>
        <v>22</v>
      </c>
      <c r="E30">
        <f>'Final list of total hauls pros'!D28</f>
        <v>55</v>
      </c>
      <c r="F30">
        <f>'Final list of total hauls pros'!E28</f>
        <v>35.96</v>
      </c>
      <c r="G30">
        <f>'Final list of total hauls pros'!F28</f>
        <v>10</v>
      </c>
      <c r="H30">
        <f>'Final list of total hauls pros'!G28</f>
        <v>55.36</v>
      </c>
      <c r="I30">
        <f>'Final list of total hauls pros'!H28</f>
        <v>2</v>
      </c>
      <c r="J30" t="str">
        <f>'Final list of total hauls pros'!I28</f>
        <v>DEN</v>
      </c>
      <c r="K30" s="13">
        <f>'Final list of total hauls pros'!J28</f>
        <v>55.599333333333298</v>
      </c>
      <c r="L30" s="13">
        <f>'Final list of total hauls pros'!K28</f>
        <v>10.9226666666667</v>
      </c>
      <c r="M30" t="str">
        <f>'Final list of total hauls pros'!L28</f>
        <v>21-24</v>
      </c>
      <c r="N30" t="str">
        <f>Processing!I31</f>
        <v>DEN (SD 21-24)</v>
      </c>
    </row>
    <row r="31" spans="2:14" x14ac:dyDescent="0.25">
      <c r="B31">
        <f>Processing!D32</f>
        <v>22092</v>
      </c>
      <c r="C31" t="str">
        <f>Processing!F32</f>
        <v>40G0</v>
      </c>
      <c r="D31">
        <f>'Final list of total hauls pros'!C29</f>
        <v>22</v>
      </c>
      <c r="E31">
        <f>'Final list of total hauls pros'!D29</f>
        <v>55</v>
      </c>
      <c r="F31">
        <f>'Final list of total hauls pros'!E29</f>
        <v>49.8</v>
      </c>
      <c r="G31">
        <f>'Final list of total hauls pros'!F29</f>
        <v>10</v>
      </c>
      <c r="H31">
        <f>'Final list of total hauls pros'!G29</f>
        <v>49.2</v>
      </c>
      <c r="I31">
        <f>'Final list of total hauls pros'!H29</f>
        <v>2</v>
      </c>
      <c r="J31" t="str">
        <f>'Final list of total hauls pros'!I29</f>
        <v>DEN</v>
      </c>
      <c r="K31" s="13">
        <f>'Final list of total hauls pros'!J29</f>
        <v>55.83</v>
      </c>
      <c r="L31" s="13">
        <f>'Final list of total hauls pros'!K29</f>
        <v>10.82</v>
      </c>
      <c r="M31" t="str">
        <f>'Final list of total hauls pros'!L29</f>
        <v>21-24</v>
      </c>
      <c r="N31" t="str">
        <f>Processing!I32</f>
        <v>DEN (SD 21-24)</v>
      </c>
    </row>
    <row r="32" spans="2:14" x14ac:dyDescent="0.25">
      <c r="B32">
        <f>Processing!D33</f>
        <v>22103</v>
      </c>
      <c r="C32" t="str">
        <f>Processing!F33</f>
        <v>39G1</v>
      </c>
      <c r="D32">
        <f>'Final list of total hauls pros'!C30</f>
        <v>22</v>
      </c>
      <c r="E32">
        <f>'Final list of total hauls pros'!D30</f>
        <v>55</v>
      </c>
      <c r="F32">
        <f>'Final list of total hauls pros'!E30</f>
        <v>3.32</v>
      </c>
      <c r="G32">
        <f>'Final list of total hauls pros'!F30</f>
        <v>11</v>
      </c>
      <c r="H32">
        <f>'Final list of total hauls pros'!G30</f>
        <v>1.82</v>
      </c>
      <c r="I32">
        <f>'Final list of total hauls pros'!H30</f>
        <v>2</v>
      </c>
      <c r="J32" t="str">
        <f>'Final list of total hauls pros'!I30</f>
        <v>DEN</v>
      </c>
      <c r="K32" s="13">
        <f>'Final list of total hauls pros'!J30</f>
        <v>55.055333333333301</v>
      </c>
      <c r="L32" s="13">
        <f>'Final list of total hauls pros'!K30</f>
        <v>11.030333333333299</v>
      </c>
      <c r="M32" t="str">
        <f>'Final list of total hauls pros'!L30</f>
        <v>21-24</v>
      </c>
      <c r="N32" t="str">
        <f>Processing!I33</f>
        <v>DEN (SD 21-24)</v>
      </c>
    </row>
    <row r="33" spans="2:14" x14ac:dyDescent="0.25">
      <c r="B33">
        <f>Processing!D34</f>
        <v>22111</v>
      </c>
      <c r="C33" t="str">
        <f>Processing!F34</f>
        <v>38G0</v>
      </c>
      <c r="D33">
        <f>'Final list of total hauls pros'!C31</f>
        <v>22</v>
      </c>
      <c r="E33">
        <f>'Final list of total hauls pros'!D31</f>
        <v>54</v>
      </c>
      <c r="F33">
        <f>'Final list of total hauls pros'!E31</f>
        <v>54.83</v>
      </c>
      <c r="G33">
        <f>'Final list of total hauls pros'!F31</f>
        <v>10</v>
      </c>
      <c r="H33">
        <f>'Final list of total hauls pros'!G31</f>
        <v>3.2</v>
      </c>
      <c r="I33">
        <f>'Final list of total hauls pros'!H31</f>
        <v>2</v>
      </c>
      <c r="J33" t="str">
        <f>'Final list of total hauls pros'!I31</f>
        <v>DEN</v>
      </c>
      <c r="K33" s="13">
        <f>'Final list of total hauls pros'!J31</f>
        <v>54.913833333333301</v>
      </c>
      <c r="L33" s="13">
        <f>'Final list of total hauls pros'!K31</f>
        <v>10.053333333333301</v>
      </c>
      <c r="M33" t="str">
        <f>'Final list of total hauls pros'!L31</f>
        <v>21-24</v>
      </c>
      <c r="N33" t="str">
        <f>Processing!I34</f>
        <v>DEN (SD 21-24)</v>
      </c>
    </row>
    <row r="34" spans="2:14" x14ac:dyDescent="0.25">
      <c r="B34">
        <f>Processing!D35</f>
        <v>22114</v>
      </c>
      <c r="C34" t="str">
        <f>Processing!F35</f>
        <v>37G1</v>
      </c>
      <c r="D34">
        <f>'Final list of total hauls pros'!C32</f>
        <v>22</v>
      </c>
      <c r="E34">
        <f>'Final list of total hauls pros'!D32</f>
        <v>54</v>
      </c>
      <c r="F34">
        <f>'Final list of total hauls pros'!E32</f>
        <v>8.6999999999999993</v>
      </c>
      <c r="G34">
        <f>'Final list of total hauls pros'!F32</f>
        <v>11</v>
      </c>
      <c r="H34">
        <f>'Final list of total hauls pros'!G32</f>
        <v>17.68</v>
      </c>
      <c r="I34">
        <f>'Final list of total hauls pros'!H32</f>
        <v>2</v>
      </c>
      <c r="J34" t="str">
        <f>'Final list of total hauls pros'!I32</f>
        <v>GFR</v>
      </c>
      <c r="K34" s="13">
        <f>'Final list of total hauls pros'!J32</f>
        <v>54.145000000000003</v>
      </c>
      <c r="L34" s="13">
        <f>'Final list of total hauls pros'!K32</f>
        <v>11.2946666666667</v>
      </c>
      <c r="M34" t="str">
        <f>'Final list of total hauls pros'!L32</f>
        <v>21-24</v>
      </c>
      <c r="N34" t="str">
        <f>Processing!I35</f>
        <v>GFR (SD 21-24)</v>
      </c>
    </row>
    <row r="35" spans="2:14" x14ac:dyDescent="0.25">
      <c r="B35">
        <f>Processing!D36</f>
        <v>22117</v>
      </c>
      <c r="C35" t="str">
        <f>Processing!F36</f>
        <v>40G0</v>
      </c>
      <c r="D35">
        <f>'Final list of total hauls pros'!C33</f>
        <v>22</v>
      </c>
      <c r="E35">
        <f>'Final list of total hauls pros'!D33</f>
        <v>55</v>
      </c>
      <c r="F35">
        <f>'Final list of total hauls pros'!E33</f>
        <v>30.3</v>
      </c>
      <c r="G35">
        <f>'Final list of total hauls pros'!F33</f>
        <v>10</v>
      </c>
      <c r="H35">
        <f>'Final list of total hauls pros'!G33</f>
        <v>41.58</v>
      </c>
      <c r="I35">
        <f>'Final list of total hauls pros'!H33</f>
        <v>2</v>
      </c>
      <c r="J35" t="str">
        <f>'Final list of total hauls pros'!I33</f>
        <v>DEN</v>
      </c>
      <c r="K35" s="13">
        <f>'Final list of total hauls pros'!J33</f>
        <v>55.505000000000003</v>
      </c>
      <c r="L35" s="13">
        <f>'Final list of total hauls pros'!K33</f>
        <v>10.693</v>
      </c>
      <c r="M35" t="str">
        <f>'Final list of total hauls pros'!L33</f>
        <v>21-24</v>
      </c>
      <c r="N35" t="str">
        <f>Processing!I36</f>
        <v>DEN (SD 21-24)</v>
      </c>
    </row>
    <row r="36" spans="2:14" x14ac:dyDescent="0.25">
      <c r="B36">
        <f>Processing!D37</f>
        <v>22118</v>
      </c>
      <c r="C36" t="str">
        <f>Processing!F37</f>
        <v>40G0</v>
      </c>
      <c r="D36">
        <f>'Final list of total hauls pros'!C34</f>
        <v>22</v>
      </c>
      <c r="E36">
        <f>'Final list of total hauls pros'!D34</f>
        <v>55</v>
      </c>
      <c r="F36">
        <f>'Final list of total hauls pros'!E34</f>
        <v>37.770000000000003</v>
      </c>
      <c r="G36">
        <f>'Final list of total hauls pros'!F34</f>
        <v>10</v>
      </c>
      <c r="H36">
        <f>'Final list of total hauls pros'!G34</f>
        <v>20.59</v>
      </c>
      <c r="I36">
        <f>'Final list of total hauls pros'!H34</f>
        <v>2</v>
      </c>
      <c r="J36" t="str">
        <f>'Final list of total hauls pros'!I34</f>
        <v>DEN</v>
      </c>
      <c r="K36" s="13">
        <f>'Final list of total hauls pros'!J34</f>
        <v>55.6295</v>
      </c>
      <c r="L36" s="13">
        <f>'Final list of total hauls pros'!K34</f>
        <v>10.343166666666701</v>
      </c>
      <c r="M36" t="str">
        <f>'Final list of total hauls pros'!L34</f>
        <v>21-24</v>
      </c>
      <c r="N36" t="str">
        <f>Processing!I37</f>
        <v>DEN (SD 21-24)</v>
      </c>
    </row>
    <row r="37" spans="2:14" x14ac:dyDescent="0.25">
      <c r="B37">
        <f>Processing!D38</f>
        <v>22122</v>
      </c>
      <c r="C37" t="str">
        <f>Processing!F38</f>
        <v>39G0</v>
      </c>
      <c r="D37">
        <f>'Final list of total hauls pros'!C35</f>
        <v>22</v>
      </c>
      <c r="E37">
        <f>'Final list of total hauls pros'!D35</f>
        <v>55</v>
      </c>
      <c r="F37">
        <f>'Final list of total hauls pros'!E35</f>
        <v>32.49</v>
      </c>
      <c r="G37">
        <f>'Final list of total hauls pros'!F35</f>
        <v>10</v>
      </c>
      <c r="H37">
        <f>'Final list of total hauls pros'!G35</f>
        <v>51.14</v>
      </c>
      <c r="I37">
        <f>'Final list of total hauls pros'!H35</f>
        <v>2</v>
      </c>
      <c r="J37" t="str">
        <f>'Final list of total hauls pros'!I35</f>
        <v>DEN</v>
      </c>
      <c r="K37" s="13">
        <f>'Final list of total hauls pros'!J35</f>
        <v>55.541499999999999</v>
      </c>
      <c r="L37" s="13">
        <f>'Final list of total hauls pros'!K35</f>
        <v>10.8523333333333</v>
      </c>
      <c r="M37" t="str">
        <f>'Final list of total hauls pros'!L35</f>
        <v>21-24</v>
      </c>
      <c r="N37" t="str">
        <f>Processing!I38</f>
        <v>DEN (SD 21-24)</v>
      </c>
    </row>
    <row r="38" spans="2:14" x14ac:dyDescent="0.25">
      <c r="B38">
        <f>Processing!D39</f>
        <v>22124</v>
      </c>
      <c r="C38" t="str">
        <f>Processing!F39</f>
        <v>38F9</v>
      </c>
      <c r="D38">
        <f>'Final list of total hauls pros'!C36</f>
        <v>22</v>
      </c>
      <c r="E38">
        <f>'Final list of total hauls pros'!D36</f>
        <v>54</v>
      </c>
      <c r="F38">
        <f>'Final list of total hauls pros'!E36</f>
        <v>48.88</v>
      </c>
      <c r="G38">
        <f>'Final list of total hauls pros'!F36</f>
        <v>10</v>
      </c>
      <c r="H38">
        <f>'Final list of total hauls pros'!G36</f>
        <v>17.53</v>
      </c>
      <c r="I38">
        <f>'Final list of total hauls pros'!H36</f>
        <v>2</v>
      </c>
      <c r="J38" t="str">
        <f>'Final list of total hauls pros'!I36</f>
        <v>DEN</v>
      </c>
      <c r="K38" s="13">
        <f>'Final list of total hauls pros'!J36</f>
        <v>54.814666666666703</v>
      </c>
      <c r="L38" s="13">
        <f>'Final list of total hauls pros'!K36</f>
        <v>10.2921666666667</v>
      </c>
      <c r="M38" t="str">
        <f>'Final list of total hauls pros'!L36</f>
        <v>21-24</v>
      </c>
      <c r="N38" t="str">
        <f>Processing!I39</f>
        <v>DEN (SD 21-24)</v>
      </c>
    </row>
    <row r="39" spans="2:14" x14ac:dyDescent="0.25">
      <c r="B39">
        <f>Processing!D40</f>
        <v>22125</v>
      </c>
      <c r="C39" t="str">
        <f>Processing!F40</f>
        <v>39G0</v>
      </c>
      <c r="D39">
        <f>'Final list of total hauls pros'!C37</f>
        <v>22</v>
      </c>
      <c r="E39">
        <f>'Final list of total hauls pros'!D37</f>
        <v>55</v>
      </c>
      <c r="F39">
        <f>'Final list of total hauls pros'!E37</f>
        <v>24.08</v>
      </c>
      <c r="G39">
        <f>'Final list of total hauls pros'!F37</f>
        <v>10</v>
      </c>
      <c r="H39">
        <f>'Final list of total hauls pros'!G37</f>
        <v>48.95</v>
      </c>
      <c r="I39">
        <f>'Final list of total hauls pros'!H37</f>
        <v>2</v>
      </c>
      <c r="J39" t="str">
        <f>'Final list of total hauls pros'!I37</f>
        <v>DEN</v>
      </c>
      <c r="K39" s="13">
        <f>'Final list of total hauls pros'!J37</f>
        <v>55.401333333333298</v>
      </c>
      <c r="L39" s="13">
        <f>'Final list of total hauls pros'!K37</f>
        <v>10.8158333333333</v>
      </c>
      <c r="M39" t="str">
        <f>'Final list of total hauls pros'!L37</f>
        <v>21-24</v>
      </c>
      <c r="N39" t="str">
        <f>Processing!I40</f>
        <v>DEN (SD 21-24)</v>
      </c>
    </row>
    <row r="40" spans="2:14" x14ac:dyDescent="0.25">
      <c r="B40">
        <f>Processing!D41</f>
        <v>22130</v>
      </c>
      <c r="C40" t="str">
        <f>Processing!F41</f>
        <v>39G0</v>
      </c>
      <c r="D40">
        <f>'Final list of total hauls pros'!C38</f>
        <v>22</v>
      </c>
      <c r="E40">
        <f>'Final list of total hauls pros'!D38</f>
        <v>55</v>
      </c>
      <c r="F40">
        <f>'Final list of total hauls pros'!E38</f>
        <v>19.93</v>
      </c>
      <c r="G40">
        <f>'Final list of total hauls pros'!F38</f>
        <v>10</v>
      </c>
      <c r="H40">
        <f>'Final list of total hauls pros'!G38</f>
        <v>53.86</v>
      </c>
      <c r="I40">
        <f>'Final list of total hauls pros'!H38</f>
        <v>2</v>
      </c>
      <c r="J40" t="str">
        <f>'Final list of total hauls pros'!I38</f>
        <v>DEN</v>
      </c>
      <c r="K40" s="13">
        <f>'Final list of total hauls pros'!J38</f>
        <v>55.332166666666701</v>
      </c>
      <c r="L40" s="13">
        <f>'Final list of total hauls pros'!K38</f>
        <v>10.8976666666667</v>
      </c>
      <c r="M40" t="str">
        <f>'Final list of total hauls pros'!L38</f>
        <v>21-24</v>
      </c>
      <c r="N40" t="str">
        <f>Processing!I41</f>
        <v>DEN (SD 21-24)</v>
      </c>
    </row>
    <row r="41" spans="2:14" x14ac:dyDescent="0.25">
      <c r="B41">
        <f>Processing!D42</f>
        <v>22131</v>
      </c>
      <c r="C41" t="str">
        <f>Processing!F42</f>
        <v>38G0</v>
      </c>
      <c r="D41">
        <f>'Final list of total hauls pros'!C39</f>
        <v>22</v>
      </c>
      <c r="E41">
        <f>'Final list of total hauls pros'!D39</f>
        <v>54</v>
      </c>
      <c r="F41">
        <f>'Final list of total hauls pros'!E39</f>
        <v>37.700000000000003</v>
      </c>
      <c r="G41">
        <f>'Final list of total hauls pros'!F39</f>
        <v>10</v>
      </c>
      <c r="H41">
        <f>'Final list of total hauls pros'!G39</f>
        <v>38.92</v>
      </c>
      <c r="I41">
        <f>'Final list of total hauls pros'!H39</f>
        <v>2</v>
      </c>
      <c r="J41" t="str">
        <f>'Final list of total hauls pros'!I39</f>
        <v>DEN</v>
      </c>
      <c r="K41" s="13">
        <f>'Final list of total hauls pros'!J39</f>
        <v>54.628333333333302</v>
      </c>
      <c r="L41" s="13">
        <f>'Final list of total hauls pros'!K39</f>
        <v>10.648666666666699</v>
      </c>
      <c r="M41" t="str">
        <f>'Final list of total hauls pros'!L39</f>
        <v>21-24</v>
      </c>
      <c r="N41" t="str">
        <f>Processing!I42</f>
        <v>DEN (SD 21-24)</v>
      </c>
    </row>
    <row r="42" spans="2:14" x14ac:dyDescent="0.25">
      <c r="B42">
        <f>Processing!D43</f>
        <v>22135</v>
      </c>
      <c r="C42" t="str">
        <f>Processing!F43</f>
        <v>38G1</v>
      </c>
      <c r="D42">
        <f>'Final list of total hauls pros'!C40</f>
        <v>22</v>
      </c>
      <c r="E42">
        <f>'Final list of total hauls pros'!D40</f>
        <v>54</v>
      </c>
      <c r="F42">
        <f>'Final list of total hauls pros'!E40</f>
        <v>37.4</v>
      </c>
      <c r="G42">
        <f>'Final list of total hauls pros'!F40</f>
        <v>11</v>
      </c>
      <c r="H42">
        <f>'Final list of total hauls pros'!G40</f>
        <v>5</v>
      </c>
      <c r="I42">
        <f>'Final list of total hauls pros'!H40</f>
        <v>2</v>
      </c>
      <c r="J42" t="str">
        <f>'Final list of total hauls pros'!I40</f>
        <v>GFR</v>
      </c>
      <c r="K42" s="13">
        <f>'Final list of total hauls pros'!J40</f>
        <v>54.623333333333299</v>
      </c>
      <c r="L42" s="13">
        <f>'Final list of total hauls pros'!K40</f>
        <v>11.0833333333333</v>
      </c>
      <c r="M42" t="str">
        <f>'Final list of total hauls pros'!L40</f>
        <v>21-24</v>
      </c>
      <c r="N42" t="str">
        <f>Processing!I43</f>
        <v>GFR (SD 21-24)</v>
      </c>
    </row>
    <row r="43" spans="2:14" x14ac:dyDescent="0.25">
      <c r="B43">
        <f>Processing!D44</f>
        <v>22136</v>
      </c>
      <c r="C43" t="str">
        <f>Processing!F44</f>
        <v>38G0</v>
      </c>
      <c r="D43">
        <f>'Final list of total hauls pros'!C41</f>
        <v>22</v>
      </c>
      <c r="E43">
        <f>'Final list of total hauls pros'!D41</f>
        <v>54</v>
      </c>
      <c r="F43">
        <f>'Final list of total hauls pros'!E41</f>
        <v>44.5</v>
      </c>
      <c r="G43">
        <f>'Final list of total hauls pros'!F41</f>
        <v>10</v>
      </c>
      <c r="H43">
        <f>'Final list of total hauls pros'!G41</f>
        <v>11.9</v>
      </c>
      <c r="I43">
        <f>'Final list of total hauls pros'!H41</f>
        <v>2</v>
      </c>
      <c r="J43" t="str">
        <f>'Final list of total hauls pros'!I41</f>
        <v>GFR</v>
      </c>
      <c r="K43" s="13">
        <f>'Final list of total hauls pros'!J41</f>
        <v>54.741666666666703</v>
      </c>
      <c r="L43" s="13">
        <f>'Final list of total hauls pros'!K41</f>
        <v>10.1983333333333</v>
      </c>
      <c r="M43" t="str">
        <f>'Final list of total hauls pros'!L41</f>
        <v>21-24</v>
      </c>
      <c r="N43" t="str">
        <f>Processing!I44</f>
        <v>GFR (SD 21-24)</v>
      </c>
    </row>
    <row r="44" spans="2:14" x14ac:dyDescent="0.25">
      <c r="B44">
        <f>Processing!D45</f>
        <v>22141</v>
      </c>
      <c r="C44" t="str">
        <f>Processing!F45</f>
        <v>37G1</v>
      </c>
      <c r="D44">
        <f>'Final list of total hauls pros'!C42</f>
        <v>22</v>
      </c>
      <c r="E44">
        <f>'Final list of total hauls pros'!D42</f>
        <v>54</v>
      </c>
      <c r="F44">
        <f>'Final list of total hauls pros'!E42</f>
        <v>14.4</v>
      </c>
      <c r="G44">
        <f>'Final list of total hauls pros'!F42</f>
        <v>11</v>
      </c>
      <c r="H44">
        <f>'Final list of total hauls pros'!G42</f>
        <v>25.3</v>
      </c>
      <c r="I44">
        <f>'Final list of total hauls pros'!H42</f>
        <v>2</v>
      </c>
      <c r="J44" t="str">
        <f>'Final list of total hauls pros'!I42</f>
        <v>GFR</v>
      </c>
      <c r="K44" s="13">
        <f>'Final list of total hauls pros'!J42</f>
        <v>54.24</v>
      </c>
      <c r="L44" s="13">
        <f>'Final list of total hauls pros'!K42</f>
        <v>11.421666666666701</v>
      </c>
      <c r="M44" t="str">
        <f>'Final list of total hauls pros'!L42</f>
        <v>21-24</v>
      </c>
      <c r="N44" t="str">
        <f>Processing!I45</f>
        <v>GFR (SD 21-24)</v>
      </c>
    </row>
    <row r="45" spans="2:14" x14ac:dyDescent="0.25">
      <c r="B45">
        <f>Processing!D46</f>
        <v>22142</v>
      </c>
      <c r="C45" t="str">
        <f>Processing!F46</f>
        <v>37G1</v>
      </c>
      <c r="D45">
        <f>'Final list of total hauls pros'!C43</f>
        <v>22</v>
      </c>
      <c r="E45">
        <f>'Final list of total hauls pros'!D43</f>
        <v>54</v>
      </c>
      <c r="F45">
        <f>'Final list of total hauls pros'!E43</f>
        <v>15.9</v>
      </c>
      <c r="G45">
        <f>'Final list of total hauls pros'!F43</f>
        <v>11</v>
      </c>
      <c r="H45">
        <f>'Final list of total hauls pros'!G43</f>
        <v>30.1</v>
      </c>
      <c r="I45">
        <f>'Final list of total hauls pros'!H43</f>
        <v>2</v>
      </c>
      <c r="J45" t="str">
        <f>'Final list of total hauls pros'!I43</f>
        <v>GFR</v>
      </c>
      <c r="K45" s="13">
        <f>'Final list of total hauls pros'!J43</f>
        <v>54.265000000000001</v>
      </c>
      <c r="L45" s="13">
        <f>'Final list of total hauls pros'!K43</f>
        <v>11.501666666666701</v>
      </c>
      <c r="M45" t="str">
        <f>'Final list of total hauls pros'!L43</f>
        <v>21-24</v>
      </c>
      <c r="N45" t="str">
        <f>Processing!I46</f>
        <v>GFR (SD 21-24)</v>
      </c>
    </row>
    <row r="46" spans="2:14" x14ac:dyDescent="0.25">
      <c r="B46">
        <f>Processing!D47</f>
        <v>22143</v>
      </c>
      <c r="C46" t="str">
        <f>Processing!F47</f>
        <v>37G1</v>
      </c>
      <c r="D46">
        <f>'Final list of total hauls pros'!C44</f>
        <v>22</v>
      </c>
      <c r="E46">
        <f>'Final list of total hauls pros'!D44</f>
        <v>54</v>
      </c>
      <c r="F46">
        <f>'Final list of total hauls pros'!E44</f>
        <v>12.9</v>
      </c>
      <c r="G46">
        <f>'Final list of total hauls pros'!F44</f>
        <v>11</v>
      </c>
      <c r="H46">
        <f>'Final list of total hauls pros'!G44</f>
        <v>33.1</v>
      </c>
      <c r="I46">
        <f>'Final list of total hauls pros'!H44</f>
        <v>2</v>
      </c>
      <c r="J46" t="str">
        <f>'Final list of total hauls pros'!I44</f>
        <v>GFR</v>
      </c>
      <c r="K46" s="13">
        <f>'Final list of total hauls pros'!J44</f>
        <v>54.215000000000003</v>
      </c>
      <c r="L46" s="13">
        <f>'Final list of total hauls pros'!K44</f>
        <v>11.5516666666667</v>
      </c>
      <c r="M46" t="str">
        <f>'Final list of total hauls pros'!L44</f>
        <v>21-24</v>
      </c>
      <c r="N46" t="str">
        <f>Processing!I47</f>
        <v>GFR (SD 21-24)</v>
      </c>
    </row>
    <row r="47" spans="2:14" x14ac:dyDescent="0.25">
      <c r="B47">
        <f>Processing!D48</f>
        <v>22144</v>
      </c>
      <c r="C47" t="str">
        <f>Processing!F48</f>
        <v>37G1</v>
      </c>
      <c r="D47">
        <f>'Final list of total hauls pros'!C45</f>
        <v>22</v>
      </c>
      <c r="E47">
        <f>'Final list of total hauls pros'!D45</f>
        <v>54</v>
      </c>
      <c r="F47">
        <f>'Final list of total hauls pros'!E45</f>
        <v>18.23</v>
      </c>
      <c r="G47">
        <f>'Final list of total hauls pros'!F45</f>
        <v>11</v>
      </c>
      <c r="H47">
        <f>'Final list of total hauls pros'!G45</f>
        <v>29.17</v>
      </c>
      <c r="I47">
        <f>'Final list of total hauls pros'!H45</f>
        <v>2</v>
      </c>
      <c r="J47" t="str">
        <f>'Final list of total hauls pros'!I45</f>
        <v>GFR</v>
      </c>
      <c r="K47" s="13">
        <f>'Final list of total hauls pros'!J45</f>
        <v>54.303833333333301</v>
      </c>
      <c r="L47" s="13">
        <f>'Final list of total hauls pros'!K45</f>
        <v>11.486166666666699</v>
      </c>
      <c r="M47" t="str">
        <f>'Final list of total hauls pros'!L45</f>
        <v>21-24</v>
      </c>
      <c r="N47" t="str">
        <f>Processing!I48</f>
        <v>GFR (SD 21-24)</v>
      </c>
    </row>
    <row r="48" spans="2:14" x14ac:dyDescent="0.25">
      <c r="B48">
        <f>Processing!D49</f>
        <v>22146</v>
      </c>
      <c r="C48" t="str">
        <f>Processing!F49</f>
        <v>37G1</v>
      </c>
      <c r="D48">
        <f>'Final list of total hauls pros'!C46</f>
        <v>22</v>
      </c>
      <c r="E48">
        <f>'Final list of total hauls pros'!D46</f>
        <v>54</v>
      </c>
      <c r="F48">
        <f>'Final list of total hauls pros'!E46</f>
        <v>17.75</v>
      </c>
      <c r="G48">
        <f>'Final list of total hauls pros'!F46</f>
        <v>11</v>
      </c>
      <c r="H48">
        <f>'Final list of total hauls pros'!G46</f>
        <v>36.299999999999997</v>
      </c>
      <c r="I48">
        <f>'Final list of total hauls pros'!H46</f>
        <v>2</v>
      </c>
      <c r="J48" t="str">
        <f>'Final list of total hauls pros'!I46</f>
        <v>GFR</v>
      </c>
      <c r="K48" s="13">
        <f>'Final list of total hauls pros'!J46</f>
        <v>54.295833333333299</v>
      </c>
      <c r="L48" s="13">
        <f>'Final list of total hauls pros'!K46</f>
        <v>11.605</v>
      </c>
      <c r="M48" t="str">
        <f>'Final list of total hauls pros'!L46</f>
        <v>21-24</v>
      </c>
      <c r="N48" t="str">
        <f>Processing!I49</f>
        <v>GFR (SD 21-24)</v>
      </c>
    </row>
    <row r="49" spans="2:14" x14ac:dyDescent="0.25">
      <c r="B49">
        <f>Processing!D50</f>
        <v>24001</v>
      </c>
      <c r="C49" t="str">
        <f>Processing!F50</f>
        <v>37G2</v>
      </c>
      <c r="D49">
        <f>'Final list of total hauls pros'!C47</f>
        <v>24</v>
      </c>
      <c r="E49">
        <f>'Final list of total hauls pros'!D47</f>
        <v>54</v>
      </c>
      <c r="F49">
        <f>'Final list of total hauls pros'!E47</f>
        <v>23.05</v>
      </c>
      <c r="G49">
        <f>'Final list of total hauls pros'!F47</f>
        <v>12</v>
      </c>
      <c r="H49">
        <f>'Final list of total hauls pros'!G47</f>
        <v>11.63</v>
      </c>
      <c r="I49">
        <f>'Final list of total hauls pros'!H47</f>
        <v>2</v>
      </c>
      <c r="J49" t="str">
        <f>'Final list of total hauls pros'!I47</f>
        <v>GFR</v>
      </c>
      <c r="K49" s="13">
        <f>'Final list of total hauls pros'!J47</f>
        <v>54.384166666666701</v>
      </c>
      <c r="L49" s="13">
        <f>'Final list of total hauls pros'!K47</f>
        <v>12.1938333333333</v>
      </c>
      <c r="M49" t="str">
        <f>'Final list of total hauls pros'!L47</f>
        <v>21-24</v>
      </c>
      <c r="N49" t="str">
        <f>Processing!I50</f>
        <v>GFR (SD 21-24)</v>
      </c>
    </row>
    <row r="50" spans="2:14" x14ac:dyDescent="0.25">
      <c r="B50">
        <f>Processing!D51</f>
        <v>24002</v>
      </c>
      <c r="C50" t="str">
        <f>Processing!F51</f>
        <v>37G2</v>
      </c>
      <c r="D50">
        <f>'Final list of total hauls pros'!C48</f>
        <v>24</v>
      </c>
      <c r="E50">
        <f>'Final list of total hauls pros'!D48</f>
        <v>54</v>
      </c>
      <c r="F50">
        <f>'Final list of total hauls pros'!E48</f>
        <v>26.48</v>
      </c>
      <c r="G50">
        <f>'Final list of total hauls pros'!F48</f>
        <v>12</v>
      </c>
      <c r="H50">
        <f>'Final list of total hauls pros'!G48</f>
        <v>20.88</v>
      </c>
      <c r="I50">
        <f>'Final list of total hauls pros'!H48</f>
        <v>2</v>
      </c>
      <c r="J50" t="str">
        <f>'Final list of total hauls pros'!I48</f>
        <v>GFR</v>
      </c>
      <c r="K50" s="13">
        <f>'Final list of total hauls pros'!J48</f>
        <v>54.441333333333297</v>
      </c>
      <c r="L50" s="13">
        <f>'Final list of total hauls pros'!K48</f>
        <v>12.348000000000001</v>
      </c>
      <c r="M50" t="str">
        <f>'Final list of total hauls pros'!L48</f>
        <v>21-24</v>
      </c>
      <c r="N50" t="str">
        <f>Processing!I51</f>
        <v>GFR (SD 21-24)</v>
      </c>
    </row>
    <row r="51" spans="2:14" x14ac:dyDescent="0.25">
      <c r="B51">
        <f>Processing!D52</f>
        <v>24005</v>
      </c>
      <c r="C51" t="str">
        <f>Processing!F52</f>
        <v>38G2</v>
      </c>
      <c r="D51">
        <f>'Final list of total hauls pros'!C49</f>
        <v>24</v>
      </c>
      <c r="E51">
        <f>'Final list of total hauls pros'!D49</f>
        <v>54</v>
      </c>
      <c r="F51">
        <f>'Final list of total hauls pros'!E49</f>
        <v>39.6</v>
      </c>
      <c r="G51">
        <f>'Final list of total hauls pros'!F49</f>
        <v>12</v>
      </c>
      <c r="H51">
        <f>'Final list of total hauls pros'!G49</f>
        <v>11.2</v>
      </c>
      <c r="I51">
        <f>'Final list of total hauls pros'!H49</f>
        <v>2</v>
      </c>
      <c r="J51" t="str">
        <f>'Final list of total hauls pros'!I49</f>
        <v>DEN</v>
      </c>
      <c r="K51" s="13">
        <f>'Final list of total hauls pros'!J49</f>
        <v>54.66</v>
      </c>
      <c r="L51" s="13">
        <f>'Final list of total hauls pros'!K49</f>
        <v>12.186666666666699</v>
      </c>
      <c r="M51" t="str">
        <f>'Final list of total hauls pros'!L49</f>
        <v>21-24</v>
      </c>
      <c r="N51" t="str">
        <f>Processing!I52</f>
        <v>GFR (SD 21-24)</v>
      </c>
    </row>
    <row r="52" spans="2:14" x14ac:dyDescent="0.25">
      <c r="B52">
        <f>Processing!D53</f>
        <v>24006</v>
      </c>
      <c r="C52" t="str">
        <f>Processing!F53</f>
        <v>38G2</v>
      </c>
      <c r="D52">
        <f>'Final list of total hauls pros'!C50</f>
        <v>24</v>
      </c>
      <c r="E52">
        <f>'Final list of total hauls pros'!D50</f>
        <v>54</v>
      </c>
      <c r="F52">
        <f>'Final list of total hauls pros'!E50</f>
        <v>35.31</v>
      </c>
      <c r="G52">
        <f>'Final list of total hauls pros'!F50</f>
        <v>12</v>
      </c>
      <c r="H52">
        <f>'Final list of total hauls pros'!G50</f>
        <v>27.37</v>
      </c>
      <c r="I52">
        <f>'Final list of total hauls pros'!H50</f>
        <v>2</v>
      </c>
      <c r="J52" t="str">
        <f>'Final list of total hauls pros'!I50</f>
        <v>GFR</v>
      </c>
      <c r="K52" s="13">
        <f>'Final list of total hauls pros'!J50</f>
        <v>54.588500000000003</v>
      </c>
      <c r="L52" s="13">
        <f>'Final list of total hauls pros'!K50</f>
        <v>12.4561666666667</v>
      </c>
      <c r="M52" t="str">
        <f>'Final list of total hauls pros'!L50</f>
        <v>21-24</v>
      </c>
      <c r="N52" t="str">
        <f>Processing!I53</f>
        <v>GFR (SD 21-24)</v>
      </c>
    </row>
    <row r="53" spans="2:14" x14ac:dyDescent="0.25">
      <c r="B53">
        <f>Processing!D54</f>
        <v>24016</v>
      </c>
      <c r="C53" t="str">
        <f>Processing!F54</f>
        <v>38G2</v>
      </c>
      <c r="D53">
        <f>'Final list of total hauls pros'!C51</f>
        <v>24</v>
      </c>
      <c r="E53">
        <f>'Final list of total hauls pros'!D51</f>
        <v>54</v>
      </c>
      <c r="F53">
        <f>'Final list of total hauls pros'!E51</f>
        <v>41.28</v>
      </c>
      <c r="G53">
        <f>'Final list of total hauls pros'!F51</f>
        <v>12</v>
      </c>
      <c r="H53">
        <f>'Final list of total hauls pros'!G51</f>
        <v>58.35</v>
      </c>
      <c r="I53">
        <f>'Final list of total hauls pros'!H51</f>
        <v>2</v>
      </c>
      <c r="J53" t="str">
        <f>'Final list of total hauls pros'!I51</f>
        <v>GFR</v>
      </c>
      <c r="K53" s="13">
        <f>'Final list of total hauls pros'!J51</f>
        <v>54.688000000000002</v>
      </c>
      <c r="L53" s="13">
        <f>'Final list of total hauls pros'!K51</f>
        <v>12.9725</v>
      </c>
      <c r="M53" t="str">
        <f>'Final list of total hauls pros'!L51</f>
        <v>21-24</v>
      </c>
      <c r="N53" t="str">
        <f>Processing!I54</f>
        <v>GFR (SD 21-24)</v>
      </c>
    </row>
    <row r="54" spans="2:14" x14ac:dyDescent="0.25">
      <c r="B54">
        <f>Processing!D55</f>
        <v>24022</v>
      </c>
      <c r="C54" t="str">
        <f>Processing!F55</f>
        <v>37G4</v>
      </c>
      <c r="D54">
        <f>'Final list of total hauls pros'!C52</f>
        <v>24</v>
      </c>
      <c r="E54">
        <f>'Final list of total hauls pros'!D52</f>
        <v>54</v>
      </c>
      <c r="F54">
        <f>'Final list of total hauls pros'!E52</f>
        <v>26.75</v>
      </c>
      <c r="G54">
        <f>'Final list of total hauls pros'!F52</f>
        <v>14</v>
      </c>
      <c r="H54">
        <f>'Final list of total hauls pros'!G52</f>
        <v>57.3</v>
      </c>
      <c r="I54">
        <f>'Final list of total hauls pros'!H52</f>
        <v>2</v>
      </c>
      <c r="J54" t="str">
        <f>'Final list of total hauls pros'!I52</f>
        <v>POL</v>
      </c>
      <c r="K54" s="13">
        <f>'Final list of total hauls pros'!J52</f>
        <v>54.445833333333297</v>
      </c>
      <c r="L54" s="13">
        <f>'Final list of total hauls pros'!K52</f>
        <v>14.955</v>
      </c>
      <c r="M54" t="str">
        <f>'Final list of total hauls pros'!L52</f>
        <v>21-24</v>
      </c>
      <c r="N54" t="str">
        <f>Processing!I55</f>
        <v>GFR (SD 21-24)</v>
      </c>
    </row>
    <row r="55" spans="2:14" x14ac:dyDescent="0.25">
      <c r="B55">
        <f>Processing!D56</f>
        <v>24024</v>
      </c>
      <c r="C55" t="str">
        <f>Processing!F56</f>
        <v>38G3</v>
      </c>
      <c r="D55">
        <f>'Final list of total hauls pros'!C53</f>
        <v>24</v>
      </c>
      <c r="E55">
        <f>'Final list of total hauls pros'!D53</f>
        <v>54</v>
      </c>
      <c r="F55">
        <f>'Final list of total hauls pros'!E53</f>
        <v>34.4</v>
      </c>
      <c r="G55">
        <f>'Final list of total hauls pros'!F53</f>
        <v>13</v>
      </c>
      <c r="H55">
        <f>'Final list of total hauls pros'!G53</f>
        <v>47.6</v>
      </c>
      <c r="I55">
        <f>'Final list of total hauls pros'!H53</f>
        <v>2</v>
      </c>
      <c r="J55" t="str">
        <f>'Final list of total hauls pros'!I53</f>
        <v>GFR</v>
      </c>
      <c r="K55" s="13">
        <f>'Final list of total hauls pros'!J53</f>
        <v>54.573333333333302</v>
      </c>
      <c r="L55" s="13">
        <f>'Final list of total hauls pros'!K53</f>
        <v>13.793333333333299</v>
      </c>
      <c r="M55" t="str">
        <f>'Final list of total hauls pros'!L53</f>
        <v>21-24</v>
      </c>
      <c r="N55" t="str">
        <f>Processing!I56</f>
        <v>GFR (SD 21-24)</v>
      </c>
    </row>
    <row r="56" spans="2:14" x14ac:dyDescent="0.25">
      <c r="B56">
        <f>Processing!D57</f>
        <v>24039</v>
      </c>
      <c r="C56" t="str">
        <f>Processing!F57</f>
        <v>38G4</v>
      </c>
      <c r="D56">
        <f>'Final list of total hauls pros'!C54</f>
        <v>24</v>
      </c>
      <c r="E56">
        <f>'Final list of total hauls pros'!D54</f>
        <v>54</v>
      </c>
      <c r="F56">
        <f>'Final list of total hauls pros'!E54</f>
        <v>39.36</v>
      </c>
      <c r="G56">
        <f>'Final list of total hauls pros'!F54</f>
        <v>14</v>
      </c>
      <c r="H56">
        <f>'Final list of total hauls pros'!G54</f>
        <v>9.4700000000000006</v>
      </c>
      <c r="I56">
        <f>'Final list of total hauls pros'!H54</f>
        <v>2</v>
      </c>
      <c r="J56" t="str">
        <f>'Final list of total hauls pros'!I54</f>
        <v>GFR</v>
      </c>
      <c r="K56" s="13">
        <f>'Final list of total hauls pros'!J54</f>
        <v>54.655999999999999</v>
      </c>
      <c r="L56" s="13">
        <f>'Final list of total hauls pros'!K54</f>
        <v>14.157833333333301</v>
      </c>
      <c r="M56" t="str">
        <f>'Final list of total hauls pros'!L54</f>
        <v>21-24</v>
      </c>
      <c r="N56" t="str">
        <f>Processing!I57</f>
        <v>GFR (SD 21-24)</v>
      </c>
    </row>
    <row r="57" spans="2:14" x14ac:dyDescent="0.25">
      <c r="B57">
        <f>Processing!D58</f>
        <v>24046</v>
      </c>
      <c r="C57" t="str">
        <f>Processing!F58</f>
        <v>38G4</v>
      </c>
      <c r="D57">
        <f>'Final list of total hauls pros'!C55</f>
        <v>24</v>
      </c>
      <c r="E57">
        <f>'Final list of total hauls pros'!D55</f>
        <v>54</v>
      </c>
      <c r="F57">
        <f>'Final list of total hauls pros'!E55</f>
        <v>40.200000000000003</v>
      </c>
      <c r="G57">
        <f>'Final list of total hauls pros'!F55</f>
        <v>14</v>
      </c>
      <c r="H57">
        <f>'Final list of total hauls pros'!G55</f>
        <v>30.7</v>
      </c>
      <c r="I57">
        <f>'Final list of total hauls pros'!H55</f>
        <v>2</v>
      </c>
      <c r="J57" t="str">
        <f>'Final list of total hauls pros'!I55</f>
        <v>DEN</v>
      </c>
      <c r="K57" s="13">
        <f>'Final list of total hauls pros'!J55</f>
        <v>54.67</v>
      </c>
      <c r="L57" s="13">
        <f>'Final list of total hauls pros'!K55</f>
        <v>14.5116666666667</v>
      </c>
      <c r="M57" t="str">
        <f>'Final list of total hauls pros'!L55</f>
        <v>21-24</v>
      </c>
      <c r="N57" t="str">
        <f>Processing!I58</f>
        <v>GFR (SD 21-24)</v>
      </c>
    </row>
    <row r="58" spans="2:14" x14ac:dyDescent="0.25">
      <c r="B58">
        <f>Processing!D59</f>
        <v>24047</v>
      </c>
      <c r="C58" t="str">
        <f>Processing!F59</f>
        <v>38G4</v>
      </c>
      <c r="D58">
        <f>'Final list of total hauls pros'!C56</f>
        <v>24</v>
      </c>
      <c r="E58">
        <f>'Final list of total hauls pros'!D56</f>
        <v>54</v>
      </c>
      <c r="F58">
        <f>'Final list of total hauls pros'!E56</f>
        <v>35.4</v>
      </c>
      <c r="G58">
        <f>'Final list of total hauls pros'!F56</f>
        <v>14</v>
      </c>
      <c r="H58">
        <f>'Final list of total hauls pros'!G56</f>
        <v>27.96</v>
      </c>
      <c r="I58">
        <f>'Final list of total hauls pros'!H56</f>
        <v>2</v>
      </c>
      <c r="J58" t="str">
        <f>'Final list of total hauls pros'!I56</f>
        <v>GFR</v>
      </c>
      <c r="K58" s="13">
        <f>'Final list of total hauls pros'!J56</f>
        <v>54.59</v>
      </c>
      <c r="L58" s="13">
        <f>'Final list of total hauls pros'!K56</f>
        <v>14.465999999999999</v>
      </c>
      <c r="M58" t="str">
        <f>'Final list of total hauls pros'!L56</f>
        <v>21-24</v>
      </c>
      <c r="N58" t="str">
        <f>Processing!I59</f>
        <v>GFR (SD 21-24)</v>
      </c>
    </row>
    <row r="59" spans="2:14" x14ac:dyDescent="0.25">
      <c r="B59">
        <f>Processing!D60</f>
        <v>24055</v>
      </c>
      <c r="C59" t="str">
        <f>Processing!F60</f>
        <v>38G4</v>
      </c>
      <c r="D59">
        <f>'Final list of total hauls pros'!C57</f>
        <v>24</v>
      </c>
      <c r="E59">
        <f>'Final list of total hauls pros'!D57</f>
        <v>54</v>
      </c>
      <c r="F59">
        <f>'Final list of total hauls pros'!E57</f>
        <v>34.159999999999997</v>
      </c>
      <c r="G59">
        <f>'Final list of total hauls pros'!F57</f>
        <v>14</v>
      </c>
      <c r="H59">
        <f>'Final list of total hauls pros'!G57</f>
        <v>43.13</v>
      </c>
      <c r="I59">
        <f>'Final list of total hauls pros'!H57</f>
        <v>2</v>
      </c>
      <c r="J59" t="str">
        <f>'Final list of total hauls pros'!I57</f>
        <v>POL</v>
      </c>
      <c r="K59" s="13">
        <f>'Final list of total hauls pros'!J57</f>
        <v>54.569333333333297</v>
      </c>
      <c r="L59" s="13">
        <f>'Final list of total hauls pros'!K57</f>
        <v>14.718833333333301</v>
      </c>
      <c r="M59" t="str">
        <f>'Final list of total hauls pros'!L57</f>
        <v>21-24</v>
      </c>
      <c r="N59" t="str">
        <f>Processing!I60</f>
        <v>GFR (SD 21-24)</v>
      </c>
    </row>
    <row r="60" spans="2:14" x14ac:dyDescent="0.25">
      <c r="B60">
        <f>Processing!D61</f>
        <v>24057</v>
      </c>
      <c r="C60" t="str">
        <f>Processing!F61</f>
        <v>37G4</v>
      </c>
      <c r="D60">
        <f>'Final list of total hauls pros'!C58</f>
        <v>24</v>
      </c>
      <c r="E60">
        <f>'Final list of total hauls pros'!D58</f>
        <v>54</v>
      </c>
      <c r="F60">
        <f>'Final list of total hauls pros'!E58</f>
        <v>32.299999999999997</v>
      </c>
      <c r="G60">
        <f>'Final list of total hauls pros'!F58</f>
        <v>14</v>
      </c>
      <c r="H60">
        <f>'Final list of total hauls pros'!G58</f>
        <v>56.3</v>
      </c>
      <c r="I60">
        <f>'Final list of total hauls pros'!H58</f>
        <v>2</v>
      </c>
      <c r="J60" t="str">
        <f>'Final list of total hauls pros'!I58</f>
        <v>POL</v>
      </c>
      <c r="K60" s="13">
        <f>'Final list of total hauls pros'!J58</f>
        <v>54.538333333333298</v>
      </c>
      <c r="L60" s="13">
        <f>'Final list of total hauls pros'!K58</f>
        <v>14.938333333333301</v>
      </c>
      <c r="M60" t="str">
        <f>'Final list of total hauls pros'!L58</f>
        <v>21-24</v>
      </c>
      <c r="N60" t="str">
        <f>Processing!I61</f>
        <v>GFR (SD 21-24)</v>
      </c>
    </row>
    <row r="61" spans="2:14" x14ac:dyDescent="0.25">
      <c r="B61">
        <f>Processing!D62</f>
        <v>24059</v>
      </c>
      <c r="C61" t="str">
        <f>Processing!F62</f>
        <v>38G2</v>
      </c>
      <c r="D61">
        <f>'Final list of total hauls pros'!C59</f>
        <v>24</v>
      </c>
      <c r="E61">
        <f>'Final list of total hauls pros'!D59</f>
        <v>54</v>
      </c>
      <c r="F61">
        <f>'Final list of total hauls pros'!E59</f>
        <v>46.77</v>
      </c>
      <c r="G61">
        <f>'Final list of total hauls pros'!F59</f>
        <v>12</v>
      </c>
      <c r="H61">
        <f>'Final list of total hauls pros'!G59</f>
        <v>21.78</v>
      </c>
      <c r="I61">
        <f>'Final list of total hauls pros'!H59</f>
        <v>2</v>
      </c>
      <c r="J61" t="str">
        <f>'Final list of total hauls pros'!I59</f>
        <v>DEN</v>
      </c>
      <c r="K61" s="13">
        <f>'Final list of total hauls pros'!J59</f>
        <v>54.779499999999999</v>
      </c>
      <c r="L61" s="13">
        <f>'Final list of total hauls pros'!K59</f>
        <v>12.363</v>
      </c>
      <c r="M61" t="str">
        <f>'Final list of total hauls pros'!L59</f>
        <v>21-24</v>
      </c>
      <c r="N61" t="str">
        <f>Processing!I62</f>
        <v>GFR (SD 21-24)</v>
      </c>
    </row>
    <row r="62" spans="2:14" x14ac:dyDescent="0.25">
      <c r="B62">
        <f>Processing!D63</f>
        <v>24066</v>
      </c>
      <c r="C62" t="str">
        <f>Processing!F63</f>
        <v>38G3</v>
      </c>
      <c r="D62">
        <f>'Final list of total hauls pros'!C60</f>
        <v>24</v>
      </c>
      <c r="E62">
        <f>'Final list of total hauls pros'!D60</f>
        <v>54</v>
      </c>
      <c r="F62">
        <f>'Final list of total hauls pros'!E60</f>
        <v>44.6</v>
      </c>
      <c r="G62">
        <f>'Final list of total hauls pros'!F60</f>
        <v>13</v>
      </c>
      <c r="H62">
        <f>'Final list of total hauls pros'!G60</f>
        <v>20.22</v>
      </c>
      <c r="I62">
        <f>'Final list of total hauls pros'!H60</f>
        <v>2</v>
      </c>
      <c r="J62" t="str">
        <f>'Final list of total hauls pros'!I60</f>
        <v>GFR</v>
      </c>
      <c r="K62" s="13">
        <f>'Final list of total hauls pros'!J60</f>
        <v>54.743333333333297</v>
      </c>
      <c r="L62" s="13">
        <f>'Final list of total hauls pros'!K60</f>
        <v>13.337</v>
      </c>
      <c r="M62" t="str">
        <f>'Final list of total hauls pros'!L60</f>
        <v>21-24</v>
      </c>
      <c r="N62" t="str">
        <f>Processing!I63</f>
        <v>GFR (SD 21-24)</v>
      </c>
    </row>
    <row r="63" spans="2:14" x14ac:dyDescent="0.25">
      <c r="B63">
        <f>Processing!D64</f>
        <v>24086</v>
      </c>
      <c r="C63" t="str">
        <f>Processing!F64</f>
        <v>39G2</v>
      </c>
      <c r="D63">
        <f>'Final list of total hauls pros'!C61</f>
        <v>24</v>
      </c>
      <c r="E63">
        <f>'Final list of total hauls pros'!D61</f>
        <v>54</v>
      </c>
      <c r="F63">
        <f>'Final list of total hauls pros'!E61</f>
        <v>59.23</v>
      </c>
      <c r="G63">
        <f>'Final list of total hauls pros'!F61</f>
        <v>12</v>
      </c>
      <c r="H63">
        <f>'Final list of total hauls pros'!G61</f>
        <v>40.340000000000003</v>
      </c>
      <c r="I63">
        <f>'Final list of total hauls pros'!H61</f>
        <v>2</v>
      </c>
      <c r="J63" t="str">
        <f>'Final list of total hauls pros'!I61</f>
        <v>DEN</v>
      </c>
      <c r="K63" s="13">
        <f>'Final list of total hauls pros'!J61</f>
        <v>54.987166666666702</v>
      </c>
      <c r="L63" s="13">
        <f>'Final list of total hauls pros'!K61</f>
        <v>12.672333333333301</v>
      </c>
      <c r="M63" t="str">
        <f>'Final list of total hauls pros'!L61</f>
        <v>21-24</v>
      </c>
      <c r="N63" t="str">
        <f>Processing!I64</f>
        <v>GFR (SD 21-24)</v>
      </c>
    </row>
    <row r="64" spans="2:14" x14ac:dyDescent="0.25">
      <c r="B64">
        <f>Processing!D65</f>
        <v>24089</v>
      </c>
      <c r="C64" t="str">
        <f>Processing!F65</f>
        <v>38G2</v>
      </c>
      <c r="D64">
        <f>'Final list of total hauls pros'!C62</f>
        <v>24</v>
      </c>
      <c r="E64">
        <f>'Final list of total hauls pros'!D62</f>
        <v>54</v>
      </c>
      <c r="F64">
        <f>'Final list of total hauls pros'!E62</f>
        <v>54.125399999999999</v>
      </c>
      <c r="G64">
        <f>'Final list of total hauls pros'!F62</f>
        <v>12</v>
      </c>
      <c r="H64">
        <f>'Final list of total hauls pros'!G62</f>
        <v>54</v>
      </c>
      <c r="I64">
        <f>'Final list of total hauls pros'!H62</f>
        <v>3</v>
      </c>
      <c r="J64" t="str">
        <f>'Final list of total hauls pros'!I62</f>
        <v>DEN</v>
      </c>
      <c r="K64" s="13">
        <f>'Final list of total hauls pros'!J62</f>
        <v>54.902090000000001</v>
      </c>
      <c r="L64" s="13">
        <f>'Final list of total hauls pros'!K62</f>
        <v>12.9</v>
      </c>
      <c r="M64" t="str">
        <f>'Final list of total hauls pros'!L62</f>
        <v>21-24</v>
      </c>
      <c r="N64" t="str">
        <f>Processing!I65</f>
        <v>GFR (SD 21-24)</v>
      </c>
    </row>
    <row r="65" spans="2:14" x14ac:dyDescent="0.25">
      <c r="B65">
        <f>Processing!D66</f>
        <v>24095</v>
      </c>
      <c r="C65" t="str">
        <f>Processing!F66</f>
        <v>39G2</v>
      </c>
      <c r="D65">
        <f>'Final list of total hauls pros'!C63</f>
        <v>24</v>
      </c>
      <c r="E65">
        <f>'Final list of total hauls pros'!D63</f>
        <v>55</v>
      </c>
      <c r="F65">
        <f>'Final list of total hauls pros'!E63</f>
        <v>5</v>
      </c>
      <c r="G65">
        <f>'Final list of total hauls pros'!F63</f>
        <v>12</v>
      </c>
      <c r="H65">
        <f>'Final list of total hauls pros'!G63</f>
        <v>50.1</v>
      </c>
      <c r="I65">
        <f>'Final list of total hauls pros'!H63</f>
        <v>2</v>
      </c>
      <c r="J65" t="str">
        <f>'Final list of total hauls pros'!I63</f>
        <v>DEN</v>
      </c>
      <c r="K65" s="13">
        <f>'Final list of total hauls pros'!J63</f>
        <v>55.0833333333333</v>
      </c>
      <c r="L65" s="13">
        <f>'Final list of total hauls pros'!K63</f>
        <v>12.835000000000001</v>
      </c>
      <c r="M65" t="str">
        <f>'Final list of total hauls pros'!L63</f>
        <v>21-24</v>
      </c>
      <c r="N65" t="str">
        <f>Processing!I66</f>
        <v>GFR (SD 21-24)</v>
      </c>
    </row>
    <row r="66" spans="2:14" x14ac:dyDescent="0.25">
      <c r="B66">
        <f>Processing!D67</f>
        <v>24101</v>
      </c>
      <c r="C66" t="str">
        <f>Processing!F67</f>
        <v>39G3</v>
      </c>
      <c r="D66">
        <f>'Final list of total hauls pros'!C64</f>
        <v>24</v>
      </c>
      <c r="E66">
        <f>'Final list of total hauls pros'!D64</f>
        <v>55</v>
      </c>
      <c r="F66">
        <f>'Final list of total hauls pros'!E64</f>
        <v>6.87</v>
      </c>
      <c r="G66">
        <f>'Final list of total hauls pros'!F64</f>
        <v>13</v>
      </c>
      <c r="H66">
        <f>'Final list of total hauls pros'!G64</f>
        <v>52.47</v>
      </c>
      <c r="I66">
        <f>'Final list of total hauls pros'!H64</f>
        <v>3</v>
      </c>
      <c r="J66" t="str">
        <f>'Final list of total hauls pros'!I64</f>
        <v>SWE</v>
      </c>
      <c r="K66" s="13">
        <f>'Final list of total hauls pros'!J64</f>
        <v>55.1145</v>
      </c>
      <c r="L66" s="13">
        <f>'Final list of total hauls pros'!K64</f>
        <v>13.874499999999999</v>
      </c>
      <c r="M66" t="str">
        <f>'Final list of total hauls pros'!L64</f>
        <v>21-24</v>
      </c>
      <c r="N66" t="str">
        <f>Processing!I67</f>
        <v>GFR (SD 21-24)</v>
      </c>
    </row>
    <row r="67" spans="2:14" x14ac:dyDescent="0.25">
      <c r="B67">
        <f>Processing!D68</f>
        <v>24104</v>
      </c>
      <c r="C67" t="str">
        <f>Processing!F68</f>
        <v>39G3</v>
      </c>
      <c r="D67">
        <f>'Final list of total hauls pros'!C65</f>
        <v>24</v>
      </c>
      <c r="E67">
        <f>'Final list of total hauls pros'!D65</f>
        <v>55</v>
      </c>
      <c r="F67">
        <f>'Final list of total hauls pros'!E65</f>
        <v>3.98</v>
      </c>
      <c r="G67">
        <f>'Final list of total hauls pros'!F65</f>
        <v>13</v>
      </c>
      <c r="H67">
        <f>'Final list of total hauls pros'!G65</f>
        <v>20.399999999999999</v>
      </c>
      <c r="I67">
        <f>'Final list of total hauls pros'!H65</f>
        <v>3</v>
      </c>
      <c r="J67" t="str">
        <f>'Final list of total hauls pros'!I65</f>
        <v>SWE</v>
      </c>
      <c r="K67" s="13">
        <f>'Final list of total hauls pros'!J65</f>
        <v>55.066333333333297</v>
      </c>
      <c r="L67" s="13">
        <f>'Final list of total hauls pros'!K65</f>
        <v>13.34</v>
      </c>
      <c r="M67" t="str">
        <f>'Final list of total hauls pros'!L65</f>
        <v>21-24</v>
      </c>
      <c r="N67" t="str">
        <f>Processing!I68</f>
        <v>GFR (SD 21-24)</v>
      </c>
    </row>
    <row r="68" spans="2:14" x14ac:dyDescent="0.25">
      <c r="B68">
        <f>Processing!D69</f>
        <v>24107</v>
      </c>
      <c r="C68" t="str">
        <f>Processing!F69</f>
        <v>39G3</v>
      </c>
      <c r="D68">
        <f>'Final list of total hauls pros'!C66</f>
        <v>24</v>
      </c>
      <c r="E68">
        <f>'Final list of total hauls pros'!D66</f>
        <v>55</v>
      </c>
      <c r="F68">
        <f>'Final list of total hauls pros'!E66</f>
        <v>16.399999999999999</v>
      </c>
      <c r="G68">
        <f>'Final list of total hauls pros'!F66</f>
        <v>13</v>
      </c>
      <c r="H68">
        <f>'Final list of total hauls pros'!G66</f>
        <v>44.6</v>
      </c>
      <c r="I68">
        <f>'Final list of total hauls pros'!H66</f>
        <v>3</v>
      </c>
      <c r="J68" t="str">
        <f>'Final list of total hauls pros'!I66</f>
        <v>SWE</v>
      </c>
      <c r="K68" s="13">
        <f>'Final list of total hauls pros'!J66</f>
        <v>55.273333333333298</v>
      </c>
      <c r="L68" s="13">
        <f>'Final list of total hauls pros'!K66</f>
        <v>13.7433333333333</v>
      </c>
      <c r="M68" t="str">
        <f>'Final list of total hauls pros'!L66</f>
        <v>21-24</v>
      </c>
      <c r="N68" t="str">
        <f>Processing!I69</f>
        <v>SWE (SD 25-32)</v>
      </c>
    </row>
    <row r="69" spans="2:14" x14ac:dyDescent="0.25">
      <c r="B69">
        <f>Processing!D70</f>
        <v>24142</v>
      </c>
      <c r="C69" t="str">
        <f>Processing!F70</f>
        <v>39G4</v>
      </c>
      <c r="D69">
        <f>'Final list of total hauls pros'!C67</f>
        <v>24</v>
      </c>
      <c r="E69">
        <f>'Final list of total hauls pros'!D67</f>
        <v>55</v>
      </c>
      <c r="F69">
        <f>'Final list of total hauls pros'!E67</f>
        <v>16.399999999999999</v>
      </c>
      <c r="G69">
        <f>'Final list of total hauls pros'!F67</f>
        <v>14</v>
      </c>
      <c r="H69">
        <f>'Final list of total hauls pros'!G67</f>
        <v>5</v>
      </c>
      <c r="I69">
        <f>'Final list of total hauls pros'!H67</f>
        <v>2</v>
      </c>
      <c r="J69" t="str">
        <f>'Final list of total hauls pros'!I67</f>
        <v>SWE</v>
      </c>
      <c r="K69" s="13">
        <f>'Final list of total hauls pros'!J67</f>
        <v>55.273333333333298</v>
      </c>
      <c r="L69" s="13">
        <f>'Final list of total hauls pros'!K67</f>
        <v>14.0833333333333</v>
      </c>
      <c r="M69" t="str">
        <f>'Final list of total hauls pros'!L67</f>
        <v>21-24</v>
      </c>
      <c r="N69" t="str">
        <f>Processing!I70</f>
        <v>SWE (SD 25-32)</v>
      </c>
    </row>
    <row r="70" spans="2:14" x14ac:dyDescent="0.25">
      <c r="B70">
        <f>Processing!D71</f>
        <v>24150</v>
      </c>
      <c r="C70" t="str">
        <f>Processing!F71</f>
        <v>38G4</v>
      </c>
      <c r="D70">
        <f>'Final list of total hauls pros'!C68</f>
        <v>24</v>
      </c>
      <c r="E70">
        <f>'Final list of total hauls pros'!D68</f>
        <v>54</v>
      </c>
      <c r="F70">
        <f>'Final list of total hauls pros'!E68</f>
        <v>36.770000000000003</v>
      </c>
      <c r="G70">
        <f>'Final list of total hauls pros'!F68</f>
        <v>14</v>
      </c>
      <c r="H70">
        <f>'Final list of total hauls pros'!G68</f>
        <v>46.61</v>
      </c>
      <c r="I70">
        <f>'Final list of total hauls pros'!H68</f>
        <v>3</v>
      </c>
      <c r="J70" t="str">
        <f>'Final list of total hauls pros'!I68</f>
        <v>DEN</v>
      </c>
      <c r="K70" s="13">
        <f>'Final list of total hauls pros'!J68</f>
        <v>54.612833333333299</v>
      </c>
      <c r="L70" s="13">
        <f>'Final list of total hauls pros'!K68</f>
        <v>14.7768333333333</v>
      </c>
      <c r="M70" t="str">
        <f>'Final list of total hauls pros'!L68</f>
        <v>21-24</v>
      </c>
      <c r="N70" t="str">
        <f>Processing!I71</f>
        <v>GFR (SD 21-24)</v>
      </c>
    </row>
    <row r="71" spans="2:14" x14ac:dyDescent="0.25">
      <c r="B71">
        <f>Processing!D72</f>
        <v>24164</v>
      </c>
      <c r="C71" t="str">
        <f>Processing!F72</f>
        <v>38G4</v>
      </c>
      <c r="D71">
        <f>'Final list of total hauls pros'!C69</f>
        <v>24</v>
      </c>
      <c r="E71">
        <f>'Final list of total hauls pros'!D69</f>
        <v>54</v>
      </c>
      <c r="F71">
        <f>'Final list of total hauls pros'!E69</f>
        <v>40.17</v>
      </c>
      <c r="G71">
        <f>'Final list of total hauls pros'!F69</f>
        <v>14</v>
      </c>
      <c r="H71">
        <f>'Final list of total hauls pros'!G69</f>
        <v>40.29</v>
      </c>
      <c r="I71">
        <f>'Final list of total hauls pros'!H69</f>
        <v>3</v>
      </c>
      <c r="J71" t="str">
        <f>'Final list of total hauls pros'!I69</f>
        <v>DEN</v>
      </c>
      <c r="K71" s="13">
        <f>'Final list of total hauls pros'!J69</f>
        <v>54.669499999999999</v>
      </c>
      <c r="L71" s="13">
        <f>'Final list of total hauls pros'!K69</f>
        <v>14.6715</v>
      </c>
      <c r="M71" t="str">
        <f>'Final list of total hauls pros'!L69</f>
        <v>21-24</v>
      </c>
      <c r="N71" t="str">
        <f>Processing!I72</f>
        <v>GFR (SD 21-24)</v>
      </c>
    </row>
    <row r="72" spans="2:14" x14ac:dyDescent="0.25">
      <c r="B72">
        <f>Processing!D73</f>
        <v>24169</v>
      </c>
      <c r="C72" t="str">
        <f>Processing!F73</f>
        <v>38G2</v>
      </c>
      <c r="D72">
        <f>'Final list of total hauls pros'!C70</f>
        <v>24</v>
      </c>
      <c r="E72">
        <f>'Final list of total hauls pros'!D70</f>
        <v>54</v>
      </c>
      <c r="F72">
        <f>'Final list of total hauls pros'!E70</f>
        <v>54.8</v>
      </c>
      <c r="G72">
        <f>'Final list of total hauls pros'!F70</f>
        <v>12</v>
      </c>
      <c r="H72">
        <f>'Final list of total hauls pros'!G70</f>
        <v>58.5</v>
      </c>
      <c r="I72">
        <f>'Final list of total hauls pros'!H70</f>
        <v>2</v>
      </c>
      <c r="J72" t="str">
        <f>'Final list of total hauls pros'!I70</f>
        <v>DEN</v>
      </c>
      <c r="K72" s="13">
        <f>'Final list of total hauls pros'!J70</f>
        <v>54.913333333333298</v>
      </c>
      <c r="L72" s="13">
        <f>'Final list of total hauls pros'!K70</f>
        <v>12.975</v>
      </c>
      <c r="M72" t="str">
        <f>'Final list of total hauls pros'!L70</f>
        <v>21-24</v>
      </c>
      <c r="N72" t="str">
        <f>Processing!I73</f>
        <v>GFR (SD 21-24)</v>
      </c>
    </row>
    <row r="73" spans="2:14" x14ac:dyDescent="0.25">
      <c r="B73">
        <f>Processing!D74</f>
        <v>24183</v>
      </c>
      <c r="C73" t="str">
        <f>Processing!F74</f>
        <v>38G3</v>
      </c>
      <c r="D73">
        <f>'Final list of total hauls pros'!C71</f>
        <v>24</v>
      </c>
      <c r="E73">
        <f>'Final list of total hauls pros'!D71</f>
        <v>55</v>
      </c>
      <c r="F73">
        <f>'Final list of total hauls pros'!E71</f>
        <v>0</v>
      </c>
      <c r="G73">
        <f>'Final list of total hauls pros'!F71</f>
        <v>13</v>
      </c>
      <c r="H73">
        <f>'Final list of total hauls pros'!G71</f>
        <v>31.7</v>
      </c>
      <c r="I73">
        <f>'Final list of total hauls pros'!H71</f>
        <v>3</v>
      </c>
      <c r="J73" t="str">
        <f>'Final list of total hauls pros'!I71</f>
        <v>GFR</v>
      </c>
      <c r="K73" s="13">
        <f>'Final list of total hauls pros'!J71</f>
        <v>55</v>
      </c>
      <c r="L73" s="13">
        <f>'Final list of total hauls pros'!K71</f>
        <v>13.5283333333333</v>
      </c>
      <c r="M73" t="str">
        <f>'Final list of total hauls pros'!L71</f>
        <v>21-24</v>
      </c>
      <c r="N73" t="str">
        <f>Processing!I74</f>
        <v>GFR (SD 21-24)</v>
      </c>
    </row>
    <row r="74" spans="2:14" x14ac:dyDescent="0.25">
      <c r="B74">
        <f>Processing!D75</f>
        <v>24207</v>
      </c>
      <c r="C74" t="str">
        <f>Processing!F75</f>
        <v>38G4</v>
      </c>
      <c r="D74">
        <f>'Final list of total hauls pros'!C72</f>
        <v>24</v>
      </c>
      <c r="E74">
        <f>'Final list of total hauls pros'!D72</f>
        <v>54</v>
      </c>
      <c r="F74">
        <f>'Final list of total hauls pros'!E72</f>
        <v>59.2</v>
      </c>
      <c r="G74">
        <f>'Final list of total hauls pros'!F72</f>
        <v>14</v>
      </c>
      <c r="H74">
        <f>'Final list of total hauls pros'!G72</f>
        <v>9.5</v>
      </c>
      <c r="I74">
        <f>'Final list of total hauls pros'!H72</f>
        <v>3</v>
      </c>
      <c r="J74" t="str">
        <f>'Final list of total hauls pros'!I72</f>
        <v>DEN</v>
      </c>
      <c r="K74" s="13">
        <f>'Final list of total hauls pros'!J72</f>
        <v>54.9866666666667</v>
      </c>
      <c r="L74" s="13">
        <f>'Final list of total hauls pros'!K72</f>
        <v>14.158333333333299</v>
      </c>
      <c r="M74" t="str">
        <f>'Final list of total hauls pros'!L72</f>
        <v>21-24</v>
      </c>
      <c r="N74" t="str">
        <f>Processing!I75</f>
        <v>GFR (SD 21-24)</v>
      </c>
    </row>
    <row r="75" spans="2:14" x14ac:dyDescent="0.25">
      <c r="B75">
        <f>Processing!D76</f>
        <v>24251</v>
      </c>
      <c r="C75" t="str">
        <f>Processing!F76</f>
        <v>39G4</v>
      </c>
      <c r="D75">
        <f>'Final list of total hauls pros'!C73</f>
        <v>24</v>
      </c>
      <c r="E75">
        <f>'Final list of total hauls pros'!D73</f>
        <v>55</v>
      </c>
      <c r="F75">
        <f>'Final list of total hauls pros'!E73</f>
        <v>5.4</v>
      </c>
      <c r="G75">
        <f>'Final list of total hauls pros'!F73</f>
        <v>14</v>
      </c>
      <c r="H75">
        <f>'Final list of total hauls pros'!G73</f>
        <v>33.14</v>
      </c>
      <c r="I75">
        <f>'Final list of total hauls pros'!H73</f>
        <v>3</v>
      </c>
      <c r="J75" t="str">
        <f>'Final list of total hauls pros'!I73</f>
        <v>DEN</v>
      </c>
      <c r="K75" s="13">
        <f>'Final list of total hauls pros'!J73</f>
        <v>55.09</v>
      </c>
      <c r="L75" s="13">
        <f>'Final list of total hauls pros'!K73</f>
        <v>14.5523333333333</v>
      </c>
      <c r="M75" t="str">
        <f>'Final list of total hauls pros'!L73</f>
        <v>21-24</v>
      </c>
      <c r="N75" t="str">
        <f>Processing!I76</f>
        <v>GFR (SD 21-24)</v>
      </c>
    </row>
    <row r="76" spans="2:14" x14ac:dyDescent="0.25">
      <c r="B76">
        <f>Processing!D77</f>
        <v>24252</v>
      </c>
      <c r="C76" t="str">
        <f>Processing!F77</f>
        <v>39G3</v>
      </c>
      <c r="D76">
        <f>'Final list of total hauls pros'!C74</f>
        <v>24</v>
      </c>
      <c r="E76">
        <f>'Final list of total hauls pros'!D74</f>
        <v>55</v>
      </c>
      <c r="F76">
        <f>'Final list of total hauls pros'!E74</f>
        <v>12.47</v>
      </c>
      <c r="G76">
        <f>'Final list of total hauls pros'!F74</f>
        <v>13</v>
      </c>
      <c r="H76">
        <f>'Final list of total hauls pros'!G74</f>
        <v>10.47</v>
      </c>
      <c r="I76">
        <f>'Final list of total hauls pros'!H74</f>
        <v>3</v>
      </c>
      <c r="J76" t="str">
        <f>'Final list of total hauls pros'!I74</f>
        <v>SWE</v>
      </c>
      <c r="K76" s="13">
        <f>'Final list of total hauls pros'!J74</f>
        <v>55.207833333333298</v>
      </c>
      <c r="L76" s="13">
        <f>'Final list of total hauls pros'!K74</f>
        <v>13.1745</v>
      </c>
      <c r="M76" t="str">
        <f>'Final list of total hauls pros'!L74</f>
        <v>21-24</v>
      </c>
      <c r="N76" t="str">
        <f>Processing!I77</f>
        <v>SWE (SD 25-32)</v>
      </c>
    </row>
    <row r="77" spans="2:14" x14ac:dyDescent="0.25">
      <c r="B77">
        <f>Processing!D78</f>
        <v>24275</v>
      </c>
      <c r="C77" t="str">
        <f>Processing!F78</f>
        <v>39G4</v>
      </c>
      <c r="D77">
        <f>'Final list of total hauls pros'!C75</f>
        <v>24</v>
      </c>
      <c r="E77">
        <f>'Final list of total hauls pros'!D75</f>
        <v>55</v>
      </c>
      <c r="F77">
        <f>'Final list of total hauls pros'!E75</f>
        <v>11.91</v>
      </c>
      <c r="G77">
        <f>'Final list of total hauls pros'!F75</f>
        <v>14</v>
      </c>
      <c r="H77">
        <f>'Final list of total hauls pros'!G75</f>
        <v>18.7</v>
      </c>
      <c r="I77">
        <f>'Final list of total hauls pros'!H75</f>
        <v>3</v>
      </c>
      <c r="J77" t="str">
        <f>'Final list of total hauls pros'!I75</f>
        <v>DEN</v>
      </c>
      <c r="K77" s="13">
        <f>'Final list of total hauls pros'!J75</f>
        <v>55.198500000000003</v>
      </c>
      <c r="L77" s="13">
        <f>'Final list of total hauls pros'!K75</f>
        <v>14.311666666666699</v>
      </c>
      <c r="M77" t="str">
        <f>'Final list of total hauls pros'!L75</f>
        <v>21-24</v>
      </c>
      <c r="N77" t="str">
        <f>Processing!I78</f>
        <v>GFR (SD 21-24)</v>
      </c>
    </row>
    <row r="78" spans="2:14" x14ac:dyDescent="0.25">
      <c r="B78">
        <f>Processing!D79</f>
        <v>24278</v>
      </c>
      <c r="C78" t="str">
        <f>Processing!F79</f>
        <v>38G5</v>
      </c>
      <c r="D78">
        <f>'Final list of total hauls pros'!C76</f>
        <v>24</v>
      </c>
      <c r="E78">
        <f>'Final list of total hauls pros'!D76</f>
        <v>54</v>
      </c>
      <c r="F78">
        <f>'Final list of total hauls pros'!E76</f>
        <v>46.1</v>
      </c>
      <c r="G78">
        <f>'Final list of total hauls pros'!F76</f>
        <v>15</v>
      </c>
      <c r="H78">
        <f>'Final list of total hauls pros'!G76</f>
        <v>0</v>
      </c>
      <c r="I78">
        <f>'Final list of total hauls pros'!H76</f>
        <v>3</v>
      </c>
      <c r="J78" t="str">
        <f>'Final list of total hauls pros'!I76</f>
        <v>DEN</v>
      </c>
      <c r="K78" s="13">
        <f>'Final list of total hauls pros'!J76</f>
        <v>54.768333333333302</v>
      </c>
      <c r="L78" s="13">
        <f>'Final list of total hauls pros'!K76</f>
        <v>15</v>
      </c>
      <c r="M78" t="str">
        <f>'Final list of total hauls pros'!L76</f>
        <v>21-24</v>
      </c>
      <c r="N78" t="str">
        <f>Processing!I79</f>
        <v>GFR (SD 21-24)</v>
      </c>
    </row>
    <row r="79" spans="2:14" x14ac:dyDescent="0.25">
      <c r="B79">
        <f>Processing!D80</f>
        <v>24287</v>
      </c>
      <c r="C79" t="str">
        <f>Processing!F80</f>
        <v>39G4</v>
      </c>
      <c r="D79">
        <f>'Final list of total hauls pros'!C77</f>
        <v>24</v>
      </c>
      <c r="E79">
        <f>'Final list of total hauls pros'!D77</f>
        <v>55</v>
      </c>
      <c r="F79">
        <f>'Final list of total hauls pros'!E77</f>
        <v>2.5</v>
      </c>
      <c r="G79">
        <f>'Final list of total hauls pros'!F77</f>
        <v>14</v>
      </c>
      <c r="H79">
        <f>'Final list of total hauls pros'!G77</f>
        <v>13.4</v>
      </c>
      <c r="I79">
        <f>'Final list of total hauls pros'!H77</f>
        <v>3</v>
      </c>
      <c r="J79" t="str">
        <f>'Final list of total hauls pros'!I77</f>
        <v>DEN</v>
      </c>
      <c r="K79" s="13">
        <f>'Final list of total hauls pros'!J77</f>
        <v>55.0416666666667</v>
      </c>
      <c r="L79" s="13">
        <f>'Final list of total hauls pros'!K77</f>
        <v>14.223333333333301</v>
      </c>
      <c r="M79" t="str">
        <f>'Final list of total hauls pros'!L77</f>
        <v>21-24</v>
      </c>
      <c r="N79" t="str">
        <f>Processing!I80</f>
        <v>GFR (SD 21-24)</v>
      </c>
    </row>
    <row r="80" spans="2:14" x14ac:dyDescent="0.25">
      <c r="B80">
        <f>Processing!D81</f>
        <v>24300</v>
      </c>
      <c r="C80" t="str">
        <f>Processing!F81</f>
        <v>38G4</v>
      </c>
      <c r="D80">
        <f>'Final list of total hauls pros'!C78</f>
        <v>24</v>
      </c>
      <c r="E80">
        <f>'Final list of total hauls pros'!D78</f>
        <v>54</v>
      </c>
      <c r="F80">
        <f>'Final list of total hauls pros'!E78</f>
        <v>51.74</v>
      </c>
      <c r="G80">
        <f>'Final list of total hauls pros'!F78</f>
        <v>14</v>
      </c>
      <c r="H80">
        <f>'Final list of total hauls pros'!G78</f>
        <v>47.68</v>
      </c>
      <c r="I80">
        <f>'Final list of total hauls pros'!H78</f>
        <v>2</v>
      </c>
      <c r="J80" t="str">
        <f>'Final list of total hauls pros'!I78</f>
        <v>DEN</v>
      </c>
      <c r="K80" s="13">
        <f>'Final list of total hauls pros'!J78</f>
        <v>54.862333333333297</v>
      </c>
      <c r="L80" s="13">
        <f>'Final list of total hauls pros'!K78</f>
        <v>14.7946666666667</v>
      </c>
      <c r="M80" t="str">
        <f>'Final list of total hauls pros'!L78</f>
        <v>21-24</v>
      </c>
      <c r="N80" t="str">
        <f>Processing!I81</f>
        <v>GFR (SD 21-24)</v>
      </c>
    </row>
    <row r="81" spans="2:14" x14ac:dyDescent="0.25">
      <c r="B81">
        <f>Processing!D82</f>
        <v>24301</v>
      </c>
      <c r="C81" t="str">
        <f>Processing!F82</f>
        <v>39G3</v>
      </c>
      <c r="D81">
        <f>'Final list of total hauls pros'!C79</f>
        <v>24</v>
      </c>
      <c r="E81">
        <f>'Final list of total hauls pros'!D79</f>
        <v>55</v>
      </c>
      <c r="F81">
        <f>'Final list of total hauls pros'!E79</f>
        <v>3.36</v>
      </c>
      <c r="G81">
        <f>'Final list of total hauls pros'!F79</f>
        <v>13</v>
      </c>
      <c r="H81">
        <f>'Final list of total hauls pros'!G79</f>
        <v>38.36</v>
      </c>
      <c r="I81">
        <f>'Final list of total hauls pros'!H79</f>
        <v>2</v>
      </c>
      <c r="J81" t="str">
        <f>'Final list of total hauls pros'!I79</f>
        <v>SWE</v>
      </c>
      <c r="K81" s="13">
        <f>'Final list of total hauls pros'!J79</f>
        <v>55.055999999999997</v>
      </c>
      <c r="L81" s="13">
        <f>'Final list of total hauls pros'!K79</f>
        <v>13.639333333333299</v>
      </c>
      <c r="M81" t="str">
        <f>'Final list of total hauls pros'!L79</f>
        <v>21-24</v>
      </c>
      <c r="N81" t="str">
        <f>Processing!I82</f>
        <v>GFR (SD 21-24)</v>
      </c>
    </row>
    <row r="82" spans="2:14" x14ac:dyDescent="0.25">
      <c r="B82">
        <f>Processing!D83</f>
        <v>24303</v>
      </c>
      <c r="C82" t="str">
        <f>Processing!F83</f>
        <v>39G3</v>
      </c>
      <c r="D82">
        <f>'Final list of total hauls pros'!C80</f>
        <v>24</v>
      </c>
      <c r="E82">
        <f>'Final list of total hauls pros'!D80</f>
        <v>55</v>
      </c>
      <c r="F82">
        <f>'Final list of total hauls pros'!E80</f>
        <v>18.829999999999998</v>
      </c>
      <c r="G82">
        <f>'Final list of total hauls pros'!F80</f>
        <v>13</v>
      </c>
      <c r="H82">
        <f>'Final list of total hauls pros'!G80</f>
        <v>55.94</v>
      </c>
      <c r="I82">
        <f>'Final list of total hauls pros'!H80</f>
        <v>2</v>
      </c>
      <c r="J82" t="str">
        <f>'Final list of total hauls pros'!I80</f>
        <v>SWE</v>
      </c>
      <c r="K82" s="13">
        <f>'Final list of total hauls pros'!J80</f>
        <v>55.313833333333299</v>
      </c>
      <c r="L82" s="13">
        <f>'Final list of total hauls pros'!K80</f>
        <v>13.9323333333333</v>
      </c>
      <c r="M82" t="str">
        <f>'Final list of total hauls pros'!L80</f>
        <v>21-24</v>
      </c>
      <c r="N82" t="str">
        <f>Processing!I83</f>
        <v>SWE (SD 25-32)</v>
      </c>
    </row>
    <row r="83" spans="2:14" x14ac:dyDescent="0.25">
      <c r="B83">
        <f>Processing!D84</f>
        <v>24309</v>
      </c>
      <c r="C83" t="str">
        <f>Processing!F84</f>
        <v>38G3</v>
      </c>
      <c r="D83">
        <f>'Final list of total hauls pros'!C81</f>
        <v>24</v>
      </c>
      <c r="E83">
        <f>'Final list of total hauls pros'!D81</f>
        <v>54</v>
      </c>
      <c r="F83">
        <f>'Final list of total hauls pros'!E81</f>
        <v>52.375599999999999</v>
      </c>
      <c r="G83">
        <f>'Final list of total hauls pros'!F81</f>
        <v>13</v>
      </c>
      <c r="H83">
        <f>'Final list of total hauls pros'!G81</f>
        <v>34.269399999999997</v>
      </c>
      <c r="I83">
        <f>'Final list of total hauls pros'!H81</f>
        <v>3</v>
      </c>
      <c r="J83" t="str">
        <f>'Final list of total hauls pros'!I81</f>
        <v>GFR</v>
      </c>
      <c r="K83" s="13">
        <f>'Final list of total hauls pros'!J81</f>
        <v>54.8729266666667</v>
      </c>
      <c r="L83" s="13">
        <f>'Final list of total hauls pros'!K81</f>
        <v>13.571156666666701</v>
      </c>
      <c r="M83" t="str">
        <f>'Final list of total hauls pros'!L81</f>
        <v>21-24</v>
      </c>
      <c r="N83" t="str">
        <f>Processing!I84</f>
        <v>GFR (SD 21-24)</v>
      </c>
    </row>
    <row r="84" spans="2:14" x14ac:dyDescent="0.25">
      <c r="B84">
        <f>Processing!D85</f>
        <v>24310</v>
      </c>
      <c r="C84" t="str">
        <f>Processing!F85</f>
        <v>38G3</v>
      </c>
      <c r="D84">
        <f>'Final list of total hauls pros'!C82</f>
        <v>24</v>
      </c>
      <c r="E84">
        <f>'Final list of total hauls pros'!D82</f>
        <v>54</v>
      </c>
      <c r="F84">
        <f>'Final list of total hauls pros'!E82</f>
        <v>59.326999999999998</v>
      </c>
      <c r="G84">
        <f>'Final list of total hauls pros'!F82</f>
        <v>13</v>
      </c>
      <c r="H84">
        <f>'Final list of total hauls pros'!G82</f>
        <v>52.183599999999998</v>
      </c>
      <c r="I84">
        <f>'Final list of total hauls pros'!H82</f>
        <v>3</v>
      </c>
      <c r="J84" t="str">
        <f>'Final list of total hauls pros'!I82</f>
        <v>GFR</v>
      </c>
      <c r="K84" s="13">
        <f>'Final list of total hauls pros'!J82</f>
        <v>54.988783333333302</v>
      </c>
      <c r="L84" s="13">
        <f>'Final list of total hauls pros'!K82</f>
        <v>13.869726666666701</v>
      </c>
      <c r="M84" t="str">
        <f>'Final list of total hauls pros'!L82</f>
        <v>21-24</v>
      </c>
      <c r="N84" t="str">
        <f>Processing!I85</f>
        <v>GFR (SD 21-24)</v>
      </c>
    </row>
    <row r="85" spans="2:14" x14ac:dyDescent="0.25">
      <c r="B85">
        <f>Processing!D86</f>
        <v>24311</v>
      </c>
      <c r="C85" t="str">
        <f>Processing!F86</f>
        <v>38G4</v>
      </c>
      <c r="D85">
        <f>'Final list of total hauls pros'!C83</f>
        <v>24</v>
      </c>
      <c r="E85">
        <f>'Final list of total hauls pros'!D83</f>
        <v>55</v>
      </c>
      <c r="F85">
        <f>'Final list of total hauls pros'!E83</f>
        <v>0.88</v>
      </c>
      <c r="G85">
        <f>'Final list of total hauls pros'!F83</f>
        <v>14</v>
      </c>
      <c r="H85">
        <f>'Final list of total hauls pros'!G83</f>
        <v>16.399999999999999</v>
      </c>
      <c r="I85">
        <f>'Final list of total hauls pros'!H83</f>
        <v>3</v>
      </c>
      <c r="J85" t="str">
        <f>'Final list of total hauls pros'!I83</f>
        <v>DEN</v>
      </c>
      <c r="K85" s="13">
        <f>'Final list of total hauls pros'!J83</f>
        <v>55.014666666666699</v>
      </c>
      <c r="L85" s="13">
        <f>'Final list of total hauls pros'!K83</f>
        <v>14.2733333333333</v>
      </c>
      <c r="M85" t="str">
        <f>'Final list of total hauls pros'!L83</f>
        <v>21-24</v>
      </c>
      <c r="N85" t="str">
        <f>Processing!I86</f>
        <v>GFR (SD 21-24)</v>
      </c>
    </row>
    <row r="86" spans="2:14" x14ac:dyDescent="0.25">
      <c r="B86">
        <f>Processing!D87</f>
        <v>24328</v>
      </c>
      <c r="C86" t="str">
        <f>Processing!F87</f>
        <v>38G2</v>
      </c>
      <c r="D86">
        <f>'Final list of total hauls pros'!C84</f>
        <v>24</v>
      </c>
      <c r="E86">
        <f>'Final list of total hauls pros'!D84</f>
        <v>54</v>
      </c>
      <c r="F86">
        <f>'Final list of total hauls pros'!E84</f>
        <v>38.39</v>
      </c>
      <c r="G86">
        <f>'Final list of total hauls pros'!F84</f>
        <v>12</v>
      </c>
      <c r="H86">
        <f>'Final list of total hauls pros'!G84</f>
        <v>41.08</v>
      </c>
      <c r="I86">
        <f>'Final list of total hauls pros'!H84</f>
        <v>2</v>
      </c>
      <c r="J86" t="str">
        <f>'Final list of total hauls pros'!I84</f>
        <v>GFR</v>
      </c>
      <c r="K86" s="13">
        <f>'Final list of total hauls pros'!J84</f>
        <v>54.6398333333333</v>
      </c>
      <c r="L86" s="13">
        <f>'Final list of total hauls pros'!K84</f>
        <v>12.684666666666701</v>
      </c>
      <c r="M86" t="str">
        <f>'Final list of total hauls pros'!L84</f>
        <v>21-24</v>
      </c>
      <c r="N86" t="str">
        <f>Processing!I87</f>
        <v>GFR (SD 21-24)</v>
      </c>
    </row>
    <row r="87" spans="2:14" x14ac:dyDescent="0.25">
      <c r="B87">
        <f>Processing!D88</f>
        <v>24329</v>
      </c>
      <c r="C87" t="str">
        <f>Processing!F88</f>
        <v>37G4</v>
      </c>
      <c r="D87">
        <f>'Final list of total hauls pros'!C85</f>
        <v>24</v>
      </c>
      <c r="E87">
        <f>'Final list of total hauls pros'!D85</f>
        <v>54</v>
      </c>
      <c r="F87">
        <f>'Final list of total hauls pros'!E85</f>
        <v>26</v>
      </c>
      <c r="G87">
        <f>'Final list of total hauls pros'!F85</f>
        <v>14</v>
      </c>
      <c r="H87">
        <f>'Final list of total hauls pros'!G85</f>
        <v>15.6</v>
      </c>
      <c r="I87">
        <f>'Final list of total hauls pros'!H85</f>
        <v>2</v>
      </c>
      <c r="J87" t="str">
        <f>'Final list of total hauls pros'!I85</f>
        <v>GFR</v>
      </c>
      <c r="K87" s="13">
        <f>'Final list of total hauls pros'!J85</f>
        <v>54.433333333333302</v>
      </c>
      <c r="L87" s="13">
        <f>'Final list of total hauls pros'!K85</f>
        <v>14.26</v>
      </c>
      <c r="M87" t="str">
        <f>'Final list of total hauls pros'!L85</f>
        <v>21-24</v>
      </c>
      <c r="N87" t="str">
        <f>Processing!I88</f>
        <v>GFR (SD 21-24)</v>
      </c>
    </row>
    <row r="88" spans="2:14" x14ac:dyDescent="0.25">
      <c r="B88">
        <f>Processing!D89</f>
        <v>24335</v>
      </c>
      <c r="C88" t="str">
        <f>Processing!F89</f>
        <v>37G4</v>
      </c>
      <c r="D88">
        <f>'Final list of total hauls pros'!C86</f>
        <v>24</v>
      </c>
      <c r="E88">
        <f>'Final list of total hauls pros'!D86</f>
        <v>54</v>
      </c>
      <c r="F88">
        <f>'Final list of total hauls pros'!E86</f>
        <v>11.5</v>
      </c>
      <c r="G88">
        <f>'Final list of total hauls pros'!F86</f>
        <v>14</v>
      </c>
      <c r="H88">
        <f>'Final list of total hauls pros'!G86</f>
        <v>18.600000000000001</v>
      </c>
      <c r="I88">
        <f>'Final list of total hauls pros'!H86</f>
        <v>2</v>
      </c>
      <c r="J88" t="str">
        <f>'Final list of total hauls pros'!I86</f>
        <v>GFR</v>
      </c>
      <c r="K88" s="13">
        <f>'Final list of total hauls pros'!J86</f>
        <v>54.191666666666698</v>
      </c>
      <c r="L88" s="13">
        <f>'Final list of total hauls pros'!K86</f>
        <v>14.31</v>
      </c>
      <c r="M88" t="str">
        <f>'Final list of total hauls pros'!L86</f>
        <v>21-24</v>
      </c>
      <c r="N88" t="str">
        <f>Processing!I89</f>
        <v>GFR (SD 21-24)</v>
      </c>
    </row>
    <row r="89" spans="2:14" x14ac:dyDescent="0.25">
      <c r="B89">
        <f>Processing!D90</f>
        <v>25004</v>
      </c>
      <c r="C89" t="str">
        <f>Processing!F90</f>
        <v>38G6</v>
      </c>
      <c r="D89">
        <f>'Final list of total hauls pros'!C87</f>
        <v>25</v>
      </c>
      <c r="E89">
        <f>'Final list of total hauls pros'!D87</f>
        <v>54</v>
      </c>
      <c r="F89">
        <f>'Final list of total hauls pros'!E87</f>
        <v>52.7</v>
      </c>
      <c r="G89">
        <f>'Final list of total hauls pros'!F87</f>
        <v>16</v>
      </c>
      <c r="H89">
        <f>'Final list of total hauls pros'!G87</f>
        <v>38.6</v>
      </c>
      <c r="I89">
        <f>'Final list of total hauls pros'!H87</f>
        <v>2</v>
      </c>
      <c r="J89" t="str">
        <f>'Final list of total hauls pros'!I87</f>
        <v>POL</v>
      </c>
      <c r="K89" s="13">
        <f>'Final list of total hauls pros'!J87</f>
        <v>54.878333333333302</v>
      </c>
      <c r="L89" s="13">
        <f>'Final list of total hauls pros'!K87</f>
        <v>16.643333333333299</v>
      </c>
      <c r="M89" t="str">
        <f>'Final list of total hauls pros'!L87</f>
        <v>25-32</v>
      </c>
      <c r="N89" t="str">
        <f>Processing!I90</f>
        <v>DEN (SD 25-32)</v>
      </c>
    </row>
    <row r="90" spans="2:14" x14ac:dyDescent="0.25">
      <c r="B90">
        <f>Processing!D91</f>
        <v>25006</v>
      </c>
      <c r="C90" t="str">
        <f>Processing!F91</f>
        <v>37G5</v>
      </c>
      <c r="D90">
        <f>'Final list of total hauls pros'!C88</f>
        <v>25</v>
      </c>
      <c r="E90">
        <f>'Final list of total hauls pros'!D88</f>
        <v>54</v>
      </c>
      <c r="F90">
        <f>'Final list of total hauls pros'!E88</f>
        <v>26</v>
      </c>
      <c r="G90">
        <f>'Final list of total hauls pros'!F88</f>
        <v>15</v>
      </c>
      <c r="H90">
        <f>'Final list of total hauls pros'!G88</f>
        <v>8.8000000000000007</v>
      </c>
      <c r="I90">
        <f>'Final list of total hauls pros'!H88</f>
        <v>2</v>
      </c>
      <c r="J90" t="str">
        <f>'Final list of total hauls pros'!I88</f>
        <v>POL</v>
      </c>
      <c r="K90" s="13">
        <f>'Final list of total hauls pros'!J88</f>
        <v>54.433333333333302</v>
      </c>
      <c r="L90" s="13">
        <f>'Final list of total hauls pros'!K88</f>
        <v>15.1466666666667</v>
      </c>
      <c r="M90" t="str">
        <f>'Final list of total hauls pros'!L88</f>
        <v>25-32</v>
      </c>
      <c r="N90" t="str">
        <f>Processing!I91</f>
        <v>DEN (SD 25-32)</v>
      </c>
    </row>
    <row r="91" spans="2:14" x14ac:dyDescent="0.25">
      <c r="B91">
        <f>Processing!D92</f>
        <v>25008</v>
      </c>
      <c r="C91" t="str">
        <f>Processing!F92</f>
        <v>37G5</v>
      </c>
      <c r="D91">
        <f>'Final list of total hauls pros'!C89</f>
        <v>25</v>
      </c>
      <c r="E91">
        <f>'Final list of total hauls pros'!D89</f>
        <v>54</v>
      </c>
      <c r="F91">
        <f>'Final list of total hauls pros'!E89</f>
        <v>23</v>
      </c>
      <c r="G91">
        <f>'Final list of total hauls pros'!F89</f>
        <v>15</v>
      </c>
      <c r="H91">
        <f>'Final list of total hauls pros'!G89</f>
        <v>34</v>
      </c>
      <c r="I91">
        <f>'Final list of total hauls pros'!H89</f>
        <v>2</v>
      </c>
      <c r="J91" t="str">
        <f>'Final list of total hauls pros'!I89</f>
        <v>POL</v>
      </c>
      <c r="K91" s="13">
        <f>'Final list of total hauls pros'!J89</f>
        <v>54.383333333333297</v>
      </c>
      <c r="L91" s="13">
        <f>'Final list of total hauls pros'!K89</f>
        <v>15.5666666666667</v>
      </c>
      <c r="M91" t="str">
        <f>'Final list of total hauls pros'!L89</f>
        <v>25-32</v>
      </c>
      <c r="N91" t="str">
        <f>Processing!I92</f>
        <v>POL (SD 25-32)</v>
      </c>
    </row>
    <row r="92" spans="2:14" x14ac:dyDescent="0.25">
      <c r="B92">
        <f>Processing!D93</f>
        <v>25009</v>
      </c>
      <c r="C92" t="str">
        <f>Processing!F93</f>
        <v>37G5</v>
      </c>
      <c r="D92">
        <f>'Final list of total hauls pros'!C90</f>
        <v>25</v>
      </c>
      <c r="E92">
        <f>'Final list of total hauls pros'!D90</f>
        <v>54</v>
      </c>
      <c r="F92">
        <f>'Final list of total hauls pros'!E90</f>
        <v>22.9</v>
      </c>
      <c r="G92">
        <f>'Final list of total hauls pros'!F90</f>
        <v>15</v>
      </c>
      <c r="H92">
        <f>'Final list of total hauls pros'!G90</f>
        <v>47.3</v>
      </c>
      <c r="I92">
        <f>'Final list of total hauls pros'!H90</f>
        <v>2</v>
      </c>
      <c r="J92" t="str">
        <f>'Final list of total hauls pros'!I90</f>
        <v>POL</v>
      </c>
      <c r="K92" s="13">
        <f>'Final list of total hauls pros'!J90</f>
        <v>54.381666666666703</v>
      </c>
      <c r="L92" s="13">
        <f>'Final list of total hauls pros'!K90</f>
        <v>15.7883333333333</v>
      </c>
      <c r="M92" t="str">
        <f>'Final list of total hauls pros'!L90</f>
        <v>25-32</v>
      </c>
      <c r="N92" t="str">
        <f>Processing!I93</f>
        <v>POL (SD 25-32)</v>
      </c>
    </row>
    <row r="93" spans="2:14" x14ac:dyDescent="0.25">
      <c r="B93">
        <f>Processing!D94</f>
        <v>25010</v>
      </c>
      <c r="C93" t="str">
        <f>Processing!F94</f>
        <v>37G6</v>
      </c>
      <c r="D93">
        <f>'Final list of total hauls pros'!C91</f>
        <v>25</v>
      </c>
      <c r="E93">
        <f>'Final list of total hauls pros'!D91</f>
        <v>54</v>
      </c>
      <c r="F93">
        <f>'Final list of total hauls pros'!E91</f>
        <v>26.8</v>
      </c>
      <c r="G93">
        <f>'Final list of total hauls pros'!F91</f>
        <v>16</v>
      </c>
      <c r="H93">
        <f>'Final list of total hauls pros'!G91</f>
        <v>5.3</v>
      </c>
      <c r="I93">
        <f>'Final list of total hauls pros'!H91</f>
        <v>2</v>
      </c>
      <c r="J93" t="str">
        <f>'Final list of total hauls pros'!I91</f>
        <v>POL</v>
      </c>
      <c r="K93" s="13">
        <f>'Final list of total hauls pros'!J91</f>
        <v>54.446666666666701</v>
      </c>
      <c r="L93" s="13">
        <f>'Final list of total hauls pros'!K91</f>
        <v>16.088333333333299</v>
      </c>
      <c r="M93" t="str">
        <f>'Final list of total hauls pros'!L91</f>
        <v>25-32</v>
      </c>
      <c r="N93" t="str">
        <f>Processing!I94</f>
        <v>POL (SD 25-32)</v>
      </c>
    </row>
    <row r="94" spans="2:14" x14ac:dyDescent="0.25">
      <c r="B94">
        <f>Processing!D95</f>
        <v>25011</v>
      </c>
      <c r="C94" t="str">
        <f>Processing!F95</f>
        <v>37G6</v>
      </c>
      <c r="D94">
        <f>'Final list of total hauls pros'!C92</f>
        <v>25</v>
      </c>
      <c r="E94">
        <f>'Final list of total hauls pros'!D92</f>
        <v>54</v>
      </c>
      <c r="F94">
        <f>'Final list of total hauls pros'!E92</f>
        <v>24.7</v>
      </c>
      <c r="G94">
        <f>'Final list of total hauls pros'!F92</f>
        <v>16</v>
      </c>
      <c r="H94">
        <f>'Final list of total hauls pros'!G92</f>
        <v>3</v>
      </c>
      <c r="I94">
        <f>'Final list of total hauls pros'!H92</f>
        <v>2</v>
      </c>
      <c r="J94" t="str">
        <f>'Final list of total hauls pros'!I92</f>
        <v>POL</v>
      </c>
      <c r="K94" s="13">
        <f>'Final list of total hauls pros'!J92</f>
        <v>54.411666666666697</v>
      </c>
      <c r="L94" s="13">
        <f>'Final list of total hauls pros'!K92</f>
        <v>16.05</v>
      </c>
      <c r="M94" t="str">
        <f>'Final list of total hauls pros'!L92</f>
        <v>25-32</v>
      </c>
      <c r="N94" t="str">
        <f>Processing!I95</f>
        <v>POL (SD 25-32)</v>
      </c>
    </row>
    <row r="95" spans="2:14" x14ac:dyDescent="0.25">
      <c r="B95">
        <f>Processing!D96</f>
        <v>25013</v>
      </c>
      <c r="C95" t="str">
        <f>Processing!F96</f>
        <v>38G6</v>
      </c>
      <c r="D95">
        <f>'Final list of total hauls pros'!C93</f>
        <v>25</v>
      </c>
      <c r="E95">
        <f>'Final list of total hauls pros'!D93</f>
        <v>54</v>
      </c>
      <c r="F95">
        <f>'Final list of total hauls pros'!E93</f>
        <v>39</v>
      </c>
      <c r="G95">
        <f>'Final list of total hauls pros'!F93</f>
        <v>16</v>
      </c>
      <c r="H95">
        <f>'Final list of total hauls pros'!G93</f>
        <v>23.6</v>
      </c>
      <c r="I95">
        <f>'Final list of total hauls pros'!H93</f>
        <v>2</v>
      </c>
      <c r="J95" t="str">
        <f>'Final list of total hauls pros'!I93</f>
        <v>POL</v>
      </c>
      <c r="K95" s="13">
        <f>'Final list of total hauls pros'!J93</f>
        <v>54.65</v>
      </c>
      <c r="L95" s="13">
        <f>'Final list of total hauls pros'!K93</f>
        <v>16.393333333333299</v>
      </c>
      <c r="M95" t="str">
        <f>'Final list of total hauls pros'!L93</f>
        <v>25-32</v>
      </c>
      <c r="N95" t="str">
        <f>Processing!I96</f>
        <v>POL (SD 25-32)</v>
      </c>
    </row>
    <row r="96" spans="2:14" x14ac:dyDescent="0.25">
      <c r="B96">
        <f>Processing!D97</f>
        <v>25014</v>
      </c>
      <c r="C96" t="str">
        <f>Processing!F97</f>
        <v>38G6</v>
      </c>
      <c r="D96">
        <f>'Final list of total hauls pros'!C94</f>
        <v>25</v>
      </c>
      <c r="E96">
        <f>'Final list of total hauls pros'!D94</f>
        <v>54</v>
      </c>
      <c r="F96">
        <f>'Final list of total hauls pros'!E94</f>
        <v>41.6</v>
      </c>
      <c r="G96">
        <f>'Final list of total hauls pros'!F94</f>
        <v>16</v>
      </c>
      <c r="H96">
        <f>'Final list of total hauls pros'!G94</f>
        <v>38.700000000000003</v>
      </c>
      <c r="I96">
        <f>'Final list of total hauls pros'!H94</f>
        <v>2</v>
      </c>
      <c r="J96" t="str">
        <f>'Final list of total hauls pros'!I94</f>
        <v>POL</v>
      </c>
      <c r="K96" s="13">
        <f>'Final list of total hauls pros'!J94</f>
        <v>54.6933333333333</v>
      </c>
      <c r="L96" s="13">
        <f>'Final list of total hauls pros'!K94</f>
        <v>16.645</v>
      </c>
      <c r="M96" t="str">
        <f>'Final list of total hauls pros'!L94</f>
        <v>25-32</v>
      </c>
      <c r="N96" t="str">
        <f>Processing!I97</f>
        <v>POL (SD 25-32)</v>
      </c>
    </row>
    <row r="97" spans="2:14" x14ac:dyDescent="0.25">
      <c r="B97">
        <f>Processing!D98</f>
        <v>25016</v>
      </c>
      <c r="C97" t="str">
        <f>Processing!F98</f>
        <v>38G6</v>
      </c>
      <c r="D97">
        <f>'Final list of total hauls pros'!C95</f>
        <v>25</v>
      </c>
      <c r="E97">
        <f>'Final list of total hauls pros'!D95</f>
        <v>54</v>
      </c>
      <c r="F97">
        <f>'Final list of total hauls pros'!E95</f>
        <v>44.6</v>
      </c>
      <c r="G97">
        <f>'Final list of total hauls pros'!F95</f>
        <v>16</v>
      </c>
      <c r="H97">
        <f>'Final list of total hauls pros'!G95</f>
        <v>49</v>
      </c>
      <c r="I97">
        <f>'Final list of total hauls pros'!H95</f>
        <v>2</v>
      </c>
      <c r="J97" t="str">
        <f>'Final list of total hauls pros'!I95</f>
        <v>POL</v>
      </c>
      <c r="K97" s="13">
        <f>'Final list of total hauls pros'!J95</f>
        <v>54.743333333333297</v>
      </c>
      <c r="L97" s="13">
        <f>'Final list of total hauls pros'!K95</f>
        <v>16.816666666666698</v>
      </c>
      <c r="M97" t="str">
        <f>'Final list of total hauls pros'!L95</f>
        <v>25-32</v>
      </c>
      <c r="N97" t="str">
        <f>Processing!I98</f>
        <v>POL (SD 25-32)</v>
      </c>
    </row>
    <row r="98" spans="2:14" x14ac:dyDescent="0.25">
      <c r="B98">
        <f>Processing!D99</f>
        <v>25017</v>
      </c>
      <c r="C98" t="str">
        <f>Processing!F99</f>
        <v>38G6</v>
      </c>
      <c r="D98">
        <f>'Final list of total hauls pros'!C96</f>
        <v>25</v>
      </c>
      <c r="E98">
        <f>'Final list of total hauls pros'!D96</f>
        <v>54</v>
      </c>
      <c r="F98">
        <f>'Final list of total hauls pros'!E96</f>
        <v>44.2</v>
      </c>
      <c r="G98">
        <f>'Final list of total hauls pros'!F96</f>
        <v>16</v>
      </c>
      <c r="H98">
        <f>'Final list of total hauls pros'!G96</f>
        <v>52.3</v>
      </c>
      <c r="I98">
        <f>'Final list of total hauls pros'!H96</f>
        <v>2</v>
      </c>
      <c r="J98" t="str">
        <f>'Final list of total hauls pros'!I96</f>
        <v>POL</v>
      </c>
      <c r="K98" s="13">
        <f>'Final list of total hauls pros'!J96</f>
        <v>54.7366666666667</v>
      </c>
      <c r="L98" s="13">
        <f>'Final list of total hauls pros'!K96</f>
        <v>16.871666666666702</v>
      </c>
      <c r="M98" t="str">
        <f>'Final list of total hauls pros'!L96</f>
        <v>25-32</v>
      </c>
      <c r="N98" t="str">
        <f>Processing!I99</f>
        <v>POL (SD 25-32)</v>
      </c>
    </row>
    <row r="99" spans="2:14" x14ac:dyDescent="0.25">
      <c r="B99">
        <f>Processing!D100</f>
        <v>25022</v>
      </c>
      <c r="C99" t="str">
        <f>Processing!F100</f>
        <v>38G7</v>
      </c>
      <c r="D99">
        <f>'Final list of total hauls pros'!C97</f>
        <v>25</v>
      </c>
      <c r="E99">
        <f>'Final list of total hauls pros'!D97</f>
        <v>54</v>
      </c>
      <c r="F99">
        <f>'Final list of total hauls pros'!E97</f>
        <v>57.4</v>
      </c>
      <c r="G99">
        <f>'Final list of total hauls pros'!F97</f>
        <v>17</v>
      </c>
      <c r="H99">
        <f>'Final list of total hauls pros'!G97</f>
        <v>25</v>
      </c>
      <c r="I99">
        <f>'Final list of total hauls pros'!H97</f>
        <v>2</v>
      </c>
      <c r="J99" t="str">
        <f>'Final list of total hauls pros'!I97</f>
        <v>POL</v>
      </c>
      <c r="K99" s="13">
        <f>'Final list of total hauls pros'!J97</f>
        <v>54.956666666666699</v>
      </c>
      <c r="L99" s="13">
        <f>'Final list of total hauls pros'!K97</f>
        <v>17.4166666666667</v>
      </c>
      <c r="M99" t="str">
        <f>'Final list of total hauls pros'!L97</f>
        <v>25-32</v>
      </c>
      <c r="N99" t="str">
        <f>Processing!I100</f>
        <v>DEN (SD 25-32)</v>
      </c>
    </row>
    <row r="100" spans="2:14" x14ac:dyDescent="0.25">
      <c r="B100">
        <f>Processing!D101</f>
        <v>25024</v>
      </c>
      <c r="C100" t="str">
        <f>Processing!F101</f>
        <v>38G7</v>
      </c>
      <c r="D100">
        <f>'Final list of total hauls pros'!C98</f>
        <v>25</v>
      </c>
      <c r="E100">
        <f>'Final list of total hauls pros'!D98</f>
        <v>54</v>
      </c>
      <c r="F100">
        <f>'Final list of total hauls pros'!E98</f>
        <v>51</v>
      </c>
      <c r="G100">
        <f>'Final list of total hauls pros'!F98</f>
        <v>17</v>
      </c>
      <c r="H100">
        <f>'Final list of total hauls pros'!G98</f>
        <v>28</v>
      </c>
      <c r="I100">
        <f>'Final list of total hauls pros'!H98</f>
        <v>2</v>
      </c>
      <c r="J100" t="str">
        <f>'Final list of total hauls pros'!I98</f>
        <v>POL</v>
      </c>
      <c r="K100" s="13">
        <f>'Final list of total hauls pros'!J98</f>
        <v>54.85</v>
      </c>
      <c r="L100" s="13">
        <f>'Final list of total hauls pros'!K98</f>
        <v>17.466666666666701</v>
      </c>
      <c r="M100" t="str">
        <f>'Final list of total hauls pros'!L98</f>
        <v>25-32</v>
      </c>
      <c r="N100" t="str">
        <f>Processing!I101</f>
        <v>POL (SD 25-32)</v>
      </c>
    </row>
    <row r="101" spans="2:14" x14ac:dyDescent="0.25">
      <c r="B101">
        <f>Processing!D102</f>
        <v>25030</v>
      </c>
      <c r="C101" t="str">
        <f>Processing!F102</f>
        <v>39G7</v>
      </c>
      <c r="D101">
        <f>'Final list of total hauls pros'!C99</f>
        <v>25</v>
      </c>
      <c r="E101">
        <f>'Final list of total hauls pros'!D99</f>
        <v>55</v>
      </c>
      <c r="F101">
        <f>'Final list of total hauls pros'!E99</f>
        <v>29.3</v>
      </c>
      <c r="G101">
        <f>'Final list of total hauls pros'!F99</f>
        <v>17</v>
      </c>
      <c r="H101">
        <f>'Final list of total hauls pros'!G99</f>
        <v>27.8</v>
      </c>
      <c r="I101">
        <f>'Final list of total hauls pros'!H99</f>
        <v>3</v>
      </c>
      <c r="J101" t="str">
        <f>'Final list of total hauls pros'!I99</f>
        <v>POL</v>
      </c>
      <c r="K101" s="13">
        <f>'Final list of total hauls pros'!J99</f>
        <v>55.488333333333301</v>
      </c>
      <c r="L101" s="13">
        <f>'Final list of total hauls pros'!K99</f>
        <v>17.463333333333299</v>
      </c>
      <c r="M101" t="str">
        <f>'Final list of total hauls pros'!L99</f>
        <v>25-32</v>
      </c>
      <c r="N101" t="str">
        <f>Processing!I102</f>
        <v>DEN (SD 25-32)</v>
      </c>
    </row>
    <row r="102" spans="2:14" x14ac:dyDescent="0.25">
      <c r="B102">
        <f>Processing!D103</f>
        <v>25041</v>
      </c>
      <c r="C102" t="str">
        <f>Processing!F103</f>
        <v>37G5</v>
      </c>
      <c r="D102">
        <f>'Final list of total hauls pros'!C100</f>
        <v>25</v>
      </c>
      <c r="E102">
        <f>'Final list of total hauls pros'!D100</f>
        <v>54</v>
      </c>
      <c r="F102">
        <f>'Final list of total hauls pros'!E100</f>
        <v>24.9</v>
      </c>
      <c r="G102">
        <f>'Final list of total hauls pros'!F100</f>
        <v>15</v>
      </c>
      <c r="H102">
        <f>'Final list of total hauls pros'!G100</f>
        <v>41</v>
      </c>
      <c r="I102">
        <f>'Final list of total hauls pros'!H100</f>
        <v>3</v>
      </c>
      <c r="J102" t="str">
        <f>'Final list of total hauls pros'!I100</f>
        <v>POL</v>
      </c>
      <c r="K102" s="13">
        <f>'Final list of total hauls pros'!J100</f>
        <v>54.414999999999999</v>
      </c>
      <c r="L102" s="13">
        <f>'Final list of total hauls pros'!K100</f>
        <v>15.6833333333333</v>
      </c>
      <c r="M102" t="str">
        <f>'Final list of total hauls pros'!L100</f>
        <v>25-32</v>
      </c>
      <c r="N102" t="str">
        <f>Processing!I103</f>
        <v>POL (SD 25-32)</v>
      </c>
    </row>
    <row r="103" spans="2:14" x14ac:dyDescent="0.25">
      <c r="B103">
        <f>Processing!D104</f>
        <v>25042</v>
      </c>
      <c r="C103" t="str">
        <f>Processing!F104</f>
        <v>37G5</v>
      </c>
      <c r="D103">
        <f>'Final list of total hauls pros'!C101</f>
        <v>25</v>
      </c>
      <c r="E103">
        <f>'Final list of total hauls pros'!D101</f>
        <v>54</v>
      </c>
      <c r="F103">
        <f>'Final list of total hauls pros'!E101</f>
        <v>32</v>
      </c>
      <c r="G103">
        <f>'Final list of total hauls pros'!F101</f>
        <v>16</v>
      </c>
      <c r="H103">
        <f>'Final list of total hauls pros'!G101</f>
        <v>0</v>
      </c>
      <c r="I103">
        <f>'Final list of total hauls pros'!H101</f>
        <v>3</v>
      </c>
      <c r="J103" t="str">
        <f>'Final list of total hauls pros'!I101</f>
        <v>POL</v>
      </c>
      <c r="K103" s="13">
        <f>'Final list of total hauls pros'!J101</f>
        <v>54.533333333333303</v>
      </c>
      <c r="L103" s="13">
        <f>'Final list of total hauls pros'!K101</f>
        <v>16</v>
      </c>
      <c r="M103" t="str">
        <f>'Final list of total hauls pros'!L101</f>
        <v>25-32</v>
      </c>
      <c r="N103" t="str">
        <f>Processing!I104</f>
        <v>DEN (SD 25-32)</v>
      </c>
    </row>
    <row r="104" spans="2:14" x14ac:dyDescent="0.25">
      <c r="B104">
        <f>Processing!D105</f>
        <v>25046</v>
      </c>
      <c r="C104" t="str">
        <f>Processing!F105</f>
        <v>38G5</v>
      </c>
      <c r="D104">
        <f>'Final list of total hauls pros'!C102</f>
        <v>25</v>
      </c>
      <c r="E104">
        <f>'Final list of total hauls pros'!D102</f>
        <v>54</v>
      </c>
      <c r="F104">
        <f>'Final list of total hauls pros'!E102</f>
        <v>33.4</v>
      </c>
      <c r="G104">
        <f>'Final list of total hauls pros'!F102</f>
        <v>15</v>
      </c>
      <c r="H104">
        <f>'Final list of total hauls pros'!G102</f>
        <v>26.4</v>
      </c>
      <c r="I104">
        <f>'Final list of total hauls pros'!H102</f>
        <v>3</v>
      </c>
      <c r="J104" t="str">
        <f>'Final list of total hauls pros'!I102</f>
        <v>POL</v>
      </c>
      <c r="K104" s="13">
        <f>'Final list of total hauls pros'!J102</f>
        <v>54.5566666666667</v>
      </c>
      <c r="L104" s="13">
        <f>'Final list of total hauls pros'!K102</f>
        <v>15.44</v>
      </c>
      <c r="M104" t="str">
        <f>'Final list of total hauls pros'!L102</f>
        <v>25-32</v>
      </c>
      <c r="N104" t="str">
        <f>Processing!I105</f>
        <v>DEN (SD 25-32)</v>
      </c>
    </row>
    <row r="105" spans="2:14" x14ac:dyDescent="0.25">
      <c r="B105">
        <f>Processing!D106</f>
        <v>25048</v>
      </c>
      <c r="C105" t="str">
        <f>Processing!F106</f>
        <v>38G5</v>
      </c>
      <c r="D105">
        <f>'Final list of total hauls pros'!C103</f>
        <v>25</v>
      </c>
      <c r="E105">
        <f>'Final list of total hauls pros'!D103</f>
        <v>54</v>
      </c>
      <c r="F105">
        <f>'Final list of total hauls pros'!E103</f>
        <v>34.1</v>
      </c>
      <c r="G105">
        <f>'Final list of total hauls pros'!F103</f>
        <v>15</v>
      </c>
      <c r="H105">
        <f>'Final list of total hauls pros'!G103</f>
        <v>40.1</v>
      </c>
      <c r="I105">
        <f>'Final list of total hauls pros'!H103</f>
        <v>4</v>
      </c>
      <c r="J105" t="str">
        <f>'Final list of total hauls pros'!I103</f>
        <v>POL</v>
      </c>
      <c r="K105" s="13">
        <f>'Final list of total hauls pros'!J103</f>
        <v>54.5683333333333</v>
      </c>
      <c r="L105" s="13">
        <f>'Final list of total hauls pros'!K103</f>
        <v>15.668333333333299</v>
      </c>
      <c r="M105" t="str">
        <f>'Final list of total hauls pros'!L103</f>
        <v>25-32</v>
      </c>
      <c r="N105" t="str">
        <f>Processing!I106</f>
        <v>DEN (SD 25-32)</v>
      </c>
    </row>
    <row r="106" spans="2:14" x14ac:dyDescent="0.25">
      <c r="B106">
        <f>Processing!D107</f>
        <v>25049</v>
      </c>
      <c r="C106" t="str">
        <f>Processing!F107</f>
        <v>38G5</v>
      </c>
      <c r="D106">
        <f>'Final list of total hauls pros'!C104</f>
        <v>25</v>
      </c>
      <c r="E106">
        <f>'Final list of total hauls pros'!D104</f>
        <v>54</v>
      </c>
      <c r="F106">
        <f>'Final list of total hauls pros'!E104</f>
        <v>32.5</v>
      </c>
      <c r="G106">
        <f>'Final list of total hauls pros'!F104</f>
        <v>15</v>
      </c>
      <c r="H106">
        <f>'Final list of total hauls pros'!G104</f>
        <v>46.1</v>
      </c>
      <c r="I106">
        <f>'Final list of total hauls pros'!H104</f>
        <v>3</v>
      </c>
      <c r="J106" t="str">
        <f>'Final list of total hauls pros'!I104</f>
        <v>POL</v>
      </c>
      <c r="K106" s="13">
        <f>'Final list of total hauls pros'!J104</f>
        <v>54.5416666666667</v>
      </c>
      <c r="L106" s="13">
        <f>'Final list of total hauls pros'!K104</f>
        <v>15.768333333333301</v>
      </c>
      <c r="M106" t="str">
        <f>'Final list of total hauls pros'!L104</f>
        <v>25-32</v>
      </c>
      <c r="N106" t="str">
        <f>Processing!I107</f>
        <v>DEN (SD 25-32)</v>
      </c>
    </row>
    <row r="107" spans="2:14" x14ac:dyDescent="0.25">
      <c r="B107">
        <f>Processing!D108</f>
        <v>25052</v>
      </c>
      <c r="C107" t="str">
        <f>Processing!F108</f>
        <v>38G6</v>
      </c>
      <c r="D107">
        <f>'Final list of total hauls pros'!C105</f>
        <v>25</v>
      </c>
      <c r="E107">
        <f>'Final list of total hauls pros'!D105</f>
        <v>54</v>
      </c>
      <c r="F107">
        <f>'Final list of total hauls pros'!E105</f>
        <v>38.4</v>
      </c>
      <c r="G107">
        <f>'Final list of total hauls pros'!F105</f>
        <v>16</v>
      </c>
      <c r="H107">
        <f>'Final list of total hauls pros'!G105</f>
        <v>4.5</v>
      </c>
      <c r="I107">
        <f>'Final list of total hauls pros'!H105</f>
        <v>3</v>
      </c>
      <c r="J107" t="str">
        <f>'Final list of total hauls pros'!I105</f>
        <v>POL</v>
      </c>
      <c r="K107" s="13">
        <f>'Final list of total hauls pros'!J105</f>
        <v>54.64</v>
      </c>
      <c r="L107" s="13">
        <f>'Final list of total hauls pros'!K105</f>
        <v>16.074999999999999</v>
      </c>
      <c r="M107" t="str">
        <f>'Final list of total hauls pros'!L105</f>
        <v>25-32</v>
      </c>
      <c r="N107" t="str">
        <f>Processing!I108</f>
        <v>DEN (SD 25-32)</v>
      </c>
    </row>
    <row r="108" spans="2:14" x14ac:dyDescent="0.25">
      <c r="B108">
        <f>Processing!D109</f>
        <v>25053</v>
      </c>
      <c r="C108" t="str">
        <f>Processing!F109</f>
        <v>38G5</v>
      </c>
      <c r="D108">
        <f>'Final list of total hauls pros'!C106</f>
        <v>25</v>
      </c>
      <c r="E108">
        <f>'Final list of total hauls pros'!D106</f>
        <v>54</v>
      </c>
      <c r="F108">
        <f>'Final list of total hauls pros'!E106</f>
        <v>48.1</v>
      </c>
      <c r="G108">
        <f>'Final list of total hauls pros'!F106</f>
        <v>15</v>
      </c>
      <c r="H108">
        <f>'Final list of total hauls pros'!G106</f>
        <v>0.8</v>
      </c>
      <c r="I108">
        <f>'Final list of total hauls pros'!H106</f>
        <v>3</v>
      </c>
      <c r="J108" t="str">
        <f>'Final list of total hauls pros'!I106</f>
        <v>DEN</v>
      </c>
      <c r="K108" s="13">
        <f>'Final list of total hauls pros'!J106</f>
        <v>54.801666666666698</v>
      </c>
      <c r="L108" s="13">
        <f>'Final list of total hauls pros'!K106</f>
        <v>15.0133333333333</v>
      </c>
      <c r="M108" t="str">
        <f>'Final list of total hauls pros'!L106</f>
        <v>25-32</v>
      </c>
      <c r="N108" t="str">
        <f>Processing!I109</f>
        <v>DEN (SD 25-32)</v>
      </c>
    </row>
    <row r="109" spans="2:14" x14ac:dyDescent="0.25">
      <c r="B109">
        <f>Processing!D110</f>
        <v>25056</v>
      </c>
      <c r="C109" t="str">
        <f>Processing!F110</f>
        <v>38G5</v>
      </c>
      <c r="D109">
        <f>'Final list of total hauls pros'!C107</f>
        <v>25</v>
      </c>
      <c r="E109">
        <f>'Final list of total hauls pros'!D107</f>
        <v>54</v>
      </c>
      <c r="F109">
        <f>'Final list of total hauls pros'!E107</f>
        <v>44.7</v>
      </c>
      <c r="G109">
        <f>'Final list of total hauls pros'!F107</f>
        <v>15</v>
      </c>
      <c r="H109">
        <f>'Final list of total hauls pros'!G107</f>
        <v>57</v>
      </c>
      <c r="I109">
        <f>'Final list of total hauls pros'!H107</f>
        <v>3</v>
      </c>
      <c r="J109" t="str">
        <f>'Final list of total hauls pros'!I107</f>
        <v>POL</v>
      </c>
      <c r="K109" s="13">
        <f>'Final list of total hauls pros'!J107</f>
        <v>54.744999999999997</v>
      </c>
      <c r="L109" s="13">
        <f>'Final list of total hauls pros'!K107</f>
        <v>15.95</v>
      </c>
      <c r="M109" t="str">
        <f>'Final list of total hauls pros'!L107</f>
        <v>25-32</v>
      </c>
      <c r="N109" t="str">
        <f>Processing!I110</f>
        <v>DEN (SD 25-32)</v>
      </c>
    </row>
    <row r="110" spans="2:14" x14ac:dyDescent="0.25">
      <c r="B110">
        <f>Processing!D111</f>
        <v>25060</v>
      </c>
      <c r="C110" t="str">
        <f>Processing!F111</f>
        <v>38G5</v>
      </c>
      <c r="D110">
        <f>'Final list of total hauls pros'!C108</f>
        <v>25</v>
      </c>
      <c r="E110">
        <f>'Final list of total hauls pros'!D108</f>
        <v>54</v>
      </c>
      <c r="F110">
        <f>'Final list of total hauls pros'!E108</f>
        <v>50.3</v>
      </c>
      <c r="G110">
        <f>'Final list of total hauls pros'!F108</f>
        <v>16</v>
      </c>
      <c r="H110">
        <f>'Final list of total hauls pros'!G108</f>
        <v>3.1</v>
      </c>
      <c r="I110">
        <f>'Final list of total hauls pros'!H108</f>
        <v>3</v>
      </c>
      <c r="J110" t="str">
        <f>'Final list of total hauls pros'!I108</f>
        <v>POL</v>
      </c>
      <c r="K110" s="13">
        <f>'Final list of total hauls pros'!J108</f>
        <v>54.838333333333303</v>
      </c>
      <c r="L110" s="13">
        <f>'Final list of total hauls pros'!K108</f>
        <v>16.051666666666701</v>
      </c>
      <c r="M110" t="str">
        <f>'Final list of total hauls pros'!L108</f>
        <v>25-32</v>
      </c>
      <c r="N110" t="str">
        <f>Processing!I111</f>
        <v>DEN (SD 25-32)</v>
      </c>
    </row>
    <row r="111" spans="2:14" x14ac:dyDescent="0.25">
      <c r="B111">
        <f>Processing!D112</f>
        <v>25061</v>
      </c>
      <c r="C111" t="str">
        <f>Processing!F112</f>
        <v>38G6</v>
      </c>
      <c r="D111">
        <f>'Final list of total hauls pros'!C109</f>
        <v>25</v>
      </c>
      <c r="E111">
        <f>'Final list of total hauls pros'!D109</f>
        <v>54</v>
      </c>
      <c r="F111">
        <f>'Final list of total hauls pros'!E109</f>
        <v>49.5</v>
      </c>
      <c r="G111">
        <f>'Final list of total hauls pros'!F109</f>
        <v>16</v>
      </c>
      <c r="H111">
        <f>'Final list of total hauls pros'!G109</f>
        <v>2.1</v>
      </c>
      <c r="I111">
        <f>'Final list of total hauls pros'!H109</f>
        <v>3</v>
      </c>
      <c r="J111" t="str">
        <f>'Final list of total hauls pros'!I109</f>
        <v>POL</v>
      </c>
      <c r="K111" s="13">
        <f>'Final list of total hauls pros'!J109</f>
        <v>54.825000000000003</v>
      </c>
      <c r="L111" s="13">
        <f>'Final list of total hauls pros'!K109</f>
        <v>16.035</v>
      </c>
      <c r="M111" t="str">
        <f>'Final list of total hauls pros'!L109</f>
        <v>25-32</v>
      </c>
      <c r="N111" t="str">
        <f>Processing!I112</f>
        <v>DEN (SD 25-32)</v>
      </c>
    </row>
    <row r="112" spans="2:14" x14ac:dyDescent="0.25">
      <c r="B112">
        <f>Processing!D113</f>
        <v>25065</v>
      </c>
      <c r="C112" t="str">
        <f>Processing!F113</f>
        <v>39G5</v>
      </c>
      <c r="D112">
        <f>'Final list of total hauls pros'!C110</f>
        <v>25</v>
      </c>
      <c r="E112">
        <f>'Final list of total hauls pros'!D110</f>
        <v>55</v>
      </c>
      <c r="F112">
        <f>'Final list of total hauls pros'!E110</f>
        <v>3.6</v>
      </c>
      <c r="G112">
        <f>'Final list of total hauls pros'!F110</f>
        <v>15</v>
      </c>
      <c r="H112">
        <f>'Final list of total hauls pros'!G110</f>
        <v>20.100000000000001</v>
      </c>
      <c r="I112">
        <f>'Final list of total hauls pros'!H110</f>
        <v>4</v>
      </c>
      <c r="J112" t="str">
        <f>'Final list of total hauls pros'!I110</f>
        <v>DEN</v>
      </c>
      <c r="K112" s="13">
        <f>'Final list of total hauls pros'!J110</f>
        <v>55.06</v>
      </c>
      <c r="L112" s="13">
        <f>'Final list of total hauls pros'!K110</f>
        <v>15.335000000000001</v>
      </c>
      <c r="M112" t="str">
        <f>'Final list of total hauls pros'!L110</f>
        <v>25-32</v>
      </c>
      <c r="N112" t="str">
        <f>Processing!I113</f>
        <v>DEN (SD 25-32)</v>
      </c>
    </row>
    <row r="113" spans="2:14" x14ac:dyDescent="0.25">
      <c r="B113">
        <f>Processing!D114</f>
        <v>25066</v>
      </c>
      <c r="C113" t="str">
        <f>Processing!F114</f>
        <v>39G6</v>
      </c>
      <c r="D113">
        <f>'Final list of total hauls pros'!C111</f>
        <v>25</v>
      </c>
      <c r="E113">
        <f>'Final list of total hauls pros'!D111</f>
        <v>55</v>
      </c>
      <c r="F113">
        <f>'Final list of total hauls pros'!E111</f>
        <v>0</v>
      </c>
      <c r="G113">
        <f>'Final list of total hauls pros'!F111</f>
        <v>16</v>
      </c>
      <c r="H113">
        <f>'Final list of total hauls pros'!G111</f>
        <v>17</v>
      </c>
      <c r="I113">
        <f>'Final list of total hauls pros'!H111</f>
        <v>3</v>
      </c>
      <c r="J113" t="str">
        <f>'Final list of total hauls pros'!I111</f>
        <v>POL</v>
      </c>
      <c r="K113" s="13">
        <f>'Final list of total hauls pros'!J111</f>
        <v>55</v>
      </c>
      <c r="L113" s="13">
        <f>'Final list of total hauls pros'!K111</f>
        <v>16.283333333333299</v>
      </c>
      <c r="M113" t="str">
        <f>'Final list of total hauls pros'!L111</f>
        <v>25-32</v>
      </c>
      <c r="N113" t="str">
        <f>Processing!I114</f>
        <v>DEN (SD 25-32)</v>
      </c>
    </row>
    <row r="114" spans="2:14" x14ac:dyDescent="0.25">
      <c r="B114">
        <f>Processing!D115</f>
        <v>25067</v>
      </c>
      <c r="C114" t="str">
        <f>Processing!F115</f>
        <v>39G6</v>
      </c>
      <c r="D114">
        <f>'Final list of total hauls pros'!C112</f>
        <v>25</v>
      </c>
      <c r="E114">
        <f>'Final list of total hauls pros'!D112</f>
        <v>55</v>
      </c>
      <c r="F114">
        <f>'Final list of total hauls pros'!E112</f>
        <v>2.6</v>
      </c>
      <c r="G114">
        <f>'Final list of total hauls pros'!F112</f>
        <v>16</v>
      </c>
      <c r="H114">
        <f>'Final list of total hauls pros'!G112</f>
        <v>24</v>
      </c>
      <c r="I114">
        <f>'Final list of total hauls pros'!H112</f>
        <v>3</v>
      </c>
      <c r="J114" t="str">
        <f>'Final list of total hauls pros'!I112</f>
        <v>POL</v>
      </c>
      <c r="K114" s="13">
        <f>'Final list of total hauls pros'!J112</f>
        <v>55.043333333333301</v>
      </c>
      <c r="L114" s="13">
        <f>'Final list of total hauls pros'!K112</f>
        <v>16.399999999999999</v>
      </c>
      <c r="M114" t="str">
        <f>'Final list of total hauls pros'!L112</f>
        <v>25-32</v>
      </c>
      <c r="N114" t="str">
        <f>Processing!I115</f>
        <v>DEN (SD 25-32)</v>
      </c>
    </row>
    <row r="115" spans="2:14" x14ac:dyDescent="0.25">
      <c r="B115">
        <f>Processing!D116</f>
        <v>25081</v>
      </c>
      <c r="C115" t="str">
        <f>Processing!F116</f>
        <v>39G6</v>
      </c>
      <c r="D115">
        <f>'Final list of total hauls pros'!C113</f>
        <v>25</v>
      </c>
      <c r="E115">
        <f>'Final list of total hauls pros'!D113</f>
        <v>55</v>
      </c>
      <c r="F115">
        <f>'Final list of total hauls pros'!E113</f>
        <v>24.2</v>
      </c>
      <c r="G115">
        <f>'Final list of total hauls pros'!F113</f>
        <v>16</v>
      </c>
      <c r="H115">
        <f>'Final list of total hauls pros'!G113</f>
        <v>51</v>
      </c>
      <c r="I115">
        <f>'Final list of total hauls pros'!H113</f>
        <v>3</v>
      </c>
      <c r="J115" t="str">
        <f>'Final list of total hauls pros'!I113</f>
        <v>POL</v>
      </c>
      <c r="K115" s="13">
        <f>'Final list of total hauls pros'!J113</f>
        <v>55.4033333333333</v>
      </c>
      <c r="L115" s="13">
        <f>'Final list of total hauls pros'!K113</f>
        <v>16.850000000000001</v>
      </c>
      <c r="M115" t="str">
        <f>'Final list of total hauls pros'!L113</f>
        <v>25-32</v>
      </c>
      <c r="N115" t="str">
        <f>Processing!I116</f>
        <v>DEN (SD 25-32)</v>
      </c>
    </row>
    <row r="116" spans="2:14" x14ac:dyDescent="0.25">
      <c r="B116">
        <f>Processing!D117</f>
        <v>25136</v>
      </c>
      <c r="C116" t="str">
        <f>Processing!F117</f>
        <v>40G7</v>
      </c>
      <c r="D116">
        <f>'Final list of total hauls pros'!C114</f>
        <v>25</v>
      </c>
      <c r="E116">
        <f>'Final list of total hauls pros'!D114</f>
        <v>55</v>
      </c>
      <c r="F116">
        <f>'Final list of total hauls pros'!E114</f>
        <v>46.6</v>
      </c>
      <c r="G116">
        <f>'Final list of total hauls pros'!F114</f>
        <v>17</v>
      </c>
      <c r="H116">
        <f>'Final list of total hauls pros'!G114</f>
        <v>42</v>
      </c>
      <c r="I116">
        <f>'Final list of total hauls pros'!H114</f>
        <v>3</v>
      </c>
      <c r="J116" t="str">
        <f>'Final list of total hauls pros'!I114</f>
        <v>SWE</v>
      </c>
      <c r="K116" s="13">
        <f>'Final list of total hauls pros'!J114</f>
        <v>55.776666666666699</v>
      </c>
      <c r="L116" s="13">
        <f>'Final list of total hauls pros'!K114</f>
        <v>17.7</v>
      </c>
      <c r="M116" t="str">
        <f>'Final list of total hauls pros'!L114</f>
        <v>25-32</v>
      </c>
      <c r="N116" t="str">
        <f>Processing!I117</f>
        <v>SWE (SD 25-32)</v>
      </c>
    </row>
    <row r="117" spans="2:14" x14ac:dyDescent="0.25">
      <c r="B117">
        <f>Processing!D118</f>
        <v>25140</v>
      </c>
      <c r="C117" t="str">
        <f>Processing!F118</f>
        <v>40G5</v>
      </c>
      <c r="D117">
        <f>'Final list of total hauls pros'!C115</f>
        <v>25</v>
      </c>
      <c r="E117">
        <f>'Final list of total hauls pros'!D115</f>
        <v>55</v>
      </c>
      <c r="F117">
        <f>'Final list of total hauls pros'!E115</f>
        <v>51.4</v>
      </c>
      <c r="G117">
        <f>'Final list of total hauls pros'!F115</f>
        <v>15</v>
      </c>
      <c r="H117">
        <f>'Final list of total hauls pros'!G115</f>
        <v>34.5</v>
      </c>
      <c r="I117">
        <f>'Final list of total hauls pros'!H115</f>
        <v>3</v>
      </c>
      <c r="J117" t="str">
        <f>'Final list of total hauls pros'!I115</f>
        <v>SWE</v>
      </c>
      <c r="K117" s="13">
        <f>'Final list of total hauls pros'!J115</f>
        <v>55.856666666666698</v>
      </c>
      <c r="L117" s="13">
        <f>'Final list of total hauls pros'!K115</f>
        <v>15.574999999999999</v>
      </c>
      <c r="M117" t="str">
        <f>'Final list of total hauls pros'!L115</f>
        <v>25-32</v>
      </c>
      <c r="N117" t="str">
        <f>Processing!I118</f>
        <v>SWE (SD 25-32)</v>
      </c>
    </row>
    <row r="118" spans="2:14" x14ac:dyDescent="0.25">
      <c r="B118">
        <f>Processing!D119</f>
        <v>25161</v>
      </c>
      <c r="C118" t="str">
        <f>Processing!F119</f>
        <v>40G7</v>
      </c>
      <c r="D118">
        <f>'Final list of total hauls pros'!C116</f>
        <v>25</v>
      </c>
      <c r="E118">
        <f>'Final list of total hauls pros'!D116</f>
        <v>55</v>
      </c>
      <c r="F118">
        <f>'Final list of total hauls pros'!E116</f>
        <v>53.3</v>
      </c>
      <c r="G118">
        <f>'Final list of total hauls pros'!F116</f>
        <v>17</v>
      </c>
      <c r="H118">
        <f>'Final list of total hauls pros'!G116</f>
        <v>43.6</v>
      </c>
      <c r="I118">
        <f>'Final list of total hauls pros'!H116</f>
        <v>4</v>
      </c>
      <c r="J118" t="str">
        <f>'Final list of total hauls pros'!I116</f>
        <v>SWE</v>
      </c>
      <c r="K118" s="13">
        <f>'Final list of total hauls pros'!J116</f>
        <v>55.8883333333333</v>
      </c>
      <c r="L118" s="13">
        <f>'Final list of total hauls pros'!K116</f>
        <v>17.726666666666699</v>
      </c>
      <c r="M118" t="str">
        <f>'Final list of total hauls pros'!L116</f>
        <v>25-32</v>
      </c>
      <c r="N118" t="str">
        <f>Processing!I119</f>
        <v>SWE (SD 25-32)</v>
      </c>
    </row>
    <row r="119" spans="2:14" x14ac:dyDescent="0.25">
      <c r="B119">
        <f>Processing!D120</f>
        <v>25173</v>
      </c>
      <c r="C119" t="str">
        <f>Processing!F120</f>
        <v>38G5</v>
      </c>
      <c r="D119">
        <f>'Final list of total hauls pros'!C117</f>
        <v>25</v>
      </c>
      <c r="E119">
        <f>'Final list of total hauls pros'!D117</f>
        <v>54</v>
      </c>
      <c r="F119">
        <f>'Final list of total hauls pros'!E117</f>
        <v>40.9</v>
      </c>
      <c r="G119">
        <f>'Final list of total hauls pros'!F117</f>
        <v>15</v>
      </c>
      <c r="H119">
        <f>'Final list of total hauls pros'!G117</f>
        <v>37.6</v>
      </c>
      <c r="I119">
        <f>'Final list of total hauls pros'!H117</f>
        <v>4</v>
      </c>
      <c r="J119" t="str">
        <f>'Final list of total hauls pros'!I117</f>
        <v>POL</v>
      </c>
      <c r="K119" s="13">
        <f>'Final list of total hauls pros'!J117</f>
        <v>54.6816666666667</v>
      </c>
      <c r="L119" s="13">
        <f>'Final list of total hauls pros'!K117</f>
        <v>15.626666666666701</v>
      </c>
      <c r="M119" t="str">
        <f>'Final list of total hauls pros'!L117</f>
        <v>25-32</v>
      </c>
      <c r="N119" t="str">
        <f>Processing!I120</f>
        <v>DEN (SD 25-32)</v>
      </c>
    </row>
    <row r="120" spans="2:14" x14ac:dyDescent="0.25">
      <c r="B120">
        <f>Processing!D121</f>
        <v>25195</v>
      </c>
      <c r="C120" t="str">
        <f>Processing!F121</f>
        <v>38G5</v>
      </c>
      <c r="D120">
        <f>'Final list of total hauls pros'!C118</f>
        <v>25</v>
      </c>
      <c r="E120">
        <f>'Final list of total hauls pros'!D118</f>
        <v>54</v>
      </c>
      <c r="F120">
        <f>'Final list of total hauls pros'!E118</f>
        <v>53</v>
      </c>
      <c r="G120">
        <f>'Final list of total hauls pros'!F118</f>
        <v>15</v>
      </c>
      <c r="H120">
        <f>'Final list of total hauls pros'!G118</f>
        <v>51</v>
      </c>
      <c r="I120">
        <f>'Final list of total hauls pros'!H118</f>
        <v>4</v>
      </c>
      <c r="J120" t="str">
        <f>'Final list of total hauls pros'!I118</f>
        <v>DEN</v>
      </c>
      <c r="K120" s="13">
        <f>'Final list of total hauls pros'!J118</f>
        <v>54.883333333333297</v>
      </c>
      <c r="L120" s="13">
        <f>'Final list of total hauls pros'!K118</f>
        <v>15.85</v>
      </c>
      <c r="M120" t="str">
        <f>'Final list of total hauls pros'!L118</f>
        <v>25-32</v>
      </c>
      <c r="N120" t="str">
        <f>Processing!I121</f>
        <v>DEN (SD 25-32)</v>
      </c>
    </row>
    <row r="121" spans="2:14" x14ac:dyDescent="0.25">
      <c r="B121">
        <f>Processing!D122</f>
        <v>25197</v>
      </c>
      <c r="C121" t="str">
        <f>Processing!F122</f>
        <v>39G5</v>
      </c>
      <c r="D121">
        <f>'Final list of total hauls pros'!C119</f>
        <v>25</v>
      </c>
      <c r="E121">
        <f>'Final list of total hauls pros'!D119</f>
        <v>55</v>
      </c>
      <c r="F121">
        <f>'Final list of total hauls pros'!E119</f>
        <v>8</v>
      </c>
      <c r="G121">
        <f>'Final list of total hauls pros'!F119</f>
        <v>15</v>
      </c>
      <c r="H121">
        <f>'Final list of total hauls pros'!G119</f>
        <v>17</v>
      </c>
      <c r="I121">
        <f>'Final list of total hauls pros'!H119</f>
        <v>4</v>
      </c>
      <c r="J121" t="str">
        <f>'Final list of total hauls pros'!I119</f>
        <v>DEN</v>
      </c>
      <c r="K121" s="13">
        <f>'Final list of total hauls pros'!J119</f>
        <v>55.133333333333297</v>
      </c>
      <c r="L121" s="13">
        <f>'Final list of total hauls pros'!K119</f>
        <v>15.283333333333299</v>
      </c>
      <c r="M121" t="str">
        <f>'Final list of total hauls pros'!L119</f>
        <v>25-32</v>
      </c>
      <c r="N121" t="str">
        <f>Processing!I122</f>
        <v>DEN (SD 25-32)</v>
      </c>
    </row>
    <row r="122" spans="2:14" x14ac:dyDescent="0.25">
      <c r="B122">
        <f>Processing!D123</f>
        <v>25212</v>
      </c>
      <c r="C122" t="str">
        <f>Processing!F123</f>
        <v>39G6</v>
      </c>
      <c r="D122">
        <f>'Final list of total hauls pros'!C120</f>
        <v>25</v>
      </c>
      <c r="E122">
        <f>'Final list of total hauls pros'!D120</f>
        <v>55</v>
      </c>
      <c r="F122">
        <f>'Final list of total hauls pros'!E120</f>
        <v>3.3</v>
      </c>
      <c r="G122">
        <f>'Final list of total hauls pros'!F120</f>
        <v>16</v>
      </c>
      <c r="H122">
        <f>'Final list of total hauls pros'!G120</f>
        <v>18.2</v>
      </c>
      <c r="I122">
        <f>'Final list of total hauls pros'!H120</f>
        <v>4</v>
      </c>
      <c r="J122" t="str">
        <f>'Final list of total hauls pros'!I120</f>
        <v>POL</v>
      </c>
      <c r="K122" s="13">
        <f>'Final list of total hauls pros'!J120</f>
        <v>55.055</v>
      </c>
      <c r="L122" s="13">
        <f>'Final list of total hauls pros'!K120</f>
        <v>16.303333333333299</v>
      </c>
      <c r="M122" t="str">
        <f>'Final list of total hauls pros'!L120</f>
        <v>25-32</v>
      </c>
      <c r="N122" t="str">
        <f>Processing!I123</f>
        <v>DEN (SD 25-32)</v>
      </c>
    </row>
    <row r="123" spans="2:14" x14ac:dyDescent="0.25">
      <c r="B123">
        <f>Processing!D124</f>
        <v>25214</v>
      </c>
      <c r="C123" t="str">
        <f>Processing!F124</f>
        <v>39G6</v>
      </c>
      <c r="D123">
        <f>'Final list of total hauls pros'!C121</f>
        <v>25</v>
      </c>
      <c r="E123">
        <f>'Final list of total hauls pros'!D121</f>
        <v>55</v>
      </c>
      <c r="F123">
        <f>'Final list of total hauls pros'!E121</f>
        <v>4.5</v>
      </c>
      <c r="G123">
        <f>'Final list of total hauls pros'!F121</f>
        <v>16</v>
      </c>
      <c r="H123">
        <f>'Final list of total hauls pros'!G121</f>
        <v>23.1</v>
      </c>
      <c r="I123">
        <f>'Final list of total hauls pros'!H121</f>
        <v>4</v>
      </c>
      <c r="J123" t="str">
        <f>'Final list of total hauls pros'!I121</f>
        <v>POL</v>
      </c>
      <c r="K123" s="13">
        <f>'Final list of total hauls pros'!J121</f>
        <v>55.075000000000003</v>
      </c>
      <c r="L123" s="13">
        <f>'Final list of total hauls pros'!K121</f>
        <v>16.385000000000002</v>
      </c>
      <c r="M123" t="str">
        <f>'Final list of total hauls pros'!L121</f>
        <v>25-32</v>
      </c>
      <c r="N123" t="str">
        <f>Processing!I124</f>
        <v>DEN (SD 25-32)</v>
      </c>
    </row>
    <row r="124" spans="2:14" x14ac:dyDescent="0.25">
      <c r="B124">
        <f>Processing!D125</f>
        <v>25219</v>
      </c>
      <c r="C124" t="str">
        <f>Processing!F125</f>
        <v>39G5</v>
      </c>
      <c r="D124">
        <f>'Final list of total hauls pros'!C122</f>
        <v>25</v>
      </c>
      <c r="E124">
        <f>'Final list of total hauls pros'!D122</f>
        <v>55</v>
      </c>
      <c r="F124">
        <f>'Final list of total hauls pros'!E122</f>
        <v>19.3</v>
      </c>
      <c r="G124">
        <f>'Final list of total hauls pros'!F122</f>
        <v>15</v>
      </c>
      <c r="H124">
        <f>'Final list of total hauls pros'!G122</f>
        <v>2.4</v>
      </c>
      <c r="I124">
        <f>'Final list of total hauls pros'!H122</f>
        <v>4</v>
      </c>
      <c r="J124" t="str">
        <f>'Final list of total hauls pros'!I122</f>
        <v>DEN</v>
      </c>
      <c r="K124" s="13">
        <f>'Final list of total hauls pros'!J122</f>
        <v>55.321666666666701</v>
      </c>
      <c r="L124" s="13">
        <f>'Final list of total hauls pros'!K122</f>
        <v>15.04</v>
      </c>
      <c r="M124" t="str">
        <f>'Final list of total hauls pros'!L122</f>
        <v>25-32</v>
      </c>
      <c r="N124" t="str">
        <f>Processing!I125</f>
        <v>DEN (SD 25-32)</v>
      </c>
    </row>
    <row r="125" spans="2:14" x14ac:dyDescent="0.25">
      <c r="B125">
        <f>Processing!D126</f>
        <v>25232</v>
      </c>
      <c r="C125" t="str">
        <f>Processing!F126</f>
        <v>39G7</v>
      </c>
      <c r="D125">
        <f>'Final list of total hauls pros'!C123</f>
        <v>25</v>
      </c>
      <c r="E125">
        <f>'Final list of total hauls pros'!D123</f>
        <v>55</v>
      </c>
      <c r="F125">
        <f>'Final list of total hauls pros'!E123</f>
        <v>18.7</v>
      </c>
      <c r="G125">
        <f>'Final list of total hauls pros'!F123</f>
        <v>17</v>
      </c>
      <c r="H125">
        <f>'Final list of total hauls pros'!G123</f>
        <v>20</v>
      </c>
      <c r="I125">
        <f>'Final list of total hauls pros'!H123</f>
        <v>4</v>
      </c>
      <c r="J125" t="str">
        <f>'Final list of total hauls pros'!I123</f>
        <v>POL</v>
      </c>
      <c r="K125" s="13">
        <f>'Final list of total hauls pros'!J123</f>
        <v>55.311666666666703</v>
      </c>
      <c r="L125" s="13">
        <f>'Final list of total hauls pros'!K123</f>
        <v>17.3333333333333</v>
      </c>
      <c r="M125" t="str">
        <f>'Final list of total hauls pros'!L123</f>
        <v>25-32</v>
      </c>
      <c r="N125" t="str">
        <f>Processing!I126</f>
        <v>DEN (SD 25-32)</v>
      </c>
    </row>
    <row r="126" spans="2:14" x14ac:dyDescent="0.25">
      <c r="B126">
        <f>Processing!D127</f>
        <v>25241</v>
      </c>
      <c r="C126" t="str">
        <f>Processing!F127</f>
        <v>39G5</v>
      </c>
      <c r="D126">
        <f>'Final list of total hauls pros'!C124</f>
        <v>25</v>
      </c>
      <c r="E126">
        <f>'Final list of total hauls pros'!D124</f>
        <v>55</v>
      </c>
      <c r="F126">
        <f>'Final list of total hauls pros'!E124</f>
        <v>20.9</v>
      </c>
      <c r="G126">
        <f>'Final list of total hauls pros'!F124</f>
        <v>15</v>
      </c>
      <c r="H126">
        <f>'Final list of total hauls pros'!G124</f>
        <v>22.3</v>
      </c>
      <c r="I126">
        <f>'Final list of total hauls pros'!H124</f>
        <v>4</v>
      </c>
      <c r="J126" t="str">
        <f>'Final list of total hauls pros'!I124</f>
        <v>DEN</v>
      </c>
      <c r="K126" s="13">
        <f>'Final list of total hauls pros'!J124</f>
        <v>55.348333333333301</v>
      </c>
      <c r="L126" s="13">
        <f>'Final list of total hauls pros'!K124</f>
        <v>15.3716666666667</v>
      </c>
      <c r="M126" t="str">
        <f>'Final list of total hauls pros'!L124</f>
        <v>25-32</v>
      </c>
      <c r="N126" t="str">
        <f>Processing!I127</f>
        <v>DEN (SD 25-32)</v>
      </c>
    </row>
    <row r="127" spans="2:14" x14ac:dyDescent="0.25">
      <c r="B127">
        <f>Processing!D128</f>
        <v>25243</v>
      </c>
      <c r="C127" t="str">
        <f>Processing!F128</f>
        <v>39G6</v>
      </c>
      <c r="D127">
        <f>'Final list of total hauls pros'!C125</f>
        <v>25</v>
      </c>
      <c r="E127">
        <f>'Final list of total hauls pros'!D125</f>
        <v>55</v>
      </c>
      <c r="F127">
        <f>'Final list of total hauls pros'!E125</f>
        <v>29</v>
      </c>
      <c r="G127">
        <f>'Final list of total hauls pros'!F125</f>
        <v>16</v>
      </c>
      <c r="H127">
        <f>'Final list of total hauls pros'!G125</f>
        <v>9</v>
      </c>
      <c r="I127">
        <f>'Final list of total hauls pros'!H125</f>
        <v>4</v>
      </c>
      <c r="J127" t="str">
        <f>'Final list of total hauls pros'!I125</f>
        <v>SWE</v>
      </c>
      <c r="K127" s="13">
        <f>'Final list of total hauls pros'!J125</f>
        <v>55.483333333333299</v>
      </c>
      <c r="L127" s="13">
        <f>'Final list of total hauls pros'!K125</f>
        <v>16.149999999999999</v>
      </c>
      <c r="M127" t="str">
        <f>'Final list of total hauls pros'!L125</f>
        <v>25-32</v>
      </c>
      <c r="N127" t="str">
        <f>Processing!I128</f>
        <v>SWE (SD 25-32)</v>
      </c>
    </row>
    <row r="128" spans="2:14" x14ac:dyDescent="0.25">
      <c r="B128">
        <f>Processing!D129</f>
        <v>25246</v>
      </c>
      <c r="C128" t="str">
        <f>Processing!F129</f>
        <v>39G6</v>
      </c>
      <c r="D128">
        <f>'Final list of total hauls pros'!C126</f>
        <v>25</v>
      </c>
      <c r="E128">
        <f>'Final list of total hauls pros'!D126</f>
        <v>55</v>
      </c>
      <c r="F128">
        <f>'Final list of total hauls pros'!E126</f>
        <v>21</v>
      </c>
      <c r="G128">
        <f>'Final list of total hauls pros'!F126</f>
        <v>16</v>
      </c>
      <c r="H128">
        <f>'Final list of total hauls pros'!G126</f>
        <v>57</v>
      </c>
      <c r="I128">
        <f>'Final list of total hauls pros'!H126</f>
        <v>4</v>
      </c>
      <c r="J128" t="str">
        <f>'Final list of total hauls pros'!I126</f>
        <v>POL</v>
      </c>
      <c r="K128" s="13">
        <f>'Final list of total hauls pros'!J126</f>
        <v>55.35</v>
      </c>
      <c r="L128" s="13">
        <f>'Final list of total hauls pros'!K126</f>
        <v>16.95</v>
      </c>
      <c r="M128" t="str">
        <f>'Final list of total hauls pros'!L126</f>
        <v>25-32</v>
      </c>
      <c r="N128" t="str">
        <f>Processing!I129</f>
        <v>DEN (SD 25-32)</v>
      </c>
    </row>
    <row r="129" spans="2:14" x14ac:dyDescent="0.25">
      <c r="B129">
        <f>Processing!D130</f>
        <v>25274</v>
      </c>
      <c r="C129" t="str">
        <f>Processing!F130</f>
        <v>40G5</v>
      </c>
      <c r="D129">
        <f>'Final list of total hauls pros'!C127</f>
        <v>25</v>
      </c>
      <c r="E129">
        <f>'Final list of total hauls pros'!D127</f>
        <v>55</v>
      </c>
      <c r="F129">
        <f>'Final list of total hauls pros'!E127</f>
        <v>31.3</v>
      </c>
      <c r="G129">
        <f>'Final list of total hauls pros'!F127</f>
        <v>15</v>
      </c>
      <c r="H129">
        <f>'Final list of total hauls pros'!G127</f>
        <v>31.3</v>
      </c>
      <c r="I129">
        <f>'Final list of total hauls pros'!H127</f>
        <v>5</v>
      </c>
      <c r="J129" t="str">
        <f>'Final list of total hauls pros'!I127</f>
        <v>DEN</v>
      </c>
      <c r="K129" s="13">
        <f>'Final list of total hauls pros'!J127</f>
        <v>55.521666666666697</v>
      </c>
      <c r="L129" s="13">
        <f>'Final list of total hauls pros'!K127</f>
        <v>15.5216666666667</v>
      </c>
      <c r="M129" t="str">
        <f>'Final list of total hauls pros'!L127</f>
        <v>25-32</v>
      </c>
      <c r="N129" t="str">
        <f>Processing!I130</f>
        <v>DEN (SD 25-32)</v>
      </c>
    </row>
    <row r="130" spans="2:14" x14ac:dyDescent="0.25">
      <c r="B130">
        <f>Processing!D131</f>
        <v>25286</v>
      </c>
      <c r="C130" t="str">
        <f>Processing!F131</f>
        <v>40G6</v>
      </c>
      <c r="D130">
        <f>'Final list of total hauls pros'!C128</f>
        <v>25</v>
      </c>
      <c r="E130">
        <f>'Final list of total hauls pros'!D128</f>
        <v>55</v>
      </c>
      <c r="F130">
        <f>'Final list of total hauls pros'!E128</f>
        <v>34.9</v>
      </c>
      <c r="G130">
        <f>'Final list of total hauls pros'!F128</f>
        <v>16</v>
      </c>
      <c r="H130">
        <f>'Final list of total hauls pros'!G128</f>
        <v>26.1</v>
      </c>
      <c r="I130">
        <f>'Final list of total hauls pros'!H128</f>
        <v>4</v>
      </c>
      <c r="J130" t="str">
        <f>'Final list of total hauls pros'!I128</f>
        <v>SWE</v>
      </c>
      <c r="K130" s="13">
        <f>'Final list of total hauls pros'!J128</f>
        <v>55.581666666666699</v>
      </c>
      <c r="L130" s="13">
        <f>'Final list of total hauls pros'!K128</f>
        <v>16.434999999999999</v>
      </c>
      <c r="M130" t="str">
        <f>'Final list of total hauls pros'!L128</f>
        <v>25-32</v>
      </c>
      <c r="N130" t="str">
        <f>Processing!I131</f>
        <v>SWE (SD 25-32)</v>
      </c>
    </row>
    <row r="131" spans="2:14" x14ac:dyDescent="0.25">
      <c r="B131">
        <f>Processing!D132</f>
        <v>25290</v>
      </c>
      <c r="C131" t="str">
        <f>Processing!F132</f>
        <v>40G7</v>
      </c>
      <c r="D131">
        <f>'Final list of total hauls pros'!C129</f>
        <v>25</v>
      </c>
      <c r="E131">
        <f>'Final list of total hauls pros'!D129</f>
        <v>55</v>
      </c>
      <c r="F131">
        <f>'Final list of total hauls pros'!E129</f>
        <v>30</v>
      </c>
      <c r="G131">
        <f>'Final list of total hauls pros'!F129</f>
        <v>17</v>
      </c>
      <c r="H131">
        <f>'Final list of total hauls pros'!G129</f>
        <v>53.8</v>
      </c>
      <c r="I131">
        <f>'Final list of total hauls pros'!H129</f>
        <v>4</v>
      </c>
      <c r="J131" t="str">
        <f>'Final list of total hauls pros'!I129</f>
        <v>POL</v>
      </c>
      <c r="K131" s="13">
        <f>'Final list of total hauls pros'!J129</f>
        <v>55.5</v>
      </c>
      <c r="L131" s="13">
        <f>'Final list of total hauls pros'!K129</f>
        <v>17.8966666666667</v>
      </c>
      <c r="M131" t="str">
        <f>'Final list of total hauls pros'!L129</f>
        <v>25-32</v>
      </c>
      <c r="N131" t="str">
        <f>Processing!I132</f>
        <v>DEN (SD 25-32)</v>
      </c>
    </row>
    <row r="132" spans="2:14" x14ac:dyDescent="0.25">
      <c r="B132">
        <f>Processing!D133</f>
        <v>25300</v>
      </c>
      <c r="C132" t="str">
        <f>Processing!F133</f>
        <v>40G6</v>
      </c>
      <c r="D132">
        <f>'Final list of total hauls pros'!C130</f>
        <v>25</v>
      </c>
      <c r="E132">
        <f>'Final list of total hauls pros'!D130</f>
        <v>55</v>
      </c>
      <c r="F132">
        <f>'Final list of total hauls pros'!E130</f>
        <v>43.2</v>
      </c>
      <c r="G132">
        <f>'Final list of total hauls pros'!F130</f>
        <v>16</v>
      </c>
      <c r="H132">
        <f>'Final list of total hauls pros'!G130</f>
        <v>1.3</v>
      </c>
      <c r="I132">
        <f>'Final list of total hauls pros'!H130</f>
        <v>4</v>
      </c>
      <c r="J132" t="str">
        <f>'Final list of total hauls pros'!I130</f>
        <v>SWE</v>
      </c>
      <c r="K132" s="13">
        <f>'Final list of total hauls pros'!J130</f>
        <v>55.72</v>
      </c>
      <c r="L132" s="13">
        <f>'Final list of total hauls pros'!K130</f>
        <v>16.0216666666667</v>
      </c>
      <c r="M132" t="str">
        <f>'Final list of total hauls pros'!L130</f>
        <v>25-32</v>
      </c>
      <c r="N132" t="str">
        <f>Processing!I133</f>
        <v>SWE (SD 25-32)</v>
      </c>
    </row>
    <row r="133" spans="2:14" x14ac:dyDescent="0.25">
      <c r="B133">
        <f>Processing!D134</f>
        <v>25313</v>
      </c>
      <c r="C133" t="str">
        <f>Processing!F134</f>
        <v>41G7</v>
      </c>
      <c r="D133">
        <f>'Final list of total hauls pros'!C131</f>
        <v>25</v>
      </c>
      <c r="E133">
        <f>'Final list of total hauls pros'!D131</f>
        <v>56</v>
      </c>
      <c r="F133">
        <f>'Final list of total hauls pros'!E131</f>
        <v>6.22</v>
      </c>
      <c r="G133">
        <f>'Final list of total hauls pros'!F131</f>
        <v>17</v>
      </c>
      <c r="H133">
        <f>'Final list of total hauls pros'!G131</f>
        <v>50.51</v>
      </c>
      <c r="I133">
        <f>'Final list of total hauls pros'!H131</f>
        <v>4</v>
      </c>
      <c r="J133" t="str">
        <f>'Final list of total hauls pros'!I131</f>
        <v>SWE</v>
      </c>
      <c r="K133" s="13">
        <f>'Final list of total hauls pros'!J131</f>
        <v>56.103666666666697</v>
      </c>
      <c r="L133" s="13">
        <f>'Final list of total hauls pros'!K131</f>
        <v>17.841833333333302</v>
      </c>
      <c r="M133" t="str">
        <f>'Final list of total hauls pros'!L131</f>
        <v>25-32</v>
      </c>
      <c r="N133" t="str">
        <f>Processing!I134</f>
        <v>SWE (SD 25-32)</v>
      </c>
    </row>
    <row r="134" spans="2:14" x14ac:dyDescent="0.25">
      <c r="B134">
        <f>Processing!D135</f>
        <v>25315</v>
      </c>
      <c r="C134" t="str">
        <f>Processing!F135</f>
        <v>41G6</v>
      </c>
      <c r="D134">
        <f>'Final list of total hauls pros'!C132</f>
        <v>25</v>
      </c>
      <c r="E134">
        <f>'Final list of total hauls pros'!D132</f>
        <v>56</v>
      </c>
      <c r="F134">
        <f>'Final list of total hauls pros'!E132</f>
        <v>26.8</v>
      </c>
      <c r="G134">
        <f>'Final list of total hauls pros'!F132</f>
        <v>16</v>
      </c>
      <c r="H134">
        <f>'Final list of total hauls pros'!G132</f>
        <v>58.5</v>
      </c>
      <c r="I134">
        <f>'Final list of total hauls pros'!H132</f>
        <v>4</v>
      </c>
      <c r="J134" t="str">
        <f>'Final list of total hauls pros'!I132</f>
        <v>SWE</v>
      </c>
      <c r="K134" s="13">
        <f>'Final list of total hauls pros'!J132</f>
        <v>56.446666666666701</v>
      </c>
      <c r="L134" s="13">
        <f>'Final list of total hauls pros'!K132</f>
        <v>16.975000000000001</v>
      </c>
      <c r="M134" t="str">
        <f>'Final list of total hauls pros'!L132</f>
        <v>25-32</v>
      </c>
      <c r="N134" t="str">
        <f>Processing!I135</f>
        <v>SWE (SD 25-32)</v>
      </c>
    </row>
    <row r="135" spans="2:14" x14ac:dyDescent="0.25">
      <c r="B135">
        <f>Processing!D136</f>
        <v>25322</v>
      </c>
      <c r="C135" t="str">
        <f>Processing!F136</f>
        <v>39G5</v>
      </c>
      <c r="D135">
        <f>'Final list of total hauls pros'!C133</f>
        <v>25</v>
      </c>
      <c r="E135">
        <f>'Final list of total hauls pros'!D133</f>
        <v>55</v>
      </c>
      <c r="F135">
        <f>'Final list of total hauls pros'!E133</f>
        <v>3.1</v>
      </c>
      <c r="G135">
        <f>'Final list of total hauls pros'!F133</f>
        <v>15</v>
      </c>
      <c r="H135">
        <f>'Final list of total hauls pros'!G133</f>
        <v>42.6</v>
      </c>
      <c r="I135">
        <f>'Final list of total hauls pros'!H133</f>
        <v>5</v>
      </c>
      <c r="J135" t="str">
        <f>'Final list of total hauls pros'!I133</f>
        <v>DEN</v>
      </c>
      <c r="K135" s="13">
        <f>'Final list of total hauls pros'!J133</f>
        <v>55.051666666666698</v>
      </c>
      <c r="L135" s="13">
        <f>'Final list of total hauls pros'!K133</f>
        <v>15.71</v>
      </c>
      <c r="M135" t="str">
        <f>'Final list of total hauls pros'!L133</f>
        <v>25-32</v>
      </c>
      <c r="N135" t="str">
        <f>Processing!I136</f>
        <v>DEN (SD 25-32)</v>
      </c>
    </row>
    <row r="136" spans="2:14" x14ac:dyDescent="0.25">
      <c r="B136">
        <f>Processing!D137</f>
        <v>25326</v>
      </c>
      <c r="C136" t="str">
        <f>Processing!F137</f>
        <v>39G6</v>
      </c>
      <c r="D136">
        <f>'Final list of total hauls pros'!C134</f>
        <v>25</v>
      </c>
      <c r="E136">
        <f>'Final list of total hauls pros'!D134</f>
        <v>55</v>
      </c>
      <c r="F136">
        <f>'Final list of total hauls pros'!E134</f>
        <v>8.1</v>
      </c>
      <c r="G136">
        <f>'Final list of total hauls pros'!F134</f>
        <v>16</v>
      </c>
      <c r="H136">
        <f>'Final list of total hauls pros'!G134</f>
        <v>3.6</v>
      </c>
      <c r="I136">
        <f>'Final list of total hauls pros'!H134</f>
        <v>5</v>
      </c>
      <c r="J136" t="str">
        <f>'Final list of total hauls pros'!I134</f>
        <v>POL</v>
      </c>
      <c r="K136" s="13">
        <f>'Final list of total hauls pros'!J134</f>
        <v>55.134999999999998</v>
      </c>
      <c r="L136" s="13">
        <f>'Final list of total hauls pros'!K134</f>
        <v>16.059999999999999</v>
      </c>
      <c r="M136" t="str">
        <f>'Final list of total hauls pros'!L134</f>
        <v>25-32</v>
      </c>
      <c r="N136" t="str">
        <f>Processing!I137</f>
        <v>DEN (SD 25-32)</v>
      </c>
    </row>
    <row r="137" spans="2:14" x14ac:dyDescent="0.25">
      <c r="B137">
        <f>Processing!D138</f>
        <v>25330</v>
      </c>
      <c r="C137" t="str">
        <f>Processing!F138</f>
        <v>39G5</v>
      </c>
      <c r="D137">
        <f>'Final list of total hauls pros'!C135</f>
        <v>25</v>
      </c>
      <c r="E137">
        <f>'Final list of total hauls pros'!D135</f>
        <v>55</v>
      </c>
      <c r="F137">
        <f>'Final list of total hauls pros'!E135</f>
        <v>15.7</v>
      </c>
      <c r="G137">
        <f>'Final list of total hauls pros'!F135</f>
        <v>15</v>
      </c>
      <c r="H137">
        <f>'Final list of total hauls pros'!G135</f>
        <v>58.7</v>
      </c>
      <c r="I137">
        <f>'Final list of total hauls pros'!H135</f>
        <v>5</v>
      </c>
      <c r="J137" t="str">
        <f>'Final list of total hauls pros'!I135</f>
        <v>DEN</v>
      </c>
      <c r="K137" s="13">
        <f>'Final list of total hauls pros'!J135</f>
        <v>55.261666666666699</v>
      </c>
      <c r="L137" s="13">
        <f>'Final list of total hauls pros'!K135</f>
        <v>15.9783333333333</v>
      </c>
      <c r="M137" t="str">
        <f>'Final list of total hauls pros'!L135</f>
        <v>25-32</v>
      </c>
      <c r="N137" t="str">
        <f>Processing!I138</f>
        <v>DEN (SD 25-32)</v>
      </c>
    </row>
    <row r="138" spans="2:14" x14ac:dyDescent="0.25">
      <c r="B138">
        <f>Processing!D139</f>
        <v>25331</v>
      </c>
      <c r="C138" t="str">
        <f>Processing!F139</f>
        <v>39G6</v>
      </c>
      <c r="D138">
        <f>'Final list of total hauls pros'!C136</f>
        <v>25</v>
      </c>
      <c r="E138">
        <f>'Final list of total hauls pros'!D136</f>
        <v>55</v>
      </c>
      <c r="F138">
        <f>'Final list of total hauls pros'!E136</f>
        <v>16.100000000000001</v>
      </c>
      <c r="G138">
        <f>'Final list of total hauls pros'!F136</f>
        <v>16</v>
      </c>
      <c r="H138">
        <f>'Final list of total hauls pros'!G136</f>
        <v>3.9</v>
      </c>
      <c r="I138">
        <f>'Final list of total hauls pros'!H136</f>
        <v>5</v>
      </c>
      <c r="J138" t="str">
        <f>'Final list of total hauls pros'!I136</f>
        <v>DEN</v>
      </c>
      <c r="K138" s="13">
        <f>'Final list of total hauls pros'!J136</f>
        <v>55.268333333333302</v>
      </c>
      <c r="L138" s="13">
        <f>'Final list of total hauls pros'!K136</f>
        <v>16.065000000000001</v>
      </c>
      <c r="M138" t="str">
        <f>'Final list of total hauls pros'!L136</f>
        <v>25-32</v>
      </c>
      <c r="N138" t="str">
        <f>Processing!I139</f>
        <v>DEN (SD 25-32)</v>
      </c>
    </row>
    <row r="139" spans="2:14" x14ac:dyDescent="0.25">
      <c r="B139">
        <f>Processing!D140</f>
        <v>25339</v>
      </c>
      <c r="C139" t="str">
        <f>Processing!F140</f>
        <v>39G7</v>
      </c>
      <c r="D139">
        <f>'Final list of total hauls pros'!C137</f>
        <v>25</v>
      </c>
      <c r="E139">
        <f>'Final list of total hauls pros'!D137</f>
        <v>55</v>
      </c>
      <c r="F139">
        <f>'Final list of total hauls pros'!E137</f>
        <v>15.5</v>
      </c>
      <c r="G139">
        <f>'Final list of total hauls pros'!F137</f>
        <v>17</v>
      </c>
      <c r="H139">
        <f>'Final list of total hauls pros'!G137</f>
        <v>25.5</v>
      </c>
      <c r="I139">
        <f>'Final list of total hauls pros'!H137</f>
        <v>5</v>
      </c>
      <c r="J139" t="str">
        <f>'Final list of total hauls pros'!I137</f>
        <v>POL</v>
      </c>
      <c r="K139" s="13">
        <f>'Final list of total hauls pros'!J137</f>
        <v>55.258333333333297</v>
      </c>
      <c r="L139" s="13">
        <f>'Final list of total hauls pros'!K137</f>
        <v>17.425000000000001</v>
      </c>
      <c r="M139" t="str">
        <f>'Final list of total hauls pros'!L137</f>
        <v>25-32</v>
      </c>
      <c r="N139" t="str">
        <f>Processing!I140</f>
        <v>DEN (SD 25-32)</v>
      </c>
    </row>
    <row r="140" spans="2:14" x14ac:dyDescent="0.25">
      <c r="B140">
        <f>Processing!D141</f>
        <v>25342</v>
      </c>
      <c r="C140" t="str">
        <f>Processing!F141</f>
        <v>39G5</v>
      </c>
      <c r="D140">
        <f>'Final list of total hauls pros'!C138</f>
        <v>25</v>
      </c>
      <c r="E140">
        <f>'Final list of total hauls pros'!D138</f>
        <v>55</v>
      </c>
      <c r="F140">
        <f>'Final list of total hauls pros'!E138</f>
        <v>26.7</v>
      </c>
      <c r="G140">
        <f>'Final list of total hauls pros'!F138</f>
        <v>15</v>
      </c>
      <c r="H140">
        <f>'Final list of total hauls pros'!G138</f>
        <v>32.5</v>
      </c>
      <c r="I140">
        <f>'Final list of total hauls pros'!H138</f>
        <v>5</v>
      </c>
      <c r="J140" t="str">
        <f>'Final list of total hauls pros'!I138</f>
        <v>DEN</v>
      </c>
      <c r="K140" s="13">
        <f>'Final list of total hauls pros'!J138</f>
        <v>55.445</v>
      </c>
      <c r="L140" s="13">
        <f>'Final list of total hauls pros'!K138</f>
        <v>15.5416666666667</v>
      </c>
      <c r="M140" t="str">
        <f>'Final list of total hauls pros'!L138</f>
        <v>25-32</v>
      </c>
      <c r="N140" t="str">
        <f>Processing!I141</f>
        <v>DEN (SD 25-32)</v>
      </c>
    </row>
    <row r="141" spans="2:14" x14ac:dyDescent="0.25">
      <c r="B141">
        <f>Processing!D142</f>
        <v>25344</v>
      </c>
      <c r="C141" t="str">
        <f>Processing!F142</f>
        <v>39G5</v>
      </c>
      <c r="D141">
        <f>'Final list of total hauls pros'!C139</f>
        <v>25</v>
      </c>
      <c r="E141">
        <f>'Final list of total hauls pros'!D139</f>
        <v>55</v>
      </c>
      <c r="F141">
        <f>'Final list of total hauls pros'!E139</f>
        <v>27.4</v>
      </c>
      <c r="G141">
        <f>'Final list of total hauls pros'!F139</f>
        <v>15</v>
      </c>
      <c r="H141">
        <f>'Final list of total hauls pros'!G139</f>
        <v>56.2</v>
      </c>
      <c r="I141">
        <f>'Final list of total hauls pros'!H139</f>
        <v>5</v>
      </c>
      <c r="J141" t="str">
        <f>'Final list of total hauls pros'!I139</f>
        <v>DEN</v>
      </c>
      <c r="K141" s="13">
        <f>'Final list of total hauls pros'!J139</f>
        <v>55.456666666666699</v>
      </c>
      <c r="L141" s="13">
        <f>'Final list of total hauls pros'!K139</f>
        <v>15.936666666666699</v>
      </c>
      <c r="M141" t="str">
        <f>'Final list of total hauls pros'!L139</f>
        <v>25-32</v>
      </c>
      <c r="N141" t="str">
        <f>Processing!I142</f>
        <v>DEN (SD 25-32)</v>
      </c>
    </row>
    <row r="142" spans="2:14" x14ac:dyDescent="0.25">
      <c r="B142">
        <f>Processing!D143</f>
        <v>25359</v>
      </c>
      <c r="C142" t="str">
        <f>Processing!F143</f>
        <v>40G6</v>
      </c>
      <c r="D142">
        <f>'Final list of total hauls pros'!C140</f>
        <v>25</v>
      </c>
      <c r="E142">
        <f>'Final list of total hauls pros'!D140</f>
        <v>55</v>
      </c>
      <c r="F142">
        <f>'Final list of total hauls pros'!E140</f>
        <v>48.5</v>
      </c>
      <c r="G142">
        <f>'Final list of total hauls pros'!F140</f>
        <v>16</v>
      </c>
      <c r="H142">
        <f>'Final list of total hauls pros'!G140</f>
        <v>31.9</v>
      </c>
      <c r="I142">
        <f>'Final list of total hauls pros'!H140</f>
        <v>3</v>
      </c>
      <c r="J142" t="str">
        <f>'Final list of total hauls pros'!I140</f>
        <v>SWE</v>
      </c>
      <c r="K142" s="13">
        <f>'Final list of total hauls pros'!J140</f>
        <v>55.808333333333302</v>
      </c>
      <c r="L142" s="13">
        <f>'Final list of total hauls pros'!K140</f>
        <v>16.531666666666698</v>
      </c>
      <c r="M142" t="str">
        <f>'Final list of total hauls pros'!L140</f>
        <v>25-32</v>
      </c>
      <c r="N142" t="str">
        <f>Processing!I143</f>
        <v>SWE (SD 25-32)</v>
      </c>
    </row>
    <row r="143" spans="2:14" x14ac:dyDescent="0.25">
      <c r="B143">
        <f>Processing!D144</f>
        <v>25364</v>
      </c>
      <c r="C143" t="str">
        <f>Processing!F144</f>
        <v>38G7</v>
      </c>
      <c r="D143">
        <f>'Final list of total hauls pros'!C141</f>
        <v>25</v>
      </c>
      <c r="E143">
        <f>'Final list of total hauls pros'!D141</f>
        <v>54</v>
      </c>
      <c r="F143">
        <f>'Final list of total hauls pros'!E141</f>
        <v>59.8</v>
      </c>
      <c r="G143">
        <f>'Final list of total hauls pros'!F141</f>
        <v>17</v>
      </c>
      <c r="H143">
        <f>'Final list of total hauls pros'!G141</f>
        <v>28</v>
      </c>
      <c r="I143">
        <f>'Final list of total hauls pros'!H141</f>
        <v>2</v>
      </c>
      <c r="J143" t="str">
        <f>'Final list of total hauls pros'!I141</f>
        <v>POL</v>
      </c>
      <c r="K143" s="13">
        <f>'Final list of total hauls pros'!J141</f>
        <v>54.996666666666698</v>
      </c>
      <c r="L143" s="13">
        <f>'Final list of total hauls pros'!K141</f>
        <v>17.466666666666701</v>
      </c>
      <c r="M143" t="str">
        <f>'Final list of total hauls pros'!L141</f>
        <v>25-32</v>
      </c>
      <c r="N143" t="str">
        <f>Processing!I144</f>
        <v>DEN (SD 25-32)</v>
      </c>
    </row>
    <row r="144" spans="2:14" x14ac:dyDescent="0.25">
      <c r="B144">
        <f>Processing!D145</f>
        <v>25389</v>
      </c>
      <c r="C144" t="str">
        <f>Processing!F145</f>
        <v>40G6</v>
      </c>
      <c r="D144">
        <f>'Final list of total hauls pros'!C142</f>
        <v>25</v>
      </c>
      <c r="E144">
        <f>'Final list of total hauls pros'!D142</f>
        <v>55</v>
      </c>
      <c r="F144">
        <f>'Final list of total hauls pros'!E142</f>
        <v>35.409999999999997</v>
      </c>
      <c r="G144">
        <f>'Final list of total hauls pros'!F142</f>
        <v>16</v>
      </c>
      <c r="H144">
        <f>'Final list of total hauls pros'!G142</f>
        <v>39.65</v>
      </c>
      <c r="I144">
        <f>'Final list of total hauls pros'!H142</f>
        <v>3</v>
      </c>
      <c r="J144" t="str">
        <f>'Final list of total hauls pros'!I142</f>
        <v>SWE</v>
      </c>
      <c r="K144" s="13">
        <f>'Final list of total hauls pros'!J142</f>
        <v>55.590166666666697</v>
      </c>
      <c r="L144" s="13">
        <f>'Final list of total hauls pros'!K142</f>
        <v>16.660833333333301</v>
      </c>
      <c r="M144" t="str">
        <f>'Final list of total hauls pros'!L142</f>
        <v>25-32</v>
      </c>
      <c r="N144" t="str">
        <f>Processing!I145</f>
        <v>SWE (SD 25-32)</v>
      </c>
    </row>
    <row r="145" spans="2:14" x14ac:dyDescent="0.25">
      <c r="B145">
        <f>Processing!D146</f>
        <v>25391</v>
      </c>
      <c r="C145" t="str">
        <f>Processing!F146</f>
        <v>40G4</v>
      </c>
      <c r="D145">
        <f>'Final list of total hauls pros'!C143</f>
        <v>25</v>
      </c>
      <c r="E145">
        <f>'Final list of total hauls pros'!D143</f>
        <v>55</v>
      </c>
      <c r="F145">
        <f>'Final list of total hauls pros'!E143</f>
        <v>40.1</v>
      </c>
      <c r="G145">
        <f>'Final list of total hauls pros'!F143</f>
        <v>14</v>
      </c>
      <c r="H145">
        <f>'Final list of total hauls pros'!G143</f>
        <v>43.46</v>
      </c>
      <c r="I145">
        <f>'Final list of total hauls pros'!H143</f>
        <v>3</v>
      </c>
      <c r="J145" t="str">
        <f>'Final list of total hauls pros'!I143</f>
        <v>SWE</v>
      </c>
      <c r="K145" s="13">
        <f>'Final list of total hauls pros'!J143</f>
        <v>55.668333333333301</v>
      </c>
      <c r="L145" s="13">
        <f>'Final list of total hauls pros'!K143</f>
        <v>14.7243333333333</v>
      </c>
      <c r="M145" t="str">
        <f>'Final list of total hauls pros'!L143</f>
        <v>25-32</v>
      </c>
      <c r="N145" t="str">
        <f>Processing!I146</f>
        <v>SWE (SD 25-32)</v>
      </c>
    </row>
    <row r="146" spans="2:14" x14ac:dyDescent="0.25">
      <c r="B146">
        <f>Processing!D147</f>
        <v>25401</v>
      </c>
      <c r="C146" t="str">
        <f>Processing!F147</f>
        <v>40G4</v>
      </c>
      <c r="D146">
        <f>'Final list of total hauls pros'!C144</f>
        <v>25</v>
      </c>
      <c r="E146">
        <f>'Final list of total hauls pros'!D144</f>
        <v>55</v>
      </c>
      <c r="F146">
        <f>'Final list of total hauls pros'!E144</f>
        <v>42.15</v>
      </c>
      <c r="G146">
        <f>'Final list of total hauls pros'!F144</f>
        <v>14</v>
      </c>
      <c r="H146">
        <f>'Final list of total hauls pros'!G144</f>
        <v>22.21</v>
      </c>
      <c r="I146">
        <f>'Final list of total hauls pros'!H144</f>
        <v>2</v>
      </c>
      <c r="J146" t="str">
        <f>'Final list of total hauls pros'!I144</f>
        <v>SWE</v>
      </c>
      <c r="K146" s="13">
        <f>'Final list of total hauls pros'!J144</f>
        <v>55.702500000000001</v>
      </c>
      <c r="L146" s="13">
        <f>'Final list of total hauls pros'!K144</f>
        <v>14.3701666666667</v>
      </c>
      <c r="M146" t="str">
        <f>'Final list of total hauls pros'!L144</f>
        <v>25-32</v>
      </c>
      <c r="N146" t="str">
        <f>Processing!I147</f>
        <v>SWE (SD 25-32)</v>
      </c>
    </row>
    <row r="147" spans="2:14" x14ac:dyDescent="0.25">
      <c r="B147">
        <f>Processing!D148</f>
        <v>25404</v>
      </c>
      <c r="C147" t="str">
        <f>Processing!F148</f>
        <v>40G5</v>
      </c>
      <c r="D147">
        <f>'Final list of total hauls pros'!C145</f>
        <v>25</v>
      </c>
      <c r="E147">
        <f>'Final list of total hauls pros'!D145</f>
        <v>55</v>
      </c>
      <c r="F147">
        <f>'Final list of total hauls pros'!E145</f>
        <v>49.6</v>
      </c>
      <c r="G147">
        <f>'Final list of total hauls pros'!F145</f>
        <v>15</v>
      </c>
      <c r="H147">
        <f>'Final list of total hauls pros'!G145</f>
        <v>26.4</v>
      </c>
      <c r="I147">
        <f>'Final list of total hauls pros'!H145</f>
        <v>3</v>
      </c>
      <c r="J147" t="str">
        <f>'Final list of total hauls pros'!I145</f>
        <v>SWE</v>
      </c>
      <c r="K147" s="13">
        <f>'Final list of total hauls pros'!J145</f>
        <v>55.826666666666704</v>
      </c>
      <c r="L147" s="13">
        <f>'Final list of total hauls pros'!K145</f>
        <v>15.44</v>
      </c>
      <c r="M147" t="str">
        <f>'Final list of total hauls pros'!L145</f>
        <v>25-32</v>
      </c>
      <c r="N147" t="str">
        <f>Processing!I148</f>
        <v>SWE (SD 25-32)</v>
      </c>
    </row>
    <row r="148" spans="2:14" x14ac:dyDescent="0.25">
      <c r="B148">
        <f>Processing!D149</f>
        <v>25409</v>
      </c>
      <c r="C148" t="str">
        <f>Processing!F149</f>
        <v>40G5</v>
      </c>
      <c r="D148">
        <f>'Final list of total hauls pros'!C146</f>
        <v>25</v>
      </c>
      <c r="E148">
        <f>'Final list of total hauls pros'!D146</f>
        <v>55</v>
      </c>
      <c r="F148">
        <f>'Final list of total hauls pros'!E146</f>
        <v>47.9</v>
      </c>
      <c r="G148">
        <f>'Final list of total hauls pros'!F146</f>
        <v>15</v>
      </c>
      <c r="H148">
        <f>'Final list of total hauls pros'!G146</f>
        <v>57.8</v>
      </c>
      <c r="I148">
        <f>'Final list of total hauls pros'!H146</f>
        <v>3</v>
      </c>
      <c r="J148" t="str">
        <f>'Final list of total hauls pros'!I146</f>
        <v>SWE</v>
      </c>
      <c r="K148" s="13">
        <f>'Final list of total hauls pros'!J146</f>
        <v>55.798333333333296</v>
      </c>
      <c r="L148" s="13">
        <f>'Final list of total hauls pros'!K146</f>
        <v>15.963333333333299</v>
      </c>
      <c r="M148" t="str">
        <f>'Final list of total hauls pros'!L146</f>
        <v>25-32</v>
      </c>
      <c r="N148" t="str">
        <f>Processing!I149</f>
        <v>SWE (SD 25-32)</v>
      </c>
    </row>
    <row r="149" spans="2:14" x14ac:dyDescent="0.25">
      <c r="B149">
        <f>Processing!D150</f>
        <v>25418</v>
      </c>
      <c r="C149" t="str">
        <f>Processing!F150</f>
        <v>40G4</v>
      </c>
      <c r="D149">
        <f>'Final list of total hauls pros'!C147</f>
        <v>25</v>
      </c>
      <c r="E149">
        <f>'Final list of total hauls pros'!D147</f>
        <v>55</v>
      </c>
      <c r="F149">
        <f>'Final list of total hauls pros'!E147</f>
        <v>42.4</v>
      </c>
      <c r="G149">
        <f>'Final list of total hauls pros'!F147</f>
        <v>14</v>
      </c>
      <c r="H149">
        <f>'Final list of total hauls pros'!G147</f>
        <v>22.5</v>
      </c>
      <c r="I149">
        <f>'Final list of total hauls pros'!H147</f>
        <v>2</v>
      </c>
      <c r="J149" t="str">
        <f>'Final list of total hauls pros'!I147</f>
        <v>SWE</v>
      </c>
      <c r="K149" s="13">
        <f>'Final list of total hauls pros'!J147</f>
        <v>55.706666666666699</v>
      </c>
      <c r="L149" s="13">
        <f>'Final list of total hauls pros'!K147</f>
        <v>14.375</v>
      </c>
      <c r="M149" t="str">
        <f>'Final list of total hauls pros'!L147</f>
        <v>25-32</v>
      </c>
      <c r="N149" t="str">
        <f>Processing!I150</f>
        <v>SWE (SD 25-32)</v>
      </c>
    </row>
    <row r="150" spans="2:14" x14ac:dyDescent="0.25">
      <c r="B150">
        <f>Processing!D151</f>
        <v>25419</v>
      </c>
      <c r="C150" t="str">
        <f>Processing!F151</f>
        <v>40G4</v>
      </c>
      <c r="D150">
        <f>'Final list of total hauls pros'!C148</f>
        <v>25</v>
      </c>
      <c r="E150">
        <f>'Final list of total hauls pros'!D148</f>
        <v>55</v>
      </c>
      <c r="F150">
        <f>'Final list of total hauls pros'!E148</f>
        <v>41.5</v>
      </c>
      <c r="G150">
        <f>'Final list of total hauls pros'!F148</f>
        <v>14</v>
      </c>
      <c r="H150">
        <f>'Final list of total hauls pros'!G148</f>
        <v>22.35</v>
      </c>
      <c r="I150">
        <f>'Final list of total hauls pros'!H148</f>
        <v>2</v>
      </c>
      <c r="J150" t="str">
        <f>'Final list of total hauls pros'!I148</f>
        <v>SWE</v>
      </c>
      <c r="K150" s="13">
        <f>'Final list of total hauls pros'!J148</f>
        <v>55.691666666666698</v>
      </c>
      <c r="L150" s="13">
        <f>'Final list of total hauls pros'!K148</f>
        <v>14.3725</v>
      </c>
      <c r="M150" t="str">
        <f>'Final list of total hauls pros'!L148</f>
        <v>25-32</v>
      </c>
      <c r="N150" t="str">
        <f>Processing!I151</f>
        <v>SWE (SD 25-32)</v>
      </c>
    </row>
    <row r="151" spans="2:14" x14ac:dyDescent="0.25">
      <c r="B151">
        <f>Processing!D152</f>
        <v>25426</v>
      </c>
      <c r="C151" t="str">
        <f>Processing!F152</f>
        <v>40G5</v>
      </c>
      <c r="D151">
        <f>'Final list of total hauls pros'!C149</f>
        <v>25</v>
      </c>
      <c r="E151">
        <f>'Final list of total hauls pros'!D149</f>
        <v>55</v>
      </c>
      <c r="F151">
        <f>'Final list of total hauls pros'!E149</f>
        <v>49.1</v>
      </c>
      <c r="G151">
        <f>'Final list of total hauls pros'!F149</f>
        <v>15</v>
      </c>
      <c r="H151">
        <f>'Final list of total hauls pros'!G149</f>
        <v>15.6</v>
      </c>
      <c r="I151">
        <f>'Final list of total hauls pros'!H149</f>
        <v>3</v>
      </c>
      <c r="J151" t="str">
        <f>'Final list of total hauls pros'!I149</f>
        <v>SWE</v>
      </c>
      <c r="K151" s="13">
        <f>'Final list of total hauls pros'!J149</f>
        <v>55.8183333333333</v>
      </c>
      <c r="L151" s="13">
        <f>'Final list of total hauls pros'!K149</f>
        <v>15.26</v>
      </c>
      <c r="M151" t="str">
        <f>'Final list of total hauls pros'!L149</f>
        <v>25-32</v>
      </c>
      <c r="N151" t="str">
        <f>Processing!I152</f>
        <v>SWE (SD 25-32)</v>
      </c>
    </row>
    <row r="152" spans="2:14" x14ac:dyDescent="0.25">
      <c r="B152">
        <f>Processing!D153</f>
        <v>25431</v>
      </c>
      <c r="C152" t="str">
        <f>Processing!F153</f>
        <v>40G6</v>
      </c>
      <c r="D152">
        <f>'Final list of total hauls pros'!C150</f>
        <v>25</v>
      </c>
      <c r="E152">
        <f>'Final list of total hauls pros'!D150</f>
        <v>55</v>
      </c>
      <c r="F152">
        <f>'Final list of total hauls pros'!E150</f>
        <v>52.2</v>
      </c>
      <c r="G152">
        <f>'Final list of total hauls pros'!F150</f>
        <v>16</v>
      </c>
      <c r="H152">
        <f>'Final list of total hauls pros'!G150</f>
        <v>1.1000000000000001</v>
      </c>
      <c r="I152">
        <f>'Final list of total hauls pros'!H150</f>
        <v>3</v>
      </c>
      <c r="J152" t="str">
        <f>'Final list of total hauls pros'!I150</f>
        <v>SWE</v>
      </c>
      <c r="K152" s="13">
        <f>'Final list of total hauls pros'!J150</f>
        <v>55.87</v>
      </c>
      <c r="L152" s="13">
        <f>'Final list of total hauls pros'!K150</f>
        <v>16.018333333333299</v>
      </c>
      <c r="M152" t="str">
        <f>'Final list of total hauls pros'!L150</f>
        <v>25-32</v>
      </c>
      <c r="N152" t="str">
        <f>Processing!I153</f>
        <v>SWE (SD 25-32)</v>
      </c>
    </row>
    <row r="153" spans="2:14" x14ac:dyDescent="0.25">
      <c r="B153">
        <f>Processing!D154</f>
        <v>25438</v>
      </c>
      <c r="C153" t="str">
        <f>Processing!F154</f>
        <v>40G4</v>
      </c>
      <c r="D153">
        <f>'Final list of total hauls pros'!C151</f>
        <v>25</v>
      </c>
      <c r="E153">
        <f>'Final list of total hauls pros'!D151</f>
        <v>55</v>
      </c>
      <c r="F153">
        <f>'Final list of total hauls pros'!E151</f>
        <v>37.799999999999997</v>
      </c>
      <c r="G153">
        <f>'Final list of total hauls pros'!F151</f>
        <v>14</v>
      </c>
      <c r="H153">
        <f>'Final list of total hauls pros'!G151</f>
        <v>39.6</v>
      </c>
      <c r="I153">
        <f>'Final list of total hauls pros'!H151</f>
        <v>4</v>
      </c>
      <c r="J153" t="str">
        <f>'Final list of total hauls pros'!I151</f>
        <v>SWE</v>
      </c>
      <c r="K153" s="13">
        <f>'Final list of total hauls pros'!J151</f>
        <v>55.63</v>
      </c>
      <c r="L153" s="13">
        <f>'Final list of total hauls pros'!K151</f>
        <v>14.66</v>
      </c>
      <c r="M153" t="str">
        <f>'Final list of total hauls pros'!L151</f>
        <v>25-32</v>
      </c>
      <c r="N153" t="str">
        <f>Processing!I154</f>
        <v>SWE (SD 25-32)</v>
      </c>
    </row>
    <row r="154" spans="2:14" x14ac:dyDescent="0.25">
      <c r="B154">
        <f>Processing!D155</f>
        <v>25446</v>
      </c>
      <c r="C154" t="str">
        <f>Processing!F155</f>
        <v>40G5</v>
      </c>
      <c r="D154">
        <f>'Final list of total hauls pros'!C152</f>
        <v>25</v>
      </c>
      <c r="E154">
        <f>'Final list of total hauls pros'!D152</f>
        <v>55</v>
      </c>
      <c r="F154">
        <f>'Final list of total hauls pros'!E152</f>
        <v>32.68</v>
      </c>
      <c r="G154">
        <f>'Final list of total hauls pros'!F152</f>
        <v>15</v>
      </c>
      <c r="H154">
        <f>'Final list of total hauls pros'!G152</f>
        <v>15.36</v>
      </c>
      <c r="I154">
        <f>'Final list of total hauls pros'!H152</f>
        <v>4</v>
      </c>
      <c r="J154" t="str">
        <f>'Final list of total hauls pros'!I152</f>
        <v>DEN</v>
      </c>
      <c r="K154" s="13">
        <f>'Final list of total hauls pros'!J152</f>
        <v>55.5446666666667</v>
      </c>
      <c r="L154" s="13">
        <f>'Final list of total hauls pros'!K152</f>
        <v>15.256</v>
      </c>
      <c r="M154" t="str">
        <f>'Final list of total hauls pros'!L152</f>
        <v>25-32</v>
      </c>
      <c r="N154" t="str">
        <f>Processing!I155</f>
        <v>DEN (SD 25-32)</v>
      </c>
    </row>
    <row r="155" spans="2:14" x14ac:dyDescent="0.25">
      <c r="B155">
        <f>Processing!D156</f>
        <v>25447</v>
      </c>
      <c r="C155" t="str">
        <f>Processing!F156</f>
        <v>40G5</v>
      </c>
      <c r="D155">
        <f>'Final list of total hauls pros'!C153</f>
        <v>25</v>
      </c>
      <c r="E155">
        <f>'Final list of total hauls pros'!D153</f>
        <v>55</v>
      </c>
      <c r="F155">
        <f>'Final list of total hauls pros'!E153</f>
        <v>34.67</v>
      </c>
      <c r="G155">
        <f>'Final list of total hauls pros'!F153</f>
        <v>15</v>
      </c>
      <c r="H155">
        <f>'Final list of total hauls pros'!G153</f>
        <v>3.8</v>
      </c>
      <c r="I155">
        <f>'Final list of total hauls pros'!H153</f>
        <v>5</v>
      </c>
      <c r="J155" t="str">
        <f>'Final list of total hauls pros'!I153</f>
        <v>DEN</v>
      </c>
      <c r="K155" s="13">
        <f>'Final list of total hauls pros'!J153</f>
        <v>55.577833333333302</v>
      </c>
      <c r="L155" s="13">
        <f>'Final list of total hauls pros'!K153</f>
        <v>15.063333333333301</v>
      </c>
      <c r="M155" t="str">
        <f>'Final list of total hauls pros'!L153</f>
        <v>25-32</v>
      </c>
      <c r="N155" t="str">
        <f>Processing!I156</f>
        <v>DEN (SD 25-32)</v>
      </c>
    </row>
    <row r="156" spans="2:14" x14ac:dyDescent="0.25">
      <c r="B156">
        <f>Processing!D157</f>
        <v>25449</v>
      </c>
      <c r="C156" t="str">
        <f>Processing!F157</f>
        <v>40G4</v>
      </c>
      <c r="D156">
        <f>'Final list of total hauls pros'!C154</f>
        <v>25</v>
      </c>
      <c r="E156">
        <f>'Final list of total hauls pros'!D154</f>
        <v>55</v>
      </c>
      <c r="F156">
        <f>'Final list of total hauls pros'!E154</f>
        <v>27.6</v>
      </c>
      <c r="G156">
        <f>'Final list of total hauls pros'!F154</f>
        <v>14</v>
      </c>
      <c r="H156">
        <f>'Final list of total hauls pros'!G154</f>
        <v>43.8</v>
      </c>
      <c r="I156">
        <f>'Final list of total hauls pros'!H154</f>
        <v>4</v>
      </c>
      <c r="J156" t="str">
        <f>'Final list of total hauls pros'!I154</f>
        <v>DEN</v>
      </c>
      <c r="K156" s="13">
        <f>'Final list of total hauls pros'!J154</f>
        <v>55.46</v>
      </c>
      <c r="L156" s="13">
        <f>'Final list of total hauls pros'!K154</f>
        <v>14.73</v>
      </c>
      <c r="M156" t="str">
        <f>'Final list of total hauls pros'!L154</f>
        <v>25-32</v>
      </c>
      <c r="N156" t="str">
        <f>Processing!I157</f>
        <v>DEN (SD 25-32)</v>
      </c>
    </row>
    <row r="157" spans="2:14" x14ac:dyDescent="0.25">
      <c r="B157">
        <f>Processing!D158</f>
        <v>25452</v>
      </c>
      <c r="C157" t="str">
        <f>Processing!F158</f>
        <v>39G5</v>
      </c>
      <c r="D157">
        <f>'Final list of total hauls pros'!C155</f>
        <v>25</v>
      </c>
      <c r="E157">
        <f>'Final list of total hauls pros'!D155</f>
        <v>55</v>
      </c>
      <c r="F157">
        <f>'Final list of total hauls pros'!E155</f>
        <v>22.4</v>
      </c>
      <c r="G157">
        <f>'Final list of total hauls pros'!F155</f>
        <v>15</v>
      </c>
      <c r="H157">
        <f>'Final list of total hauls pros'!G155</f>
        <v>15.6</v>
      </c>
      <c r="I157">
        <f>'Final list of total hauls pros'!H155</f>
        <v>5</v>
      </c>
      <c r="J157" t="str">
        <f>'Final list of total hauls pros'!I155</f>
        <v>DEN</v>
      </c>
      <c r="K157" s="13">
        <f>'Final list of total hauls pros'!J155</f>
        <v>55.373333333333299</v>
      </c>
      <c r="L157" s="13">
        <f>'Final list of total hauls pros'!K155</f>
        <v>15.26</v>
      </c>
      <c r="M157" t="str">
        <f>'Final list of total hauls pros'!L155</f>
        <v>25-32</v>
      </c>
      <c r="N157" t="str">
        <f>Processing!I158</f>
        <v>DEN (SD 25-32)</v>
      </c>
    </row>
    <row r="158" spans="2:14" x14ac:dyDescent="0.25">
      <c r="B158">
        <f>Processing!D159</f>
        <v>25455</v>
      </c>
      <c r="C158" t="str">
        <f>Processing!F159</f>
        <v>39G7</v>
      </c>
      <c r="D158">
        <f>'Final list of total hauls pros'!C156</f>
        <v>25</v>
      </c>
      <c r="E158">
        <f>'Final list of total hauls pros'!D156</f>
        <v>55</v>
      </c>
      <c r="F158">
        <f>'Final list of total hauls pros'!E156</f>
        <v>27.4</v>
      </c>
      <c r="G158">
        <f>'Final list of total hauls pros'!F156</f>
        <v>17</v>
      </c>
      <c r="H158">
        <f>'Final list of total hauls pros'!G156</f>
        <v>17</v>
      </c>
      <c r="I158">
        <f>'Final list of total hauls pros'!H156</f>
        <v>2</v>
      </c>
      <c r="J158" t="str">
        <f>'Final list of total hauls pros'!I156</f>
        <v>POL</v>
      </c>
      <c r="K158" s="13">
        <f>'Final list of total hauls pros'!J156</f>
        <v>55.456666666666699</v>
      </c>
      <c r="L158" s="13">
        <f>'Final list of total hauls pros'!K156</f>
        <v>17.283333333333299</v>
      </c>
      <c r="M158" t="str">
        <f>'Final list of total hauls pros'!L156</f>
        <v>25-32</v>
      </c>
      <c r="N158" t="str">
        <f>Processing!I159</f>
        <v>DEN (SD 25-32)</v>
      </c>
    </row>
    <row r="159" spans="2:14" x14ac:dyDescent="0.25">
      <c r="B159">
        <f>Processing!D160</f>
        <v>25461</v>
      </c>
      <c r="C159" t="str">
        <f>Processing!F160</f>
        <v>41G7</v>
      </c>
      <c r="D159">
        <f>'Final list of total hauls pros'!C157</f>
        <v>25</v>
      </c>
      <c r="E159">
        <f>'Final list of total hauls pros'!D157</f>
        <v>56</v>
      </c>
      <c r="F159">
        <f>'Final list of total hauls pros'!E157</f>
        <v>4.05</v>
      </c>
      <c r="G159">
        <f>'Final list of total hauls pros'!F157</f>
        <v>17</v>
      </c>
      <c r="H159">
        <f>'Final list of total hauls pros'!G157</f>
        <v>21.87</v>
      </c>
      <c r="I159">
        <f>'Final list of total hauls pros'!H157</f>
        <v>3</v>
      </c>
      <c r="J159" t="str">
        <f>'Final list of total hauls pros'!I157</f>
        <v>SWE</v>
      </c>
      <c r="K159" s="13">
        <f>'Final list of total hauls pros'!J157</f>
        <v>56.067500000000003</v>
      </c>
      <c r="L159" s="13">
        <f>'Final list of total hauls pros'!K157</f>
        <v>17.3645</v>
      </c>
      <c r="M159" t="str">
        <f>'Final list of total hauls pros'!L157</f>
        <v>25-32</v>
      </c>
      <c r="N159" t="str">
        <f>Processing!I160</f>
        <v>SWE (SD 25-32)</v>
      </c>
    </row>
    <row r="160" spans="2:14" x14ac:dyDescent="0.25">
      <c r="B160">
        <f>Processing!D161</f>
        <v>25462</v>
      </c>
      <c r="C160" t="str">
        <f>Processing!F161</f>
        <v>39G8</v>
      </c>
      <c r="D160">
        <f>'Final list of total hauls pros'!C158</f>
        <v>25</v>
      </c>
      <c r="E160">
        <f>'Final list of total hauls pros'!D158</f>
        <v>55</v>
      </c>
      <c r="F160">
        <f>'Final list of total hauls pros'!E158</f>
        <v>45.978999999999999</v>
      </c>
      <c r="G160">
        <f>'Final list of total hauls pros'!F158</f>
        <v>16</v>
      </c>
      <c r="H160">
        <f>'Final list of total hauls pros'!G158</f>
        <v>41.02</v>
      </c>
      <c r="I160">
        <f>'Final list of total hauls pros'!H158</f>
        <v>3</v>
      </c>
      <c r="J160" t="str">
        <f>'Final list of total hauls pros'!I158</f>
        <v>SWE</v>
      </c>
      <c r="K160" s="13">
        <f>'Final list of total hauls pros'!J158</f>
        <v>55.766316666666697</v>
      </c>
      <c r="L160" s="13">
        <f>'Final list of total hauls pros'!K158</f>
        <v>16.683666666666699</v>
      </c>
      <c r="M160" t="str">
        <f>'Final list of total hauls pros'!L158</f>
        <v>25-32</v>
      </c>
      <c r="N160" t="str">
        <f>Processing!I161</f>
        <v>SWE (SD 25-32)</v>
      </c>
    </row>
    <row r="161" spans="2:14" x14ac:dyDescent="0.25">
      <c r="B161">
        <f>Processing!D162</f>
        <v>25463</v>
      </c>
      <c r="C161" t="str">
        <f>Processing!F162</f>
        <v>39G7</v>
      </c>
      <c r="D161">
        <f>'Final list of total hauls pros'!C159</f>
        <v>25</v>
      </c>
      <c r="E161">
        <f>'Final list of total hauls pros'!D159</f>
        <v>55</v>
      </c>
      <c r="F161">
        <f>'Final list of total hauls pros'!E159</f>
        <v>14.2</v>
      </c>
      <c r="G161">
        <f>'Final list of total hauls pros'!F159</f>
        <v>17</v>
      </c>
      <c r="H161">
        <f>'Final list of total hauls pros'!G159</f>
        <v>18.2</v>
      </c>
      <c r="I161">
        <f>'Final list of total hauls pros'!H159</f>
        <v>5</v>
      </c>
      <c r="J161" t="str">
        <f>'Final list of total hauls pros'!I159</f>
        <v>POL</v>
      </c>
      <c r="K161" s="13">
        <f>'Final list of total hauls pros'!J159</f>
        <v>55.2366666666667</v>
      </c>
      <c r="L161" s="13">
        <f>'Final list of total hauls pros'!K159</f>
        <v>17.303333333333299</v>
      </c>
      <c r="M161" t="str">
        <f>'Final list of total hauls pros'!L159</f>
        <v>25-32</v>
      </c>
      <c r="N161" t="str">
        <f>Processing!I162</f>
        <v>DEN (SD 25-32)</v>
      </c>
    </row>
    <row r="162" spans="2:14" x14ac:dyDescent="0.25">
      <c r="B162">
        <f>Processing!D163</f>
        <v>25503</v>
      </c>
      <c r="C162" t="str">
        <f>Processing!F163</f>
        <v>38G6</v>
      </c>
      <c r="D162">
        <f>'Final list of total hauls pros'!C160</f>
        <v>25</v>
      </c>
      <c r="E162">
        <f>'Final list of total hauls pros'!D160</f>
        <v>55</v>
      </c>
      <c r="F162">
        <f>'Final list of total hauls pros'!E160</f>
        <v>9.3580000000000005</v>
      </c>
      <c r="G162">
        <f>'Final list of total hauls pros'!F160</f>
        <v>16</v>
      </c>
      <c r="H162">
        <f>'Final list of total hauls pros'!G160</f>
        <v>3.988</v>
      </c>
      <c r="I162">
        <f>'Final list of total hauls pros'!H160</f>
        <v>5</v>
      </c>
      <c r="J162" t="str">
        <f>'Final list of total hauls pros'!I160</f>
        <v>POL</v>
      </c>
      <c r="K162" s="13">
        <f>'Final list of total hauls pros'!J160</f>
        <v>55.1559666666667</v>
      </c>
      <c r="L162" s="13">
        <f>'Final list of total hauls pros'!K160</f>
        <v>16.066466666666699</v>
      </c>
      <c r="M162" t="str">
        <f>'Final list of total hauls pros'!L160</f>
        <v>25-32</v>
      </c>
      <c r="N162" t="str">
        <f>Processing!I163</f>
        <v>DEN (SD 25-32)</v>
      </c>
    </row>
    <row r="163" spans="2:14" x14ac:dyDescent="0.25">
      <c r="B163">
        <f>Processing!D164</f>
        <v>25505</v>
      </c>
      <c r="C163" t="str">
        <f>Processing!F164</f>
        <v>40G6</v>
      </c>
      <c r="D163">
        <f>'Final list of total hauls pros'!C161</f>
        <v>25</v>
      </c>
      <c r="E163">
        <f>'Final list of total hauls pros'!D161</f>
        <v>55</v>
      </c>
      <c r="F163">
        <f>'Final list of total hauls pros'!E161</f>
        <v>43.552</v>
      </c>
      <c r="G163">
        <f>'Final list of total hauls pros'!F161</f>
        <v>16</v>
      </c>
      <c r="H163">
        <f>'Final list of total hauls pros'!G161</f>
        <v>40.631999999999998</v>
      </c>
      <c r="I163">
        <f>'Final list of total hauls pros'!H161</f>
        <v>3</v>
      </c>
      <c r="J163" t="str">
        <f>'Final list of total hauls pros'!I161</f>
        <v>SWE</v>
      </c>
      <c r="K163" s="13">
        <f>'Final list of total hauls pros'!J161</f>
        <v>55.725866666666697</v>
      </c>
      <c r="L163" s="13">
        <f>'Final list of total hauls pros'!K161</f>
        <v>16.677199999999999</v>
      </c>
      <c r="M163" t="str">
        <f>'Final list of total hauls pros'!L161</f>
        <v>25-32</v>
      </c>
      <c r="N163" t="str">
        <f>Processing!I164</f>
        <v>SWE (SD 25-32)</v>
      </c>
    </row>
    <row r="164" spans="2:14" x14ac:dyDescent="0.25">
      <c r="B164">
        <f>Processing!D165</f>
        <v>25506</v>
      </c>
      <c r="C164" t="str">
        <f>Processing!F165</f>
        <v>39G5</v>
      </c>
      <c r="D164">
        <f>'Final list of total hauls pros'!C162</f>
        <v>25</v>
      </c>
      <c r="E164">
        <f>'Final list of total hauls pros'!D162</f>
        <v>55</v>
      </c>
      <c r="F164">
        <f>'Final list of total hauls pros'!E162</f>
        <v>28.074000000000002</v>
      </c>
      <c r="G164">
        <f>'Final list of total hauls pros'!F162</f>
        <v>15</v>
      </c>
      <c r="H164">
        <f>'Final list of total hauls pros'!G162</f>
        <v>57.014000000000003</v>
      </c>
      <c r="I164">
        <f>'Final list of total hauls pros'!H162</f>
        <v>5</v>
      </c>
      <c r="J164" t="str">
        <f>'Final list of total hauls pros'!I162</f>
        <v>DEN</v>
      </c>
      <c r="K164" s="13">
        <f>'Final list of total hauls pros'!J162</f>
        <v>55.4679</v>
      </c>
      <c r="L164" s="13">
        <f>'Final list of total hauls pros'!K162</f>
        <v>15.9502333333333</v>
      </c>
      <c r="M164" t="str">
        <f>'Final list of total hauls pros'!L162</f>
        <v>25-32</v>
      </c>
      <c r="N164" t="str">
        <f>Processing!I165</f>
        <v>DEN (SD 25-32)</v>
      </c>
    </row>
    <row r="165" spans="2:14" x14ac:dyDescent="0.25">
      <c r="B165">
        <f>Processing!D166</f>
        <v>25508</v>
      </c>
      <c r="C165" t="str">
        <f>Processing!F166</f>
        <v>39G6</v>
      </c>
      <c r="D165">
        <f>'Final list of total hauls pros'!C163</f>
        <v>25</v>
      </c>
      <c r="E165">
        <f>'Final list of total hauls pros'!D163</f>
        <v>55</v>
      </c>
      <c r="F165">
        <f>'Final list of total hauls pros'!E163</f>
        <v>18.02</v>
      </c>
      <c r="G165">
        <f>'Final list of total hauls pros'!F163</f>
        <v>16</v>
      </c>
      <c r="H165">
        <f>'Final list of total hauls pros'!G163</f>
        <v>1.1299999999999999</v>
      </c>
      <c r="I165">
        <f>'Final list of total hauls pros'!H163</f>
        <v>5</v>
      </c>
      <c r="J165" t="str">
        <f>'Final list of total hauls pros'!I163</f>
        <v>DEN</v>
      </c>
      <c r="K165" s="13">
        <f>'Final list of total hauls pros'!J163</f>
        <v>55.300333333333299</v>
      </c>
      <c r="L165" s="13">
        <f>'Final list of total hauls pros'!K163</f>
        <v>16.018833333333301</v>
      </c>
      <c r="M165" t="str">
        <f>'Final list of total hauls pros'!L163</f>
        <v>25-32</v>
      </c>
      <c r="N165" t="str">
        <f>Processing!I166</f>
        <v>DEN (SD 25-32)</v>
      </c>
    </row>
    <row r="166" spans="2:14" x14ac:dyDescent="0.25">
      <c r="B166">
        <f>Processing!D167</f>
        <v>25509</v>
      </c>
      <c r="C166" t="str">
        <f>Processing!F167</f>
        <v>40G6</v>
      </c>
      <c r="D166">
        <f>'Final list of total hauls pros'!C164</f>
        <v>25</v>
      </c>
      <c r="E166">
        <f>'Final list of total hauls pros'!D164</f>
        <v>55</v>
      </c>
      <c r="F166">
        <f>'Final list of total hauls pros'!E164</f>
        <v>43.78</v>
      </c>
      <c r="G166">
        <f>'Final list of total hauls pros'!F164</f>
        <v>16</v>
      </c>
      <c r="H166">
        <f>'Final list of total hauls pros'!G164</f>
        <v>41</v>
      </c>
      <c r="I166">
        <f>'Final list of total hauls pros'!H164</f>
        <v>4</v>
      </c>
      <c r="J166" t="str">
        <f>'Final list of total hauls pros'!I164</f>
        <v>SWE</v>
      </c>
      <c r="K166" s="13">
        <f>'Final list of total hauls pros'!J164</f>
        <v>55.729666666666702</v>
      </c>
      <c r="L166" s="13">
        <f>'Final list of total hauls pros'!K164</f>
        <v>16.683333333333302</v>
      </c>
      <c r="M166" t="str">
        <f>'Final list of total hauls pros'!L164</f>
        <v>25-32</v>
      </c>
      <c r="N166" t="str">
        <f>Processing!I167</f>
        <v>SWE (SD 25-32)</v>
      </c>
    </row>
    <row r="167" spans="2:14" x14ac:dyDescent="0.25">
      <c r="B167">
        <f>Processing!D168</f>
        <v>25511</v>
      </c>
      <c r="C167" t="str">
        <f>Processing!F168</f>
        <v>40G6</v>
      </c>
      <c r="D167">
        <f>'Final list of total hauls pros'!C165</f>
        <v>25</v>
      </c>
      <c r="E167">
        <f>'Final list of total hauls pros'!D165</f>
        <v>55</v>
      </c>
      <c r="F167">
        <f>'Final list of total hauls pros'!E165</f>
        <v>31.3</v>
      </c>
      <c r="G167">
        <f>'Final list of total hauls pros'!F165</f>
        <v>16</v>
      </c>
      <c r="H167">
        <f>'Final list of total hauls pros'!G165</f>
        <v>18.5</v>
      </c>
      <c r="I167">
        <f>'Final list of total hauls pros'!H165</f>
        <v>4</v>
      </c>
      <c r="J167" t="str">
        <f>'Final list of total hauls pros'!I165</f>
        <v>SWE</v>
      </c>
      <c r="K167" s="13">
        <f>'Final list of total hauls pros'!J165</f>
        <v>55.521666666666697</v>
      </c>
      <c r="L167" s="13">
        <f>'Final list of total hauls pros'!K165</f>
        <v>16.308333333333302</v>
      </c>
      <c r="M167" t="str">
        <f>'Final list of total hauls pros'!L165</f>
        <v>25-32</v>
      </c>
      <c r="N167" t="str">
        <f>Processing!I168</f>
        <v>SWE (SD 25-32)</v>
      </c>
    </row>
    <row r="168" spans="2:14" x14ac:dyDescent="0.25">
      <c r="B168">
        <f>Processing!D169</f>
        <v>26001</v>
      </c>
      <c r="C168" t="str">
        <f>Processing!F169</f>
        <v>37G9</v>
      </c>
      <c r="D168">
        <f>'Final list of total hauls pros'!C166</f>
        <v>26</v>
      </c>
      <c r="E168">
        <f>'Final list of total hauls pros'!D166</f>
        <v>54</v>
      </c>
      <c r="F168">
        <f>'Final list of total hauls pros'!E166</f>
        <v>22.9</v>
      </c>
      <c r="G168">
        <f>'Final list of total hauls pros'!F166</f>
        <v>19</v>
      </c>
      <c r="H168">
        <f>'Final list of total hauls pros'!G166</f>
        <v>14.4</v>
      </c>
      <c r="I168">
        <f>'Final list of total hauls pros'!H166</f>
        <v>2</v>
      </c>
      <c r="J168" t="str">
        <f>'Final list of total hauls pros'!I166</f>
        <v>POL</v>
      </c>
      <c r="K168" s="13">
        <f>'Final list of total hauls pros'!J166</f>
        <v>54.381666666666703</v>
      </c>
      <c r="L168" s="13">
        <f>'Final list of total hauls pros'!K166</f>
        <v>19.239999999999998</v>
      </c>
      <c r="M168" t="str">
        <f>'Final list of total hauls pros'!L166</f>
        <v>25-32</v>
      </c>
      <c r="N168" t="str">
        <f>Processing!I169</f>
        <v>POL (SD 25-32)</v>
      </c>
    </row>
    <row r="169" spans="2:14" x14ac:dyDescent="0.25">
      <c r="B169">
        <f>Processing!D170</f>
        <v>26005</v>
      </c>
      <c r="C169" t="str">
        <f>Processing!F170</f>
        <v>38G8</v>
      </c>
      <c r="D169">
        <f>'Final list of total hauls pros'!C167</f>
        <v>26</v>
      </c>
      <c r="E169">
        <f>'Final list of total hauls pros'!D167</f>
        <v>54</v>
      </c>
      <c r="F169">
        <f>'Final list of total hauls pros'!E167</f>
        <v>53.7</v>
      </c>
      <c r="G169">
        <f>'Final list of total hauls pros'!F167</f>
        <v>18</v>
      </c>
      <c r="H169">
        <f>'Final list of total hauls pros'!G167</f>
        <v>11</v>
      </c>
      <c r="I169">
        <f>'Final list of total hauls pros'!H167</f>
        <v>2</v>
      </c>
      <c r="J169" t="str">
        <f>'Final list of total hauls pros'!I167</f>
        <v>POL</v>
      </c>
      <c r="K169" s="13">
        <f>'Final list of total hauls pros'!J167</f>
        <v>54.895000000000003</v>
      </c>
      <c r="L169" s="13">
        <f>'Final list of total hauls pros'!K167</f>
        <v>18.183333333333302</v>
      </c>
      <c r="M169" t="str">
        <f>'Final list of total hauls pros'!L167</f>
        <v>25-32</v>
      </c>
      <c r="N169" t="str">
        <f>Processing!I170</f>
        <v>POL (SD 25-32)</v>
      </c>
    </row>
    <row r="170" spans="2:14" x14ac:dyDescent="0.25">
      <c r="B170">
        <f>Processing!D171</f>
        <v>26007</v>
      </c>
      <c r="C170" t="str">
        <f>Processing!F171</f>
        <v>38G8</v>
      </c>
      <c r="D170">
        <f>'Final list of total hauls pros'!C168</f>
        <v>26</v>
      </c>
      <c r="E170">
        <f>'Final list of total hauls pros'!D168</f>
        <v>54</v>
      </c>
      <c r="F170">
        <f>'Final list of total hauls pros'!E168</f>
        <v>51.5</v>
      </c>
      <c r="G170">
        <f>'Final list of total hauls pros'!F168</f>
        <v>18</v>
      </c>
      <c r="H170">
        <f>'Final list of total hauls pros'!G168</f>
        <v>34</v>
      </c>
      <c r="I170">
        <f>'Final list of total hauls pros'!H168</f>
        <v>2</v>
      </c>
      <c r="J170" t="str">
        <f>'Final list of total hauls pros'!I168</f>
        <v>POL</v>
      </c>
      <c r="K170" s="13">
        <f>'Final list of total hauls pros'!J168</f>
        <v>54.858333333333299</v>
      </c>
      <c r="L170" s="13">
        <f>'Final list of total hauls pros'!K168</f>
        <v>18.566666666666698</v>
      </c>
      <c r="M170" t="str">
        <f>'Final list of total hauls pros'!L168</f>
        <v>25-32</v>
      </c>
      <c r="N170" t="str">
        <f>Processing!I171</f>
        <v>POL (SD 25-32)</v>
      </c>
    </row>
    <row r="171" spans="2:14" x14ac:dyDescent="0.25">
      <c r="B171">
        <f>Processing!D172</f>
        <v>26013</v>
      </c>
      <c r="C171" t="str">
        <f>Processing!F172</f>
        <v>41G8</v>
      </c>
      <c r="D171">
        <f>'Final list of total hauls pros'!C169</f>
        <v>26</v>
      </c>
      <c r="E171">
        <f>'Final list of total hauls pros'!D169</f>
        <v>56</v>
      </c>
      <c r="F171">
        <f>'Final list of total hauls pros'!E169</f>
        <v>22</v>
      </c>
      <c r="G171">
        <f>'Final list of total hauls pros'!F169</f>
        <v>18</v>
      </c>
      <c r="H171">
        <f>'Final list of total hauls pros'!G169</f>
        <v>29</v>
      </c>
      <c r="I171">
        <f>'Final list of total hauls pros'!H169</f>
        <v>2</v>
      </c>
      <c r="J171" t="str">
        <f>'Final list of total hauls pros'!I169</f>
        <v>SWE</v>
      </c>
      <c r="K171" s="13">
        <f>'Final list of total hauls pros'!J169</f>
        <v>56.366666666666703</v>
      </c>
      <c r="L171" s="13">
        <f>'Final list of total hauls pros'!K169</f>
        <v>18.483333333333299</v>
      </c>
      <c r="M171" t="str">
        <f>'Final list of total hauls pros'!L169</f>
        <v>25-32</v>
      </c>
      <c r="N171" t="str">
        <f>Processing!I172</f>
        <v>POL (SD 25-32)</v>
      </c>
    </row>
    <row r="172" spans="2:14" x14ac:dyDescent="0.25">
      <c r="B172">
        <f>Processing!D173</f>
        <v>26019</v>
      </c>
      <c r="C172" t="str">
        <f>Processing!F173</f>
        <v>38G8</v>
      </c>
      <c r="D172">
        <f>'Final list of total hauls pros'!C170</f>
        <v>26</v>
      </c>
      <c r="E172">
        <f>'Final list of total hauls pros'!D170</f>
        <v>54</v>
      </c>
      <c r="F172">
        <f>'Final list of total hauls pros'!E170</f>
        <v>53.2</v>
      </c>
      <c r="G172">
        <f>'Final list of total hauls pros'!F170</f>
        <v>18</v>
      </c>
      <c r="H172">
        <f>'Final list of total hauls pros'!G170</f>
        <v>38</v>
      </c>
      <c r="I172">
        <f>'Final list of total hauls pros'!H170</f>
        <v>3</v>
      </c>
      <c r="J172" t="str">
        <f>'Final list of total hauls pros'!I170</f>
        <v>POL</v>
      </c>
      <c r="K172" s="13">
        <f>'Final list of total hauls pros'!J170</f>
        <v>54.886666666666699</v>
      </c>
      <c r="L172" s="13">
        <f>'Final list of total hauls pros'!K170</f>
        <v>18.633333333333301</v>
      </c>
      <c r="M172" t="str">
        <f>'Final list of total hauls pros'!L170</f>
        <v>25-32</v>
      </c>
      <c r="N172" t="str">
        <f>Processing!I173</f>
        <v>POL (SD 25-32)</v>
      </c>
    </row>
    <row r="173" spans="2:14" x14ac:dyDescent="0.25">
      <c r="B173">
        <f>Processing!D174</f>
        <v>26020</v>
      </c>
      <c r="C173" t="str">
        <f>Processing!F174</f>
        <v>38G8</v>
      </c>
      <c r="D173">
        <f>'Final list of total hauls pros'!C171</f>
        <v>26</v>
      </c>
      <c r="E173">
        <f>'Final list of total hauls pros'!D171</f>
        <v>54</v>
      </c>
      <c r="F173">
        <f>'Final list of total hauls pros'!E171</f>
        <v>47.2</v>
      </c>
      <c r="G173">
        <f>'Final list of total hauls pros'!F171</f>
        <v>18</v>
      </c>
      <c r="H173">
        <f>'Final list of total hauls pros'!G171</f>
        <v>42.3</v>
      </c>
      <c r="I173">
        <f>'Final list of total hauls pros'!H171</f>
        <v>3</v>
      </c>
      <c r="J173" t="str">
        <f>'Final list of total hauls pros'!I171</f>
        <v>POL</v>
      </c>
      <c r="K173" s="13">
        <f>'Final list of total hauls pros'!J171</f>
        <v>54.786666666666697</v>
      </c>
      <c r="L173" s="13">
        <f>'Final list of total hauls pros'!K171</f>
        <v>18.704999999999998</v>
      </c>
      <c r="M173" t="str">
        <f>'Final list of total hauls pros'!L171</f>
        <v>25-32</v>
      </c>
      <c r="N173" t="str">
        <f>Processing!I174</f>
        <v>POL (SD 25-32)</v>
      </c>
    </row>
    <row r="174" spans="2:14" x14ac:dyDescent="0.25">
      <c r="B174">
        <f>Processing!D175</f>
        <v>26027</v>
      </c>
      <c r="C174" t="str">
        <f>Processing!F175</f>
        <v>40H0</v>
      </c>
      <c r="D174">
        <f>'Final list of total hauls pros'!C172</f>
        <v>26</v>
      </c>
      <c r="E174">
        <f>'Final list of total hauls pros'!D172</f>
        <v>55</v>
      </c>
      <c r="F174">
        <f>'Final list of total hauls pros'!E172</f>
        <v>47.4</v>
      </c>
      <c r="G174">
        <f>'Final list of total hauls pros'!F172</f>
        <v>20</v>
      </c>
      <c r="H174">
        <f>'Final list of total hauls pros'!G172</f>
        <v>23.2</v>
      </c>
      <c r="I174">
        <f>'Final list of total hauls pros'!H172</f>
        <v>3</v>
      </c>
      <c r="J174" t="str">
        <f>'Final list of total hauls pros'!I172</f>
        <v>LTU</v>
      </c>
      <c r="K174" s="13">
        <f>'Final list of total hauls pros'!J172</f>
        <v>55.79</v>
      </c>
      <c r="L174" s="13">
        <f>'Final list of total hauls pros'!K172</f>
        <v>20.386666666666699</v>
      </c>
      <c r="M174" t="str">
        <f>'Final list of total hauls pros'!L172</f>
        <v>25-32</v>
      </c>
      <c r="N174" t="str">
        <f>Processing!I175</f>
        <v>LTU (SD 25-32)</v>
      </c>
    </row>
    <row r="175" spans="2:14" x14ac:dyDescent="0.25">
      <c r="B175">
        <f>Processing!D176</f>
        <v>26031</v>
      </c>
      <c r="C175" t="str">
        <f>Processing!F176</f>
        <v>41G9</v>
      </c>
      <c r="D175">
        <f>'Final list of total hauls pros'!C173</f>
        <v>26</v>
      </c>
      <c r="E175">
        <f>'Final list of total hauls pros'!D173</f>
        <v>56</v>
      </c>
      <c r="F175">
        <f>'Final list of total hauls pros'!E173</f>
        <v>11.5</v>
      </c>
      <c r="G175">
        <f>'Final list of total hauls pros'!F173</f>
        <v>19</v>
      </c>
      <c r="H175">
        <f>'Final list of total hauls pros'!G173</f>
        <v>54.8</v>
      </c>
      <c r="I175">
        <f>'Final list of total hauls pros'!H173</f>
        <v>4</v>
      </c>
      <c r="J175" t="str">
        <f>'Final list of total hauls pros'!I173</f>
        <v>LAT</v>
      </c>
      <c r="K175" s="13">
        <f>'Final list of total hauls pros'!J173</f>
        <v>56.191666666666698</v>
      </c>
      <c r="L175" s="13">
        <f>'Final list of total hauls pros'!K173</f>
        <v>19.913333333333298</v>
      </c>
      <c r="M175" t="str">
        <f>'Final list of total hauls pros'!L173</f>
        <v>25-32</v>
      </c>
      <c r="N175" t="str">
        <f>Processing!I176</f>
        <v>POL (SD 25-32)</v>
      </c>
    </row>
    <row r="176" spans="2:14" x14ac:dyDescent="0.25">
      <c r="B176">
        <f>Processing!D177</f>
        <v>26045</v>
      </c>
      <c r="C176" t="str">
        <f>Processing!F177</f>
        <v>39G9</v>
      </c>
      <c r="D176">
        <f>'Final list of total hauls pros'!C174</f>
        <v>26</v>
      </c>
      <c r="E176">
        <f>'Final list of total hauls pros'!D174</f>
        <v>55</v>
      </c>
      <c r="F176">
        <f>'Final list of total hauls pros'!E174</f>
        <v>16.7</v>
      </c>
      <c r="G176">
        <f>'Final list of total hauls pros'!F174</f>
        <v>19</v>
      </c>
      <c r="H176">
        <f>'Final list of total hauls pros'!G174</f>
        <v>5</v>
      </c>
      <c r="I176">
        <f>'Final list of total hauls pros'!H174</f>
        <v>4</v>
      </c>
      <c r="J176" t="str">
        <f>'Final list of total hauls pros'!I174</f>
        <v>POL</v>
      </c>
      <c r="K176" s="13">
        <f>'Final list of total hauls pros'!J174</f>
        <v>55.2783333333333</v>
      </c>
      <c r="L176" s="13">
        <f>'Final list of total hauls pros'!K174</f>
        <v>19.0833333333333</v>
      </c>
      <c r="M176" t="str">
        <f>'Final list of total hauls pros'!L174</f>
        <v>25-32</v>
      </c>
      <c r="N176" t="str">
        <f>Processing!I177</f>
        <v>POL (SD 25-32)</v>
      </c>
    </row>
    <row r="177" spans="2:14" x14ac:dyDescent="0.25">
      <c r="B177">
        <f>Processing!D178</f>
        <v>26050</v>
      </c>
      <c r="C177" t="str">
        <f>Processing!F178</f>
        <v>40G8</v>
      </c>
      <c r="D177">
        <f>'Final list of total hauls pros'!C175</f>
        <v>26</v>
      </c>
      <c r="E177">
        <f>'Final list of total hauls pros'!D175</f>
        <v>55</v>
      </c>
      <c r="F177">
        <f>'Final list of total hauls pros'!E175</f>
        <v>38.299999999999997</v>
      </c>
      <c r="G177">
        <f>'Final list of total hauls pros'!F175</f>
        <v>18</v>
      </c>
      <c r="H177">
        <f>'Final list of total hauls pros'!G175</f>
        <v>3.6</v>
      </c>
      <c r="I177">
        <f>'Final list of total hauls pros'!H175</f>
        <v>4</v>
      </c>
      <c r="J177" t="str">
        <f>'Final list of total hauls pros'!I175</f>
        <v>POL</v>
      </c>
      <c r="K177" s="13">
        <f>'Final list of total hauls pros'!J175</f>
        <v>55.6383333333333</v>
      </c>
      <c r="L177" s="13">
        <f>'Final list of total hauls pros'!K175</f>
        <v>18.059999999999999</v>
      </c>
      <c r="M177" t="str">
        <f>'Final list of total hauls pros'!L175</f>
        <v>25-32</v>
      </c>
      <c r="N177" t="str">
        <f>Processing!I178</f>
        <v>DEN (SD 25-32)</v>
      </c>
    </row>
    <row r="178" spans="2:14" x14ac:dyDescent="0.25">
      <c r="B178">
        <f>Processing!D179</f>
        <v>26053</v>
      </c>
      <c r="C178" t="str">
        <f>Processing!F179</f>
        <v>40G8</v>
      </c>
      <c r="D178">
        <f>'Final list of total hauls pros'!C176</f>
        <v>26</v>
      </c>
      <c r="E178">
        <f>'Final list of total hauls pros'!D176</f>
        <v>55</v>
      </c>
      <c r="F178">
        <f>'Final list of total hauls pros'!E176</f>
        <v>42</v>
      </c>
      <c r="G178">
        <f>'Final list of total hauls pros'!F176</f>
        <v>18</v>
      </c>
      <c r="H178">
        <f>'Final list of total hauls pros'!G176</f>
        <v>0.7</v>
      </c>
      <c r="I178">
        <f>'Final list of total hauls pros'!H176</f>
        <v>4</v>
      </c>
      <c r="J178" t="str">
        <f>'Final list of total hauls pros'!I176</f>
        <v>POL</v>
      </c>
      <c r="K178" s="13">
        <f>'Final list of total hauls pros'!J176</f>
        <v>55.7</v>
      </c>
      <c r="L178" s="13">
        <f>'Final list of total hauls pros'!K176</f>
        <v>18.011666666666699</v>
      </c>
      <c r="M178" t="str">
        <f>'Final list of total hauls pros'!L176</f>
        <v>25-32</v>
      </c>
      <c r="N178" t="str">
        <f>Processing!I179</f>
        <v>DEN (SD 25-32)</v>
      </c>
    </row>
    <row r="179" spans="2:14" x14ac:dyDescent="0.25">
      <c r="B179">
        <f>Processing!D180</f>
        <v>26057</v>
      </c>
      <c r="C179" t="str">
        <f>Processing!F180</f>
        <v>40H0</v>
      </c>
      <c r="D179">
        <f>'Final list of total hauls pros'!C177</f>
        <v>26</v>
      </c>
      <c r="E179">
        <f>'Final list of total hauls pros'!D177</f>
        <v>55</v>
      </c>
      <c r="F179">
        <f>'Final list of total hauls pros'!E177</f>
        <v>43.1</v>
      </c>
      <c r="G179">
        <f>'Final list of total hauls pros'!F177</f>
        <v>19</v>
      </c>
      <c r="H179">
        <f>'Final list of total hauls pros'!G177</f>
        <v>58</v>
      </c>
      <c r="I179">
        <f>'Final list of total hauls pros'!H177</f>
        <v>4</v>
      </c>
      <c r="J179" t="str">
        <f>'Final list of total hauls pros'!I177</f>
        <v>LTU</v>
      </c>
      <c r="K179" s="13">
        <f>'Final list of total hauls pros'!J177</f>
        <v>55.718333333333298</v>
      </c>
      <c r="L179" s="13">
        <f>'Final list of total hauls pros'!K177</f>
        <v>19.966666666666701</v>
      </c>
      <c r="M179" t="str">
        <f>'Final list of total hauls pros'!L177</f>
        <v>25-32</v>
      </c>
      <c r="N179" t="str">
        <f>Processing!I180</f>
        <v>LTU (SD 25-32)</v>
      </c>
    </row>
    <row r="180" spans="2:14" x14ac:dyDescent="0.25">
      <c r="B180">
        <f>Processing!D181</f>
        <v>26060</v>
      </c>
      <c r="C180" t="str">
        <f>Processing!F181</f>
        <v>40G9</v>
      </c>
      <c r="D180">
        <f>'Final list of total hauls pros'!C178</f>
        <v>26</v>
      </c>
      <c r="E180">
        <f>'Final list of total hauls pros'!D178</f>
        <v>55</v>
      </c>
      <c r="F180">
        <f>'Final list of total hauls pros'!E178</f>
        <v>59.2</v>
      </c>
      <c r="G180">
        <f>'Final list of total hauls pros'!F178</f>
        <v>19</v>
      </c>
      <c r="H180">
        <f>'Final list of total hauls pros'!G178</f>
        <v>19.3</v>
      </c>
      <c r="I180">
        <f>'Final list of total hauls pros'!H178</f>
        <v>4</v>
      </c>
      <c r="J180" t="str">
        <f>'Final list of total hauls pros'!I178</f>
        <v>LTU</v>
      </c>
      <c r="K180" s="13">
        <f>'Final list of total hauls pros'!J178</f>
        <v>55.9866666666667</v>
      </c>
      <c r="L180" s="13">
        <f>'Final list of total hauls pros'!K178</f>
        <v>19.321666666666701</v>
      </c>
      <c r="M180" t="str">
        <f>'Final list of total hauls pros'!L178</f>
        <v>25-32</v>
      </c>
      <c r="N180" t="str">
        <f>Processing!I181</f>
        <v>POL (SD 25-32)</v>
      </c>
    </row>
    <row r="181" spans="2:14" x14ac:dyDescent="0.25">
      <c r="B181">
        <f>Processing!D182</f>
        <v>26069</v>
      </c>
      <c r="C181" t="str">
        <f>Processing!F182</f>
        <v>41G8</v>
      </c>
      <c r="D181">
        <f>'Final list of total hauls pros'!C179</f>
        <v>26</v>
      </c>
      <c r="E181">
        <f>'Final list of total hauls pros'!D179</f>
        <v>56</v>
      </c>
      <c r="F181">
        <f>'Final list of total hauls pros'!E179</f>
        <v>13.1</v>
      </c>
      <c r="G181">
        <f>'Final list of total hauls pros'!F179</f>
        <v>18</v>
      </c>
      <c r="H181">
        <f>'Final list of total hauls pros'!G179</f>
        <v>25.2</v>
      </c>
      <c r="I181">
        <f>'Final list of total hauls pros'!H179</f>
        <v>4</v>
      </c>
      <c r="J181" t="str">
        <f>'Final list of total hauls pros'!I179</f>
        <v>SWE</v>
      </c>
      <c r="K181" s="13">
        <f>'Final list of total hauls pros'!J179</f>
        <v>56.218333333333298</v>
      </c>
      <c r="L181" s="13">
        <f>'Final list of total hauls pros'!K179</f>
        <v>18.420000000000002</v>
      </c>
      <c r="M181" t="str">
        <f>'Final list of total hauls pros'!L179</f>
        <v>25-32</v>
      </c>
      <c r="N181" t="str">
        <f>Processing!I182</f>
        <v>POL (SD 25-32)</v>
      </c>
    </row>
    <row r="182" spans="2:14" x14ac:dyDescent="0.25">
      <c r="B182">
        <f>Processing!D183</f>
        <v>26071</v>
      </c>
      <c r="C182" t="str">
        <f>Processing!F183</f>
        <v>41G9</v>
      </c>
      <c r="D182">
        <f>'Final list of total hauls pros'!C180</f>
        <v>26</v>
      </c>
      <c r="E182">
        <f>'Final list of total hauls pros'!D180</f>
        <v>56</v>
      </c>
      <c r="F182">
        <f>'Final list of total hauls pros'!E180</f>
        <v>13.7</v>
      </c>
      <c r="G182">
        <f>'Final list of total hauls pros'!F180</f>
        <v>19</v>
      </c>
      <c r="H182">
        <f>'Final list of total hauls pros'!G180</f>
        <v>30.3</v>
      </c>
      <c r="I182">
        <f>'Final list of total hauls pros'!H180</f>
        <v>6</v>
      </c>
      <c r="J182" t="str">
        <f>'Final list of total hauls pros'!I180</f>
        <v>LAT</v>
      </c>
      <c r="K182" s="13">
        <f>'Final list of total hauls pros'!J180</f>
        <v>56.228333333333303</v>
      </c>
      <c r="L182" s="13">
        <f>'Final list of total hauls pros'!K180</f>
        <v>19.504999999999999</v>
      </c>
      <c r="M182" t="str">
        <f>'Final list of total hauls pros'!L180</f>
        <v>25-32</v>
      </c>
      <c r="N182" t="str">
        <f>Processing!I183</f>
        <v>POL (SD 25-32)</v>
      </c>
    </row>
    <row r="183" spans="2:14" x14ac:dyDescent="0.25">
      <c r="B183">
        <f>Processing!D184</f>
        <v>26073</v>
      </c>
      <c r="C183" t="str">
        <f>Processing!F184</f>
        <v>41G9</v>
      </c>
      <c r="D183">
        <f>'Final list of total hauls pros'!C181</f>
        <v>26</v>
      </c>
      <c r="E183">
        <f>'Final list of total hauls pros'!D181</f>
        <v>56</v>
      </c>
      <c r="F183">
        <f>'Final list of total hauls pros'!E181</f>
        <v>15</v>
      </c>
      <c r="G183">
        <f>'Final list of total hauls pros'!F181</f>
        <v>19</v>
      </c>
      <c r="H183">
        <f>'Final list of total hauls pros'!G181</f>
        <v>39</v>
      </c>
      <c r="I183">
        <f>'Final list of total hauls pros'!H181</f>
        <v>4</v>
      </c>
      <c r="J183" t="str">
        <f>'Final list of total hauls pros'!I181</f>
        <v>LAT</v>
      </c>
      <c r="K183" s="13">
        <f>'Final list of total hauls pros'!J181</f>
        <v>56.25</v>
      </c>
      <c r="L183" s="13">
        <f>'Final list of total hauls pros'!K181</f>
        <v>19.649999999999999</v>
      </c>
      <c r="M183" t="str">
        <f>'Final list of total hauls pros'!L181</f>
        <v>25-32</v>
      </c>
      <c r="N183" t="str">
        <f>Processing!I184</f>
        <v>POL (SD 25-32)</v>
      </c>
    </row>
    <row r="184" spans="2:14" x14ac:dyDescent="0.25">
      <c r="B184">
        <f>Processing!D185</f>
        <v>26076</v>
      </c>
      <c r="C184" t="str">
        <f>Processing!F185</f>
        <v>41G8</v>
      </c>
      <c r="D184">
        <f>'Final list of total hauls pros'!C182</f>
        <v>26</v>
      </c>
      <c r="E184">
        <f>'Final list of total hauls pros'!D182</f>
        <v>56</v>
      </c>
      <c r="F184">
        <f>'Final list of total hauls pros'!E182</f>
        <v>26</v>
      </c>
      <c r="G184">
        <f>'Final list of total hauls pros'!F182</f>
        <v>18</v>
      </c>
      <c r="H184">
        <f>'Final list of total hauls pros'!G182</f>
        <v>39</v>
      </c>
      <c r="I184">
        <f>'Final list of total hauls pros'!H182</f>
        <v>4</v>
      </c>
      <c r="J184" t="str">
        <f>'Final list of total hauls pros'!I182</f>
        <v>SWE</v>
      </c>
      <c r="K184" s="13">
        <f>'Final list of total hauls pros'!J182</f>
        <v>56.433333333333302</v>
      </c>
      <c r="L184" s="13">
        <f>'Final list of total hauls pros'!K182</f>
        <v>18.649999999999999</v>
      </c>
      <c r="M184" t="str">
        <f>'Final list of total hauls pros'!L182</f>
        <v>25-32</v>
      </c>
      <c r="N184" t="str">
        <f>Processing!I185</f>
        <v>POL (SD 25-32)</v>
      </c>
    </row>
    <row r="185" spans="2:14" x14ac:dyDescent="0.25">
      <c r="B185">
        <f>Processing!D186</f>
        <v>26077</v>
      </c>
      <c r="C185" t="str">
        <f>Processing!F186</f>
        <v>41G8</v>
      </c>
      <c r="D185">
        <f>'Final list of total hauls pros'!C183</f>
        <v>26</v>
      </c>
      <c r="E185">
        <f>'Final list of total hauls pros'!D183</f>
        <v>56</v>
      </c>
      <c r="F185">
        <f>'Final list of total hauls pros'!E183</f>
        <v>27</v>
      </c>
      <c r="G185">
        <f>'Final list of total hauls pros'!F183</f>
        <v>18</v>
      </c>
      <c r="H185">
        <f>'Final list of total hauls pros'!G183</f>
        <v>40</v>
      </c>
      <c r="I185">
        <f>'Final list of total hauls pros'!H183</f>
        <v>4</v>
      </c>
      <c r="J185" t="str">
        <f>'Final list of total hauls pros'!I183</f>
        <v>SWE</v>
      </c>
      <c r="K185" s="13">
        <f>'Final list of total hauls pros'!J183</f>
        <v>56.45</v>
      </c>
      <c r="L185" s="13">
        <f>'Final list of total hauls pros'!K183</f>
        <v>18.6666666666667</v>
      </c>
      <c r="M185" t="str">
        <f>'Final list of total hauls pros'!L183</f>
        <v>25-32</v>
      </c>
      <c r="N185" t="str">
        <f>Processing!I186</f>
        <v>POL (SD 25-32)</v>
      </c>
    </row>
    <row r="186" spans="2:14" x14ac:dyDescent="0.25">
      <c r="B186">
        <f>Processing!D187</f>
        <v>26078</v>
      </c>
      <c r="C186" t="str">
        <f>Processing!F187</f>
        <v>41H0</v>
      </c>
      <c r="D186">
        <f>'Final list of total hauls pros'!C184</f>
        <v>26</v>
      </c>
      <c r="E186">
        <f>'Final list of total hauls pros'!D184</f>
        <v>56</v>
      </c>
      <c r="F186">
        <f>'Final list of total hauls pros'!E184</f>
        <v>21</v>
      </c>
      <c r="G186">
        <f>'Final list of total hauls pros'!F184</f>
        <v>20</v>
      </c>
      <c r="H186">
        <f>'Final list of total hauls pros'!G184</f>
        <v>2</v>
      </c>
      <c r="I186">
        <f>'Final list of total hauls pros'!H184</f>
        <v>4</v>
      </c>
      <c r="J186" t="str">
        <f>'Final list of total hauls pros'!I184</f>
        <v>LAT</v>
      </c>
      <c r="K186" s="13">
        <f>'Final list of total hauls pros'!J184</f>
        <v>56.35</v>
      </c>
      <c r="L186" s="13">
        <f>'Final list of total hauls pros'!K184</f>
        <v>20.033333333333299</v>
      </c>
      <c r="M186" t="str">
        <f>'Final list of total hauls pros'!L184</f>
        <v>25-32</v>
      </c>
      <c r="N186" t="str">
        <f>Processing!I187</f>
        <v>POL (SD 25-32)</v>
      </c>
    </row>
    <row r="187" spans="2:14" x14ac:dyDescent="0.25">
      <c r="B187">
        <f>Processing!D188</f>
        <v>26081</v>
      </c>
      <c r="C187" t="str">
        <f>Processing!F188</f>
        <v>41H0</v>
      </c>
      <c r="D187">
        <f>'Final list of total hauls pros'!C185</f>
        <v>26</v>
      </c>
      <c r="E187">
        <f>'Final list of total hauls pros'!D185</f>
        <v>56</v>
      </c>
      <c r="F187">
        <f>'Final list of total hauls pros'!E185</f>
        <v>27</v>
      </c>
      <c r="G187">
        <f>'Final list of total hauls pros'!F185</f>
        <v>20</v>
      </c>
      <c r="H187">
        <f>'Final list of total hauls pros'!G185</f>
        <v>12</v>
      </c>
      <c r="I187">
        <f>'Final list of total hauls pros'!H185</f>
        <v>5</v>
      </c>
      <c r="J187" t="str">
        <f>'Final list of total hauls pros'!I185</f>
        <v>LAT</v>
      </c>
      <c r="K187" s="13">
        <f>'Final list of total hauls pros'!J185</f>
        <v>56.45</v>
      </c>
      <c r="L187" s="13">
        <f>'Final list of total hauls pros'!K185</f>
        <v>20.2</v>
      </c>
      <c r="M187" t="str">
        <f>'Final list of total hauls pros'!L185</f>
        <v>25-32</v>
      </c>
      <c r="N187" t="str">
        <f>Processing!I188</f>
        <v>POL (SD 25-32)</v>
      </c>
    </row>
    <row r="188" spans="2:14" x14ac:dyDescent="0.25">
      <c r="B188">
        <f>Processing!D189</f>
        <v>26091</v>
      </c>
      <c r="C188" t="str">
        <f>Processing!F189</f>
        <v>39G9</v>
      </c>
      <c r="D188">
        <f>'Final list of total hauls pros'!C186</f>
        <v>26</v>
      </c>
      <c r="E188">
        <f>'Final list of total hauls pros'!D186</f>
        <v>55</v>
      </c>
      <c r="F188">
        <f>'Final list of total hauls pros'!E186</f>
        <v>7</v>
      </c>
      <c r="G188">
        <f>'Final list of total hauls pros'!F186</f>
        <v>19</v>
      </c>
      <c r="H188">
        <f>'Final list of total hauls pros'!G186</f>
        <v>5</v>
      </c>
      <c r="I188">
        <f>'Final list of total hauls pros'!H186</f>
        <v>5</v>
      </c>
      <c r="J188" t="str">
        <f>'Final list of total hauls pros'!I186</f>
        <v>POL</v>
      </c>
      <c r="K188" s="13">
        <f>'Final list of total hauls pros'!J186</f>
        <v>55.116666666666703</v>
      </c>
      <c r="L188" s="13">
        <f>'Final list of total hauls pros'!K186</f>
        <v>19.0833333333333</v>
      </c>
      <c r="M188" t="str">
        <f>'Final list of total hauls pros'!L186</f>
        <v>25-32</v>
      </c>
      <c r="N188" t="str">
        <f>Processing!I189</f>
        <v>POL (SD 25-32)</v>
      </c>
    </row>
    <row r="189" spans="2:14" x14ac:dyDescent="0.25">
      <c r="B189">
        <f>Processing!D190</f>
        <v>26093</v>
      </c>
      <c r="C189" t="str">
        <f>Processing!F190</f>
        <v>39G8</v>
      </c>
      <c r="D189">
        <f>'Final list of total hauls pros'!C187</f>
        <v>26</v>
      </c>
      <c r="E189">
        <f>'Final list of total hauls pros'!D187</f>
        <v>55</v>
      </c>
      <c r="F189">
        <f>'Final list of total hauls pros'!E187</f>
        <v>10.5</v>
      </c>
      <c r="G189">
        <f>'Final list of total hauls pros'!F187</f>
        <v>18</v>
      </c>
      <c r="H189">
        <f>'Final list of total hauls pros'!G187</f>
        <v>39</v>
      </c>
      <c r="I189">
        <f>'Final list of total hauls pros'!H187</f>
        <v>5</v>
      </c>
      <c r="J189" t="str">
        <f>'Final list of total hauls pros'!I187</f>
        <v>POL</v>
      </c>
      <c r="K189" s="13">
        <f>'Final list of total hauls pros'!J187</f>
        <v>55.174999999999997</v>
      </c>
      <c r="L189" s="13">
        <f>'Final list of total hauls pros'!K187</f>
        <v>18.649999999999999</v>
      </c>
      <c r="M189" t="str">
        <f>'Final list of total hauls pros'!L187</f>
        <v>25-32</v>
      </c>
      <c r="N189" t="str">
        <f>Processing!I190</f>
        <v>POL (SD 25-32)</v>
      </c>
    </row>
    <row r="190" spans="2:14" x14ac:dyDescent="0.25">
      <c r="B190">
        <f>Processing!D191</f>
        <v>26094</v>
      </c>
      <c r="C190" t="str">
        <f>Processing!F191</f>
        <v>39G8</v>
      </c>
      <c r="D190">
        <f>'Final list of total hauls pros'!C188</f>
        <v>26</v>
      </c>
      <c r="E190">
        <f>'Final list of total hauls pros'!D188</f>
        <v>55</v>
      </c>
      <c r="F190">
        <f>'Final list of total hauls pros'!E188</f>
        <v>11.8</v>
      </c>
      <c r="G190">
        <f>'Final list of total hauls pros'!F188</f>
        <v>18</v>
      </c>
      <c r="H190">
        <f>'Final list of total hauls pros'!G188</f>
        <v>57</v>
      </c>
      <c r="I190">
        <f>'Final list of total hauls pros'!H188</f>
        <v>5</v>
      </c>
      <c r="J190" t="str">
        <f>'Final list of total hauls pros'!I188</f>
        <v>POL</v>
      </c>
      <c r="K190" s="13">
        <f>'Final list of total hauls pros'!J188</f>
        <v>55.196666666666701</v>
      </c>
      <c r="L190" s="13">
        <f>'Final list of total hauls pros'!K188</f>
        <v>18.95</v>
      </c>
      <c r="M190" t="str">
        <f>'Final list of total hauls pros'!L188</f>
        <v>25-32</v>
      </c>
      <c r="N190" t="str">
        <f>Processing!I191</f>
        <v>POL (SD 25-32)</v>
      </c>
    </row>
    <row r="191" spans="2:14" x14ac:dyDescent="0.25">
      <c r="B191">
        <f>Processing!D192</f>
        <v>26099</v>
      </c>
      <c r="C191" t="str">
        <f>Processing!F192</f>
        <v>39G8</v>
      </c>
      <c r="D191">
        <f>'Final list of total hauls pros'!C189</f>
        <v>26</v>
      </c>
      <c r="E191">
        <f>'Final list of total hauls pros'!D189</f>
        <v>55</v>
      </c>
      <c r="F191">
        <f>'Final list of total hauls pros'!E189</f>
        <v>28.3</v>
      </c>
      <c r="G191">
        <f>'Final list of total hauls pros'!F189</f>
        <v>18</v>
      </c>
      <c r="H191">
        <f>'Final list of total hauls pros'!G189</f>
        <v>18.2</v>
      </c>
      <c r="I191">
        <f>'Final list of total hauls pros'!H189</f>
        <v>5</v>
      </c>
      <c r="J191" t="str">
        <f>'Final list of total hauls pros'!I189</f>
        <v>POL</v>
      </c>
      <c r="K191" s="13">
        <f>'Final list of total hauls pros'!J189</f>
        <v>55.4716666666667</v>
      </c>
      <c r="L191" s="13">
        <f>'Final list of total hauls pros'!K189</f>
        <v>18.303333333333299</v>
      </c>
      <c r="M191" t="str">
        <f>'Final list of total hauls pros'!L189</f>
        <v>25-32</v>
      </c>
      <c r="N191" t="str">
        <f>Processing!I192</f>
        <v>DEN (SD 25-32)</v>
      </c>
    </row>
    <row r="192" spans="2:14" x14ac:dyDescent="0.25">
      <c r="B192">
        <f>Processing!D193</f>
        <v>26105</v>
      </c>
      <c r="C192" t="str">
        <f>Processing!F193</f>
        <v>39G8</v>
      </c>
      <c r="D192">
        <f>'Final list of total hauls pros'!C190</f>
        <v>26</v>
      </c>
      <c r="E192">
        <f>'Final list of total hauls pros'!D190</f>
        <v>55</v>
      </c>
      <c r="F192">
        <f>'Final list of total hauls pros'!E190</f>
        <v>21</v>
      </c>
      <c r="G192">
        <f>'Final list of total hauls pros'!F190</f>
        <v>18</v>
      </c>
      <c r="H192">
        <f>'Final list of total hauls pros'!G190</f>
        <v>47</v>
      </c>
      <c r="I192">
        <f>'Final list of total hauls pros'!H190</f>
        <v>5</v>
      </c>
      <c r="J192" t="str">
        <f>'Final list of total hauls pros'!I190</f>
        <v>POL</v>
      </c>
      <c r="K192" s="13">
        <f>'Final list of total hauls pros'!J190</f>
        <v>55.35</v>
      </c>
      <c r="L192" s="13">
        <f>'Final list of total hauls pros'!K190</f>
        <v>18.783333333333299</v>
      </c>
      <c r="M192" t="str">
        <f>'Final list of total hauls pros'!L190</f>
        <v>25-32</v>
      </c>
      <c r="N192" t="str">
        <f>Processing!I193</f>
        <v>DEN (SD 25-32)</v>
      </c>
    </row>
    <row r="193" spans="2:14" x14ac:dyDescent="0.25">
      <c r="B193">
        <f>Processing!D194</f>
        <v>26107</v>
      </c>
      <c r="C193" t="str">
        <f>Processing!F194</f>
        <v>39G9</v>
      </c>
      <c r="D193">
        <f>'Final list of total hauls pros'!C191</f>
        <v>26</v>
      </c>
      <c r="E193">
        <f>'Final list of total hauls pros'!D191</f>
        <v>55</v>
      </c>
      <c r="F193">
        <f>'Final list of total hauls pros'!E191</f>
        <v>30.1</v>
      </c>
      <c r="G193">
        <f>'Final list of total hauls pros'!F191</f>
        <v>18</v>
      </c>
      <c r="H193">
        <f>'Final list of total hauls pros'!G191</f>
        <v>59.7</v>
      </c>
      <c r="I193">
        <f>'Final list of total hauls pros'!H191</f>
        <v>5</v>
      </c>
      <c r="J193" t="str">
        <f>'Final list of total hauls pros'!I191</f>
        <v>POL</v>
      </c>
      <c r="K193" s="13">
        <f>'Final list of total hauls pros'!J191</f>
        <v>55.501666666666701</v>
      </c>
      <c r="L193" s="13">
        <f>'Final list of total hauls pros'!K191</f>
        <v>18.995000000000001</v>
      </c>
      <c r="M193" t="str">
        <f>'Final list of total hauls pros'!L191</f>
        <v>25-32</v>
      </c>
      <c r="N193" t="str">
        <f>Processing!I194</f>
        <v>POL (SD 25-32)</v>
      </c>
    </row>
    <row r="194" spans="2:14" x14ac:dyDescent="0.25">
      <c r="B194">
        <f>Processing!D195</f>
        <v>26110</v>
      </c>
      <c r="C194" t="str">
        <f>Processing!F195</f>
        <v>40G8</v>
      </c>
      <c r="D194">
        <f>'Final list of total hauls pros'!C192</f>
        <v>26</v>
      </c>
      <c r="E194">
        <f>'Final list of total hauls pros'!D192</f>
        <v>55</v>
      </c>
      <c r="F194">
        <f>'Final list of total hauls pros'!E192</f>
        <v>35</v>
      </c>
      <c r="G194">
        <f>'Final list of total hauls pros'!F192</f>
        <v>18</v>
      </c>
      <c r="H194">
        <f>'Final list of total hauls pros'!G192</f>
        <v>23</v>
      </c>
      <c r="I194">
        <f>'Final list of total hauls pros'!H192</f>
        <v>5</v>
      </c>
      <c r="J194" t="str">
        <f>'Final list of total hauls pros'!I192</f>
        <v>POL</v>
      </c>
      <c r="K194" s="13">
        <f>'Final list of total hauls pros'!J192</f>
        <v>55.5833333333333</v>
      </c>
      <c r="L194" s="13">
        <f>'Final list of total hauls pros'!K192</f>
        <v>18.383333333333301</v>
      </c>
      <c r="M194" t="str">
        <f>'Final list of total hauls pros'!L192</f>
        <v>25-32</v>
      </c>
      <c r="N194" t="str">
        <f>Processing!I195</f>
        <v>DEN (SD 25-32)</v>
      </c>
    </row>
    <row r="195" spans="2:14" x14ac:dyDescent="0.25">
      <c r="B195">
        <f>Processing!D196</f>
        <v>26122</v>
      </c>
      <c r="C195" t="str">
        <f>Processing!F196</f>
        <v>40G9</v>
      </c>
      <c r="D195">
        <f>'Final list of total hauls pros'!C193</f>
        <v>26</v>
      </c>
      <c r="E195">
        <f>'Final list of total hauls pros'!D193</f>
        <v>56</v>
      </c>
      <c r="F195">
        <f>'Final list of total hauls pros'!E193</f>
        <v>0.1</v>
      </c>
      <c r="G195">
        <f>'Final list of total hauls pros'!F193</f>
        <v>19</v>
      </c>
      <c r="H195">
        <f>'Final list of total hauls pros'!G193</f>
        <v>17.899999999999999</v>
      </c>
      <c r="I195">
        <f>'Final list of total hauls pros'!H193</f>
        <v>5</v>
      </c>
      <c r="J195" t="str">
        <f>'Final list of total hauls pros'!I193</f>
        <v>LTU</v>
      </c>
      <c r="K195" s="13">
        <f>'Final list of total hauls pros'!J193</f>
        <v>56.001666666666701</v>
      </c>
      <c r="L195" s="13">
        <f>'Final list of total hauls pros'!K193</f>
        <v>19.2983333333333</v>
      </c>
      <c r="M195" t="str">
        <f>'Final list of total hauls pros'!L193</f>
        <v>25-32</v>
      </c>
      <c r="N195" t="str">
        <f>Processing!I196</f>
        <v>POL (SD 25-32)</v>
      </c>
    </row>
    <row r="196" spans="2:14" x14ac:dyDescent="0.25">
      <c r="B196">
        <f>Processing!D197</f>
        <v>26124</v>
      </c>
      <c r="C196" t="str">
        <f>Processing!F197</f>
        <v>41G8</v>
      </c>
      <c r="D196">
        <f>'Final list of total hauls pros'!C194</f>
        <v>26</v>
      </c>
      <c r="E196">
        <f>'Final list of total hauls pros'!D194</f>
        <v>56</v>
      </c>
      <c r="F196">
        <f>'Final list of total hauls pros'!E194</f>
        <v>17</v>
      </c>
      <c r="G196">
        <f>'Final list of total hauls pros'!F194</f>
        <v>18</v>
      </c>
      <c r="H196">
        <f>'Final list of total hauls pros'!G194</f>
        <v>32</v>
      </c>
      <c r="I196">
        <f>'Final list of total hauls pros'!H194</f>
        <v>5</v>
      </c>
      <c r="J196" t="str">
        <f>'Final list of total hauls pros'!I194</f>
        <v>SWE</v>
      </c>
      <c r="K196" s="13">
        <f>'Final list of total hauls pros'!J194</f>
        <v>56.283333333333303</v>
      </c>
      <c r="L196" s="13">
        <f>'Final list of total hauls pros'!K194</f>
        <v>18.533333333333299</v>
      </c>
      <c r="M196" t="str">
        <f>'Final list of total hauls pros'!L194</f>
        <v>25-32</v>
      </c>
      <c r="N196" t="str">
        <f>Processing!I197</f>
        <v>POL (SD 25-32)</v>
      </c>
    </row>
    <row r="197" spans="2:14" x14ac:dyDescent="0.25">
      <c r="B197">
        <f>Processing!D198</f>
        <v>26125</v>
      </c>
      <c r="C197" t="str">
        <f>Processing!F198</f>
        <v>42G8</v>
      </c>
      <c r="D197">
        <f>'Final list of total hauls pros'!C195</f>
        <v>26</v>
      </c>
      <c r="E197">
        <f>'Final list of total hauls pros'!D195</f>
        <v>56</v>
      </c>
      <c r="F197">
        <f>'Final list of total hauls pros'!E195</f>
        <v>24.08</v>
      </c>
      <c r="G197">
        <f>'Final list of total hauls pros'!F195</f>
        <v>18</v>
      </c>
      <c r="H197">
        <f>'Final list of total hauls pros'!G195</f>
        <v>36.479999999999997</v>
      </c>
      <c r="I197">
        <f>'Final list of total hauls pros'!H195</f>
        <v>5</v>
      </c>
      <c r="J197" t="str">
        <f>'Final list of total hauls pros'!I195</f>
        <v>SWE</v>
      </c>
      <c r="K197" s="13">
        <f>'Final list of total hauls pros'!J195</f>
        <v>56.401333333333298</v>
      </c>
      <c r="L197" s="13">
        <f>'Final list of total hauls pros'!K195</f>
        <v>18.608000000000001</v>
      </c>
      <c r="M197" t="str">
        <f>'Final list of total hauls pros'!L195</f>
        <v>25-32</v>
      </c>
      <c r="N197" t="str">
        <f>Processing!I198</f>
        <v>POL (SD 25-32)</v>
      </c>
    </row>
    <row r="198" spans="2:14" x14ac:dyDescent="0.25">
      <c r="B198">
        <f>Processing!D199</f>
        <v>26131</v>
      </c>
      <c r="C198" t="str">
        <f>Processing!F199</f>
        <v>37G9</v>
      </c>
      <c r="D198">
        <f>'Final list of total hauls pros'!C196</f>
        <v>26</v>
      </c>
      <c r="E198">
        <f>'Final list of total hauls pros'!D196</f>
        <v>54</v>
      </c>
      <c r="F198">
        <f>'Final list of total hauls pros'!E196</f>
        <v>24</v>
      </c>
      <c r="G198">
        <f>'Final list of total hauls pros'!F196</f>
        <v>19</v>
      </c>
      <c r="H198">
        <f>'Final list of total hauls pros'!G196</f>
        <v>2.4</v>
      </c>
      <c r="I198">
        <f>'Final list of total hauls pros'!H196</f>
        <v>2</v>
      </c>
      <c r="J198" t="str">
        <f>'Final list of total hauls pros'!I196</f>
        <v>POL</v>
      </c>
      <c r="K198" s="13">
        <f>'Final list of total hauls pros'!J196</f>
        <v>54.4</v>
      </c>
      <c r="L198" s="13">
        <f>'Final list of total hauls pros'!K196</f>
        <v>19.04</v>
      </c>
      <c r="M198" t="str">
        <f>'Final list of total hauls pros'!L196</f>
        <v>25-32</v>
      </c>
      <c r="N198" t="str">
        <f>Processing!I199</f>
        <v>POL (SD 25-32)</v>
      </c>
    </row>
    <row r="199" spans="2:14" x14ac:dyDescent="0.25">
      <c r="B199">
        <f>Processing!D200</f>
        <v>26133</v>
      </c>
      <c r="C199" t="str">
        <f>Processing!F200</f>
        <v>38G8</v>
      </c>
      <c r="D199">
        <f>'Final list of total hauls pros'!C197</f>
        <v>26</v>
      </c>
      <c r="E199">
        <f>'Final list of total hauls pros'!D197</f>
        <v>54</v>
      </c>
      <c r="F199">
        <f>'Final list of total hauls pros'!E197</f>
        <v>42.1</v>
      </c>
      <c r="G199">
        <f>'Final list of total hauls pros'!F197</f>
        <v>18</v>
      </c>
      <c r="H199">
        <f>'Final list of total hauls pros'!G197</f>
        <v>46.6</v>
      </c>
      <c r="I199">
        <f>'Final list of total hauls pros'!H197</f>
        <v>3</v>
      </c>
      <c r="J199" t="str">
        <f>'Final list of total hauls pros'!I197</f>
        <v>POL</v>
      </c>
      <c r="K199" s="13">
        <f>'Final list of total hauls pros'!J197</f>
        <v>54.701666666666704</v>
      </c>
      <c r="L199" s="13">
        <f>'Final list of total hauls pros'!K197</f>
        <v>18.776666666666699</v>
      </c>
      <c r="M199" t="str">
        <f>'Final list of total hauls pros'!L197</f>
        <v>25-32</v>
      </c>
      <c r="N199" t="str">
        <f>Processing!I200</f>
        <v>POL (SD 25-32)</v>
      </c>
    </row>
    <row r="200" spans="2:14" x14ac:dyDescent="0.25">
      <c r="B200">
        <f>Processing!D201</f>
        <v>26138</v>
      </c>
      <c r="C200" t="str">
        <f>Processing!F201</f>
        <v>40G8</v>
      </c>
      <c r="D200">
        <f>'Final list of total hauls pros'!C198</f>
        <v>26</v>
      </c>
      <c r="E200">
        <f>'Final list of total hauls pros'!D198</f>
        <v>55</v>
      </c>
      <c r="F200">
        <f>'Final list of total hauls pros'!E198</f>
        <v>52.8</v>
      </c>
      <c r="G200">
        <f>'Final list of total hauls pros'!F198</f>
        <v>18</v>
      </c>
      <c r="H200">
        <f>'Final list of total hauls pros'!G198</f>
        <v>49</v>
      </c>
      <c r="I200">
        <f>'Final list of total hauls pros'!H198</f>
        <v>6</v>
      </c>
      <c r="J200" t="str">
        <f>'Final list of total hauls pros'!I198</f>
        <v>POL</v>
      </c>
      <c r="K200" s="13">
        <f>'Final list of total hauls pros'!J198</f>
        <v>55.88</v>
      </c>
      <c r="L200" s="13">
        <f>'Final list of total hauls pros'!K198</f>
        <v>18.816666666666698</v>
      </c>
      <c r="M200" t="str">
        <f>'Final list of total hauls pros'!L198</f>
        <v>25-32</v>
      </c>
      <c r="N200" t="str">
        <f>Processing!I201</f>
        <v>POL (SD 25-32)</v>
      </c>
    </row>
    <row r="201" spans="2:14" x14ac:dyDescent="0.25">
      <c r="B201">
        <f>Processing!D202</f>
        <v>26140</v>
      </c>
      <c r="C201" t="str">
        <f>Processing!F202</f>
        <v>41G8</v>
      </c>
      <c r="D201">
        <f>'Final list of total hauls pros'!C199</f>
        <v>26</v>
      </c>
      <c r="E201">
        <f>'Final list of total hauls pros'!D199</f>
        <v>56</v>
      </c>
      <c r="F201">
        <f>'Final list of total hauls pros'!E199</f>
        <v>0.4</v>
      </c>
      <c r="G201">
        <f>'Final list of total hauls pros'!F199</f>
        <v>18</v>
      </c>
      <c r="H201">
        <f>'Final list of total hauls pros'!G199</f>
        <v>54.1</v>
      </c>
      <c r="I201">
        <f>'Final list of total hauls pros'!H199</f>
        <v>6</v>
      </c>
      <c r="J201" t="str">
        <f>'Final list of total hauls pros'!I199</f>
        <v>SWE</v>
      </c>
      <c r="K201" s="13">
        <f>'Final list of total hauls pros'!J199</f>
        <v>56.006666666666703</v>
      </c>
      <c r="L201" s="13">
        <f>'Final list of total hauls pros'!K199</f>
        <v>18.901666666666699</v>
      </c>
      <c r="M201" t="str">
        <f>'Final list of total hauls pros'!L199</f>
        <v>25-32</v>
      </c>
      <c r="N201" t="str">
        <f>Processing!I202</f>
        <v>POL (SD 25-32)</v>
      </c>
    </row>
    <row r="202" spans="2:14" x14ac:dyDescent="0.25">
      <c r="B202">
        <f>Processing!D203</f>
        <v>26141</v>
      </c>
      <c r="C202" t="str">
        <f>Processing!F203</f>
        <v>41G8</v>
      </c>
      <c r="D202">
        <f>'Final list of total hauls pros'!C200</f>
        <v>26</v>
      </c>
      <c r="E202">
        <f>'Final list of total hauls pros'!D200</f>
        <v>56</v>
      </c>
      <c r="F202">
        <f>'Final list of total hauls pros'!E200</f>
        <v>19</v>
      </c>
      <c r="G202">
        <f>'Final list of total hauls pros'!F200</f>
        <v>18</v>
      </c>
      <c r="H202">
        <f>'Final list of total hauls pros'!G200</f>
        <v>40</v>
      </c>
      <c r="I202">
        <f>'Final list of total hauls pros'!H200</f>
        <v>6</v>
      </c>
      <c r="J202" t="str">
        <f>'Final list of total hauls pros'!I200</f>
        <v>SWE</v>
      </c>
      <c r="K202" s="13">
        <f>'Final list of total hauls pros'!J200</f>
        <v>56.316666666666698</v>
      </c>
      <c r="L202" s="13">
        <f>'Final list of total hauls pros'!K200</f>
        <v>18.6666666666667</v>
      </c>
      <c r="M202" t="str">
        <f>'Final list of total hauls pros'!L200</f>
        <v>25-32</v>
      </c>
      <c r="N202" t="str">
        <f>Processing!I203</f>
        <v>POL (SD 25-32)</v>
      </c>
    </row>
    <row r="203" spans="2:14" x14ac:dyDescent="0.25">
      <c r="B203">
        <f>Processing!D204</f>
        <v>26142</v>
      </c>
      <c r="C203" t="str">
        <f>Processing!F204</f>
        <v>41G9</v>
      </c>
      <c r="D203">
        <f>'Final list of total hauls pros'!C201</f>
        <v>26</v>
      </c>
      <c r="E203">
        <f>'Final list of total hauls pros'!D201</f>
        <v>56</v>
      </c>
      <c r="F203">
        <f>'Final list of total hauls pros'!E201</f>
        <v>12</v>
      </c>
      <c r="G203">
        <f>'Final list of total hauls pros'!F201</f>
        <v>19</v>
      </c>
      <c r="H203">
        <f>'Final list of total hauls pros'!G201</f>
        <v>28</v>
      </c>
      <c r="I203">
        <f>'Final list of total hauls pros'!H201</f>
        <v>6</v>
      </c>
      <c r="J203" t="str">
        <f>'Final list of total hauls pros'!I201</f>
        <v>LAT</v>
      </c>
      <c r="K203" s="13">
        <f>'Final list of total hauls pros'!J201</f>
        <v>56.2</v>
      </c>
      <c r="L203" s="13">
        <f>'Final list of total hauls pros'!K201</f>
        <v>19.466666666666701</v>
      </c>
      <c r="M203" t="str">
        <f>'Final list of total hauls pros'!L201</f>
        <v>25-32</v>
      </c>
      <c r="N203" t="str">
        <f>Processing!I204</f>
        <v>POL (SD 25-32)</v>
      </c>
    </row>
    <row r="204" spans="2:14" x14ac:dyDescent="0.25">
      <c r="B204">
        <f>Processing!D205</f>
        <v>26144</v>
      </c>
      <c r="C204" t="str">
        <f>Processing!F205</f>
        <v>41G9</v>
      </c>
      <c r="D204">
        <f>'Final list of total hauls pros'!C202</f>
        <v>26</v>
      </c>
      <c r="E204">
        <f>'Final list of total hauls pros'!D202</f>
        <v>56</v>
      </c>
      <c r="F204">
        <f>'Final list of total hauls pros'!E202</f>
        <v>22</v>
      </c>
      <c r="G204">
        <f>'Final list of total hauls pros'!F202</f>
        <v>19</v>
      </c>
      <c r="H204">
        <f>'Final list of total hauls pros'!G202</f>
        <v>29</v>
      </c>
      <c r="I204">
        <f>'Final list of total hauls pros'!H202</f>
        <v>6</v>
      </c>
      <c r="J204" t="str">
        <f>'Final list of total hauls pros'!I202</f>
        <v>LAT</v>
      </c>
      <c r="K204" s="13">
        <f>'Final list of total hauls pros'!J202</f>
        <v>56.366666666666703</v>
      </c>
      <c r="L204" s="13">
        <f>'Final list of total hauls pros'!K202</f>
        <v>19.483333333333299</v>
      </c>
      <c r="M204" t="str">
        <f>'Final list of total hauls pros'!L202</f>
        <v>25-32</v>
      </c>
      <c r="N204" t="str">
        <f>Processing!I205</f>
        <v>POL (SD 25-32)</v>
      </c>
    </row>
    <row r="205" spans="2:14" x14ac:dyDescent="0.25">
      <c r="B205">
        <f>Processing!D206</f>
        <v>26145</v>
      </c>
      <c r="C205" t="str">
        <f>Processing!F206</f>
        <v>41G9</v>
      </c>
      <c r="D205">
        <f>'Final list of total hauls pros'!C203</f>
        <v>26</v>
      </c>
      <c r="E205">
        <f>'Final list of total hauls pros'!D203</f>
        <v>56</v>
      </c>
      <c r="F205">
        <f>'Final list of total hauls pros'!E203</f>
        <v>27.9</v>
      </c>
      <c r="G205">
        <f>'Final list of total hauls pros'!F203</f>
        <v>19</v>
      </c>
      <c r="H205">
        <f>'Final list of total hauls pros'!G203</f>
        <v>49.7</v>
      </c>
      <c r="I205">
        <f>'Final list of total hauls pros'!H203</f>
        <v>6</v>
      </c>
      <c r="J205" t="str">
        <f>'Final list of total hauls pros'!I203</f>
        <v>LAT</v>
      </c>
      <c r="K205" s="13">
        <f>'Final list of total hauls pros'!J203</f>
        <v>56.465000000000003</v>
      </c>
      <c r="L205" s="13">
        <f>'Final list of total hauls pros'!K203</f>
        <v>19.828333333333301</v>
      </c>
      <c r="M205" t="str">
        <f>'Final list of total hauls pros'!L203</f>
        <v>25-32</v>
      </c>
      <c r="N205" t="str">
        <f>Processing!I206</f>
        <v>POL (SD 25-32)</v>
      </c>
    </row>
    <row r="206" spans="2:14" x14ac:dyDescent="0.25">
      <c r="B206">
        <f>Processing!D207</f>
        <v>26161</v>
      </c>
      <c r="C206" t="str">
        <f>Processing!F207</f>
        <v>40G7</v>
      </c>
      <c r="D206">
        <f>'Final list of total hauls pros'!C204</f>
        <v>26</v>
      </c>
      <c r="E206">
        <f>'Final list of total hauls pros'!D204</f>
        <v>55</v>
      </c>
      <c r="F206">
        <f>'Final list of total hauls pros'!E204</f>
        <v>28.8</v>
      </c>
      <c r="G206">
        <f>'Final list of total hauls pros'!F204</f>
        <v>18</v>
      </c>
      <c r="H206">
        <f>'Final list of total hauls pros'!G204</f>
        <v>18.100000000000001</v>
      </c>
      <c r="I206">
        <f>'Final list of total hauls pros'!H204</f>
        <v>5</v>
      </c>
      <c r="J206" t="str">
        <f>'Final list of total hauls pros'!I204</f>
        <v>POL</v>
      </c>
      <c r="K206" s="13">
        <f>'Final list of total hauls pros'!J204</f>
        <v>55.48</v>
      </c>
      <c r="L206" s="13">
        <f>'Final list of total hauls pros'!K204</f>
        <v>18.301666666666701</v>
      </c>
      <c r="M206" t="str">
        <f>'Final list of total hauls pros'!L204</f>
        <v>25-32</v>
      </c>
      <c r="N206" t="str">
        <f>Processing!I207</f>
        <v>DEN (SD 25-32)</v>
      </c>
    </row>
    <row r="207" spans="2:14" x14ac:dyDescent="0.25">
      <c r="B207">
        <f>Processing!D208</f>
        <v>26165</v>
      </c>
      <c r="C207" t="str">
        <f>Processing!F208</f>
        <v>39G8</v>
      </c>
      <c r="D207">
        <f>'Final list of total hauls pros'!C205</f>
        <v>26</v>
      </c>
      <c r="E207">
        <f>'Final list of total hauls pros'!D205</f>
        <v>55</v>
      </c>
      <c r="F207">
        <f>'Final list of total hauls pros'!E205</f>
        <v>26</v>
      </c>
      <c r="G207">
        <f>'Final list of total hauls pros'!F205</f>
        <v>18</v>
      </c>
      <c r="H207">
        <f>'Final list of total hauls pros'!G205</f>
        <v>34</v>
      </c>
      <c r="I207">
        <f>'Final list of total hauls pros'!H205</f>
        <v>5</v>
      </c>
      <c r="J207" t="str">
        <f>'Final list of total hauls pros'!I205</f>
        <v>POL</v>
      </c>
      <c r="K207" s="13">
        <f>'Final list of total hauls pros'!J205</f>
        <v>55.433333333333302</v>
      </c>
      <c r="L207" s="13">
        <f>'Final list of total hauls pros'!K205</f>
        <v>18.566666666666698</v>
      </c>
      <c r="M207" t="str">
        <f>'Final list of total hauls pros'!L205</f>
        <v>25-32</v>
      </c>
      <c r="N207" t="str">
        <f>Processing!I208</f>
        <v>DEN (SD 25-32)</v>
      </c>
    </row>
    <row r="208" spans="2:14" x14ac:dyDescent="0.25">
      <c r="B208">
        <f>Processing!D209</f>
        <v>26170</v>
      </c>
      <c r="C208" t="str">
        <f>Processing!F209</f>
        <v>41G8</v>
      </c>
      <c r="D208">
        <f>'Final list of total hauls pros'!C206</f>
        <v>26</v>
      </c>
      <c r="E208">
        <f>'Final list of total hauls pros'!D206</f>
        <v>56</v>
      </c>
      <c r="F208">
        <f>'Final list of total hauls pros'!E206</f>
        <v>9.8905600000000007</v>
      </c>
      <c r="G208">
        <f>'Final list of total hauls pros'!F206</f>
        <v>18</v>
      </c>
      <c r="H208">
        <f>'Final list of total hauls pros'!G206</f>
        <v>20.27</v>
      </c>
      <c r="I208">
        <f>'Final list of total hauls pros'!H206</f>
        <v>4</v>
      </c>
      <c r="J208" t="str">
        <f>'Final list of total hauls pros'!I206</f>
        <v>SWE</v>
      </c>
      <c r="K208" s="13">
        <f>'Final list of total hauls pros'!J206</f>
        <v>56.164842666666701</v>
      </c>
      <c r="L208" s="13">
        <f>'Final list of total hauls pros'!K206</f>
        <v>18.3378333333333</v>
      </c>
      <c r="M208" t="str">
        <f>'Final list of total hauls pros'!L206</f>
        <v>25-32</v>
      </c>
      <c r="N208" t="str">
        <f>Processing!I209</f>
        <v>POL (SD 25-32)</v>
      </c>
    </row>
    <row r="209" spans="2:14" x14ac:dyDescent="0.25">
      <c r="B209">
        <f>Processing!D210</f>
        <v>26172</v>
      </c>
      <c r="C209" t="str">
        <f>Processing!F210</f>
        <v>40G8</v>
      </c>
      <c r="D209">
        <f>'Final list of total hauls pros'!C207</f>
        <v>26</v>
      </c>
      <c r="E209">
        <f>'Final list of total hauls pros'!D207</f>
        <v>55</v>
      </c>
      <c r="F209">
        <f>'Final list of total hauls pros'!E207</f>
        <v>31.8</v>
      </c>
      <c r="G209">
        <f>'Final list of total hauls pros'!F207</f>
        <v>18</v>
      </c>
      <c r="H209">
        <f>'Final list of total hauls pros'!G207</f>
        <v>10.7</v>
      </c>
      <c r="I209">
        <f>'Final list of total hauls pros'!H207</f>
        <v>5</v>
      </c>
      <c r="J209" t="str">
        <f>'Final list of total hauls pros'!I207</f>
        <v>POL</v>
      </c>
      <c r="K209" s="13">
        <f>'Final list of total hauls pros'!J207</f>
        <v>55.53</v>
      </c>
      <c r="L209" s="13">
        <f>'Final list of total hauls pros'!K207</f>
        <v>18.178333333333299</v>
      </c>
      <c r="M209" t="str">
        <f>'Final list of total hauls pros'!L207</f>
        <v>25-32</v>
      </c>
      <c r="N209" t="str">
        <f>Processing!I210</f>
        <v>DEN (SD 25-32)</v>
      </c>
    </row>
    <row r="210" spans="2:14" x14ac:dyDescent="0.25">
      <c r="B210">
        <f>Processing!D211</f>
        <v>26177</v>
      </c>
      <c r="C210" t="str">
        <f>Processing!F211</f>
        <v>38G8</v>
      </c>
      <c r="D210">
        <f>'Final list of total hauls pros'!C208</f>
        <v>26</v>
      </c>
      <c r="E210">
        <f>'Final list of total hauls pros'!D208</f>
        <v>54</v>
      </c>
      <c r="F210">
        <f>'Final list of total hauls pros'!E208</f>
        <v>54</v>
      </c>
      <c r="G210">
        <f>'Final list of total hauls pros'!F208</f>
        <v>18</v>
      </c>
      <c r="H210">
        <f>'Final list of total hauls pros'!G208</f>
        <v>10</v>
      </c>
      <c r="I210">
        <f>'Final list of total hauls pros'!H208</f>
        <v>2</v>
      </c>
      <c r="J210" t="str">
        <f>'Final list of total hauls pros'!I208</f>
        <v>POL</v>
      </c>
      <c r="K210" s="13">
        <f>'Final list of total hauls pros'!J208</f>
        <v>54.9</v>
      </c>
      <c r="L210" s="13">
        <f>'Final list of total hauls pros'!K208</f>
        <v>18.1666666666667</v>
      </c>
      <c r="M210" t="str">
        <f>'Final list of total hauls pros'!L208</f>
        <v>25-32</v>
      </c>
      <c r="N210" t="str">
        <f>Processing!I211</f>
        <v>POL (SD 25-32)</v>
      </c>
    </row>
    <row r="211" spans="2:14" x14ac:dyDescent="0.25">
      <c r="B211">
        <f>Processing!D212</f>
        <v>26182</v>
      </c>
      <c r="C211" t="str">
        <f>Processing!F212</f>
        <v>41G8</v>
      </c>
      <c r="D211">
        <f>'Final list of total hauls pros'!C209</f>
        <v>26</v>
      </c>
      <c r="E211">
        <f>'Final list of total hauls pros'!D209</f>
        <v>55</v>
      </c>
      <c r="F211">
        <f>'Final list of total hauls pros'!E209</f>
        <v>2.8</v>
      </c>
      <c r="G211">
        <f>'Final list of total hauls pros'!F209</f>
        <v>18</v>
      </c>
      <c r="H211">
        <f>'Final list of total hauls pros'!G209</f>
        <v>18.7</v>
      </c>
      <c r="I211">
        <f>'Final list of total hauls pros'!H209</f>
        <v>4</v>
      </c>
      <c r="J211" t="str">
        <f>'Final list of total hauls pros'!I209</f>
        <v>POL</v>
      </c>
      <c r="K211" s="13">
        <f>'Final list of total hauls pros'!J209</f>
        <v>55.046666666666702</v>
      </c>
      <c r="L211" s="13">
        <f>'Final list of total hauls pros'!K209</f>
        <v>18.311666666666699</v>
      </c>
      <c r="M211" t="str">
        <f>'Final list of total hauls pros'!L209</f>
        <v>25-32</v>
      </c>
      <c r="N211" t="str">
        <f>Processing!I212</f>
        <v>POL (SD 25-32)</v>
      </c>
    </row>
    <row r="212" spans="2:14" x14ac:dyDescent="0.25">
      <c r="B212">
        <f>Processing!D213</f>
        <v>26191</v>
      </c>
      <c r="C212" t="str">
        <f>Processing!F213</f>
        <v>40G9</v>
      </c>
      <c r="D212">
        <f>'Final list of total hauls pros'!C210</f>
        <v>26</v>
      </c>
      <c r="E212">
        <f>'Final list of total hauls pros'!D210</f>
        <v>54</v>
      </c>
      <c r="F212">
        <f>'Final list of total hauls pros'!E210</f>
        <v>40.700000000000003</v>
      </c>
      <c r="G212">
        <f>'Final list of total hauls pros'!F210</f>
        <v>19</v>
      </c>
      <c r="H212">
        <f>'Final list of total hauls pros'!G210</f>
        <v>17.8</v>
      </c>
      <c r="I212">
        <f>'Final list of total hauls pros'!H210</f>
        <v>5</v>
      </c>
      <c r="J212" t="str">
        <f>'Final list of total hauls pros'!I210</f>
        <v>POL</v>
      </c>
      <c r="K212" s="13">
        <f>'Final list of total hauls pros'!J210</f>
        <v>54.678333333333299</v>
      </c>
      <c r="L212" s="13">
        <f>'Final list of total hauls pros'!K210</f>
        <v>19.296666666666699</v>
      </c>
      <c r="M212" t="str">
        <f>'Final list of total hauls pros'!L210</f>
        <v>25-32</v>
      </c>
      <c r="N212" t="str">
        <f>Processing!I213</f>
        <v>POL (SD 25-32)</v>
      </c>
    </row>
    <row r="213" spans="2:14" x14ac:dyDescent="0.25">
      <c r="B213">
        <f>Processing!D214</f>
        <v>26199</v>
      </c>
      <c r="C213" t="str">
        <f>Processing!F214</f>
        <v>41G9</v>
      </c>
      <c r="D213">
        <f>'Final list of total hauls pros'!C211</f>
        <v>26</v>
      </c>
      <c r="E213">
        <f>'Final list of total hauls pros'!D211</f>
        <v>56</v>
      </c>
      <c r="F213">
        <f>'Final list of total hauls pros'!E211</f>
        <v>22.8</v>
      </c>
      <c r="G213">
        <f>'Final list of total hauls pros'!F211</f>
        <v>19</v>
      </c>
      <c r="H213">
        <f>'Final list of total hauls pros'!G211</f>
        <v>42.4</v>
      </c>
      <c r="I213">
        <f>'Final list of total hauls pros'!H211</f>
        <v>6</v>
      </c>
      <c r="J213" t="str">
        <f>'Final list of total hauls pros'!I211</f>
        <v>LAT</v>
      </c>
      <c r="K213" s="13">
        <f>'Final list of total hauls pros'!J211</f>
        <v>56.38</v>
      </c>
      <c r="L213" s="13">
        <f>'Final list of total hauls pros'!K211</f>
        <v>19.706666666666699</v>
      </c>
      <c r="M213" t="str">
        <f>'Final list of total hauls pros'!L211</f>
        <v>25-32</v>
      </c>
      <c r="N213" t="str">
        <f>Processing!I214</f>
        <v>POL (SD 25-32)</v>
      </c>
    </row>
    <row r="214" spans="2:14" x14ac:dyDescent="0.25">
      <c r="B214">
        <f>Processing!D215</f>
        <v>26205</v>
      </c>
      <c r="C214" t="str">
        <f>Processing!F215</f>
        <v>40H0</v>
      </c>
      <c r="D214">
        <f>'Final list of total hauls pros'!C212</f>
        <v>26</v>
      </c>
      <c r="E214">
        <f>'Final list of total hauls pros'!D212</f>
        <v>55</v>
      </c>
      <c r="F214">
        <f>'Final list of total hauls pros'!E212</f>
        <v>45.5</v>
      </c>
      <c r="G214">
        <f>'Final list of total hauls pros'!F212</f>
        <v>20</v>
      </c>
      <c r="H214">
        <f>'Final list of total hauls pros'!G212</f>
        <v>22.2</v>
      </c>
      <c r="I214">
        <f>'Final list of total hauls pros'!H212</f>
        <v>3</v>
      </c>
      <c r="J214" t="str">
        <f>'Final list of total hauls pros'!I212</f>
        <v>LTU</v>
      </c>
      <c r="K214" s="13">
        <f>'Final list of total hauls pros'!J212</f>
        <v>55.758333333333297</v>
      </c>
      <c r="L214" s="13">
        <f>'Final list of total hauls pros'!K212</f>
        <v>20.37</v>
      </c>
      <c r="M214" t="str">
        <f>'Final list of total hauls pros'!L212</f>
        <v>25-32</v>
      </c>
      <c r="N214" t="str">
        <f>Processing!I215</f>
        <v>LTU (SD 25-32)</v>
      </c>
    </row>
    <row r="215" spans="2:14" x14ac:dyDescent="0.25">
      <c r="B215">
        <f>Processing!D216</f>
        <v>26206</v>
      </c>
      <c r="C215" t="str">
        <f>Processing!F216</f>
        <v>40H0</v>
      </c>
      <c r="D215">
        <f>'Final list of total hauls pros'!C213</f>
        <v>26</v>
      </c>
      <c r="E215">
        <f>'Final list of total hauls pros'!D213</f>
        <v>55</v>
      </c>
      <c r="F215">
        <f>'Final list of total hauls pros'!E213</f>
        <v>45.8</v>
      </c>
      <c r="G215">
        <f>'Final list of total hauls pros'!F213</f>
        <v>20</v>
      </c>
      <c r="H215">
        <f>'Final list of total hauls pros'!G213</f>
        <v>20</v>
      </c>
      <c r="I215">
        <f>'Final list of total hauls pros'!H213</f>
        <v>3</v>
      </c>
      <c r="J215" t="str">
        <f>'Final list of total hauls pros'!I213</f>
        <v>LTU</v>
      </c>
      <c r="K215" s="13">
        <f>'Final list of total hauls pros'!J213</f>
        <v>55.7633333333333</v>
      </c>
      <c r="L215" s="13">
        <f>'Final list of total hauls pros'!K213</f>
        <v>20.3333333333333</v>
      </c>
      <c r="M215" t="str">
        <f>'Final list of total hauls pros'!L213</f>
        <v>25-32</v>
      </c>
      <c r="N215" t="str">
        <f>Processing!I216</f>
        <v>LTU (SD 25-32)</v>
      </c>
    </row>
    <row r="216" spans="2:14" x14ac:dyDescent="0.25">
      <c r="B216">
        <f>Processing!D217</f>
        <v>26209</v>
      </c>
      <c r="C216" t="str">
        <f>Processing!F217</f>
        <v>41G9</v>
      </c>
      <c r="D216">
        <f>'Final list of total hauls pros'!C214</f>
        <v>26</v>
      </c>
      <c r="E216">
        <f>'Final list of total hauls pros'!D214</f>
        <v>56</v>
      </c>
      <c r="F216">
        <f>'Final list of total hauls pros'!E214</f>
        <v>18</v>
      </c>
      <c r="G216">
        <f>'Final list of total hauls pros'!F214</f>
        <v>19</v>
      </c>
      <c r="H216">
        <f>'Final list of total hauls pros'!G214</f>
        <v>31.5</v>
      </c>
      <c r="I216">
        <f>'Final list of total hauls pros'!H214</f>
        <v>6</v>
      </c>
      <c r="J216" t="str">
        <f>'Final list of total hauls pros'!I214</f>
        <v>LAT</v>
      </c>
      <c r="K216" s="13">
        <f>'Final list of total hauls pros'!J214</f>
        <v>56.3</v>
      </c>
      <c r="L216" s="13">
        <f>'Final list of total hauls pros'!K214</f>
        <v>19.524999999999999</v>
      </c>
      <c r="M216" t="str">
        <f>'Final list of total hauls pros'!L214</f>
        <v>25-32</v>
      </c>
      <c r="N216" t="str">
        <f>Processing!I217</f>
        <v>POL (SD 25-32)</v>
      </c>
    </row>
    <row r="217" spans="2:14" x14ac:dyDescent="0.25">
      <c r="B217">
        <f>Processing!D218</f>
        <v>26211</v>
      </c>
      <c r="C217" t="str">
        <f>Processing!F218</f>
        <v>38G9</v>
      </c>
      <c r="D217">
        <f>'Final list of total hauls pros'!C215</f>
        <v>26</v>
      </c>
      <c r="E217">
        <f>'Final list of total hauls pros'!D215</f>
        <v>54</v>
      </c>
      <c r="F217">
        <f>'Final list of total hauls pros'!E215</f>
        <v>30.6</v>
      </c>
      <c r="G217">
        <f>'Final list of total hauls pros'!F215</f>
        <v>19</v>
      </c>
      <c r="H217">
        <f>'Final list of total hauls pros'!G215</f>
        <v>21</v>
      </c>
      <c r="I217">
        <f>'Final list of total hauls pros'!H215</f>
        <v>4</v>
      </c>
      <c r="J217" t="str">
        <f>'Final list of total hauls pros'!I215</f>
        <v>POL</v>
      </c>
      <c r="K217" s="13">
        <f>'Final list of total hauls pros'!J215</f>
        <v>54.51</v>
      </c>
      <c r="L217" s="13">
        <f>'Final list of total hauls pros'!K215</f>
        <v>19.350000000000001</v>
      </c>
      <c r="M217" t="str">
        <f>'Final list of total hauls pros'!L215</f>
        <v>25-32</v>
      </c>
      <c r="N217" t="str">
        <f>Processing!I218</f>
        <v>POL (SD 25-32)</v>
      </c>
    </row>
    <row r="218" spans="2:14" x14ac:dyDescent="0.25">
      <c r="B218">
        <f>Processing!D219</f>
        <v>26216</v>
      </c>
      <c r="C218" t="str">
        <f>Processing!F219</f>
        <v>37G9</v>
      </c>
      <c r="D218">
        <f>'Final list of total hauls pros'!C216</f>
        <v>26</v>
      </c>
      <c r="E218">
        <f>'Final list of total hauls pros'!D216</f>
        <v>54</v>
      </c>
      <c r="F218">
        <f>'Final list of total hauls pros'!E216</f>
        <v>23.9</v>
      </c>
      <c r="G218">
        <f>'Final list of total hauls pros'!F216</f>
        <v>19</v>
      </c>
      <c r="H218">
        <f>'Final list of total hauls pros'!G216</f>
        <v>16.3</v>
      </c>
      <c r="I218">
        <f>'Final list of total hauls pros'!H216</f>
        <v>2</v>
      </c>
      <c r="J218" t="str">
        <f>'Final list of total hauls pros'!I216</f>
        <v>POL</v>
      </c>
      <c r="K218" s="13">
        <f>'Final list of total hauls pros'!J216</f>
        <v>54.398333333333298</v>
      </c>
      <c r="L218" s="13">
        <f>'Final list of total hauls pros'!K216</f>
        <v>19.2716666666667</v>
      </c>
      <c r="M218" t="str">
        <f>'Final list of total hauls pros'!L216</f>
        <v>25-32</v>
      </c>
      <c r="N218" t="str">
        <f>Processing!I219</f>
        <v>POL (SD 25-32)</v>
      </c>
    </row>
    <row r="219" spans="2:14" x14ac:dyDescent="0.25">
      <c r="B219">
        <f>Processing!D220</f>
        <v>26219</v>
      </c>
      <c r="C219" t="str">
        <f>Processing!F220</f>
        <v>37G8</v>
      </c>
      <c r="D219">
        <f>'Final list of total hauls pros'!C217</f>
        <v>26</v>
      </c>
      <c r="E219">
        <f>'Final list of total hauls pros'!D217</f>
        <v>54</v>
      </c>
      <c r="F219">
        <f>'Final list of total hauls pros'!E217</f>
        <v>23.5</v>
      </c>
      <c r="G219">
        <f>'Final list of total hauls pros'!F217</f>
        <v>18</v>
      </c>
      <c r="H219">
        <f>'Final list of total hauls pros'!G217</f>
        <v>58.5</v>
      </c>
      <c r="I219">
        <f>'Final list of total hauls pros'!H217</f>
        <v>2</v>
      </c>
      <c r="J219" t="str">
        <f>'Final list of total hauls pros'!I217</f>
        <v>POL</v>
      </c>
      <c r="K219" s="13">
        <f>'Final list of total hauls pros'!J217</f>
        <v>54.391666666666701</v>
      </c>
      <c r="L219" s="13">
        <f>'Final list of total hauls pros'!K217</f>
        <v>18.975000000000001</v>
      </c>
      <c r="M219" t="str">
        <f>'Final list of total hauls pros'!L217</f>
        <v>25-32</v>
      </c>
      <c r="N219" t="str">
        <f>Processing!I220</f>
        <v>POL (SD 25-32)</v>
      </c>
    </row>
    <row r="220" spans="2:14" x14ac:dyDescent="0.25">
      <c r="B220">
        <f>Processing!D221</f>
        <v>26220</v>
      </c>
      <c r="C220" t="str">
        <f>Processing!F221</f>
        <v>37G9</v>
      </c>
      <c r="D220">
        <f>'Final list of total hauls pros'!C218</f>
        <v>26</v>
      </c>
      <c r="E220">
        <f>'Final list of total hauls pros'!D218</f>
        <v>54</v>
      </c>
      <c r="F220">
        <f>'Final list of total hauls pros'!E218</f>
        <v>25.1</v>
      </c>
      <c r="G220">
        <f>'Final list of total hauls pros'!F218</f>
        <v>19</v>
      </c>
      <c r="H220">
        <f>'Final list of total hauls pros'!G218</f>
        <v>5.0999999999999996</v>
      </c>
      <c r="I220">
        <f>'Final list of total hauls pros'!H218</f>
        <v>3</v>
      </c>
      <c r="J220" t="str">
        <f>'Final list of total hauls pros'!I218</f>
        <v>POL</v>
      </c>
      <c r="K220" s="13">
        <f>'Final list of total hauls pros'!J218</f>
        <v>54.418333333333301</v>
      </c>
      <c r="L220" s="13">
        <f>'Final list of total hauls pros'!K218</f>
        <v>19.085000000000001</v>
      </c>
      <c r="M220" t="str">
        <f>'Final list of total hauls pros'!L218</f>
        <v>25-32</v>
      </c>
      <c r="N220" t="str">
        <f>Processing!I221</f>
        <v>POL (SD 25-32)</v>
      </c>
    </row>
    <row r="221" spans="2:14" x14ac:dyDescent="0.25">
      <c r="B221">
        <f>Processing!D222</f>
        <v>26221</v>
      </c>
      <c r="C221" t="str">
        <f>Processing!F222</f>
        <v>40G8</v>
      </c>
      <c r="D221">
        <f>'Final list of total hauls pros'!C219</f>
        <v>26</v>
      </c>
      <c r="E221">
        <f>'Final list of total hauls pros'!D219</f>
        <v>55</v>
      </c>
      <c r="F221">
        <f>'Final list of total hauls pros'!E219</f>
        <v>55.2</v>
      </c>
      <c r="G221">
        <f>'Final list of total hauls pros'!F219</f>
        <v>18</v>
      </c>
      <c r="H221">
        <f>'Final list of total hauls pros'!G219</f>
        <v>35.21</v>
      </c>
      <c r="I221">
        <f>'Final list of total hauls pros'!H219</f>
        <v>6</v>
      </c>
      <c r="J221" t="str">
        <f>'Final list of total hauls pros'!I219</f>
        <v>SWE</v>
      </c>
      <c r="K221" s="13">
        <f>'Final list of total hauls pros'!J219</f>
        <v>55.92</v>
      </c>
      <c r="L221" s="13">
        <f>'Final list of total hauls pros'!K219</f>
        <v>18.586833333333299</v>
      </c>
      <c r="M221" t="str">
        <f>'Final list of total hauls pros'!L219</f>
        <v>25-32</v>
      </c>
      <c r="N221" t="str">
        <f>Processing!I222</f>
        <v>POL (SD 25-32)</v>
      </c>
    </row>
    <row r="222" spans="2:14" x14ac:dyDescent="0.25">
      <c r="B222">
        <f>Processing!D223</f>
        <v>26224</v>
      </c>
      <c r="C222" t="str">
        <f>Processing!F223</f>
        <v>41G8</v>
      </c>
      <c r="D222">
        <f>'Final list of total hauls pros'!C220</f>
        <v>26</v>
      </c>
      <c r="E222">
        <f>'Final list of total hauls pros'!D220</f>
        <v>56</v>
      </c>
      <c r="F222">
        <f>'Final list of total hauls pros'!E220</f>
        <v>22.01</v>
      </c>
      <c r="G222">
        <f>'Final list of total hauls pros'!F220</f>
        <v>18</v>
      </c>
      <c r="H222">
        <f>'Final list of total hauls pros'!G220</f>
        <v>26.8</v>
      </c>
      <c r="I222">
        <f>'Final list of total hauls pros'!H220</f>
        <v>2</v>
      </c>
      <c r="J222" t="str">
        <f>'Final list of total hauls pros'!I220</f>
        <v>SWE</v>
      </c>
      <c r="K222" s="13">
        <f>'Final list of total hauls pros'!J220</f>
        <v>56.366833333333297</v>
      </c>
      <c r="L222" s="13">
        <f>'Final list of total hauls pros'!K220</f>
        <v>18.446666666666701</v>
      </c>
      <c r="M222" t="str">
        <f>'Final list of total hauls pros'!L220</f>
        <v>25-32</v>
      </c>
      <c r="N222" t="str">
        <f>Processing!I223</f>
        <v>POL (SD 25-32)</v>
      </c>
    </row>
    <row r="223" spans="2:14" x14ac:dyDescent="0.25">
      <c r="B223">
        <f>Processing!D224</f>
        <v>26257</v>
      </c>
      <c r="C223" t="str">
        <f>Processing!F224</f>
        <v>38G9</v>
      </c>
      <c r="D223">
        <f>'Final list of total hauls pros'!C221</f>
        <v>26</v>
      </c>
      <c r="E223">
        <f>'Final list of total hauls pros'!D221</f>
        <v>54</v>
      </c>
      <c r="F223">
        <f>'Final list of total hauls pros'!E221</f>
        <v>55.5</v>
      </c>
      <c r="G223">
        <f>'Final list of total hauls pros'!F221</f>
        <v>19</v>
      </c>
      <c r="H223">
        <f>'Final list of total hauls pros'!G221</f>
        <v>3</v>
      </c>
      <c r="I223">
        <f>'Final list of total hauls pros'!H221</f>
        <v>6</v>
      </c>
      <c r="J223" t="str">
        <f>'Final list of total hauls pros'!I221</f>
        <v>POL</v>
      </c>
      <c r="K223" s="13">
        <f>'Final list of total hauls pros'!J221</f>
        <v>54.924999999999997</v>
      </c>
      <c r="L223" s="13">
        <f>'Final list of total hauls pros'!K221</f>
        <v>19.05</v>
      </c>
      <c r="M223" t="str">
        <f>'Final list of total hauls pros'!L221</f>
        <v>25-32</v>
      </c>
      <c r="N223" t="str">
        <f>Processing!I224</f>
        <v>POL (SD 25-32)</v>
      </c>
    </row>
    <row r="224" spans="2:14" x14ac:dyDescent="0.25">
      <c r="B224">
        <f>Processing!D225</f>
        <v>26258</v>
      </c>
      <c r="C224" t="str">
        <f>Processing!F225</f>
        <v>37G9</v>
      </c>
      <c r="D224">
        <f>'Final list of total hauls pros'!C222</f>
        <v>26</v>
      </c>
      <c r="E224">
        <f>'Final list of total hauls pros'!D222</f>
        <v>54</v>
      </c>
      <c r="F224">
        <f>'Final list of total hauls pros'!E222</f>
        <v>26.9</v>
      </c>
      <c r="G224">
        <f>'Final list of total hauls pros'!F222</f>
        <v>19</v>
      </c>
      <c r="H224">
        <f>'Final list of total hauls pros'!G222</f>
        <v>18</v>
      </c>
      <c r="I224">
        <f>'Final list of total hauls pros'!H222</f>
        <v>4</v>
      </c>
      <c r="J224" t="str">
        <f>'Final list of total hauls pros'!I222</f>
        <v>POL</v>
      </c>
      <c r="K224" s="13">
        <f>'Final list of total hauls pros'!J222</f>
        <v>54.448333333333302</v>
      </c>
      <c r="L224" s="13">
        <f>'Final list of total hauls pros'!K222</f>
        <v>19.3</v>
      </c>
      <c r="M224" t="str">
        <f>'Final list of total hauls pros'!L222</f>
        <v>25-32</v>
      </c>
      <c r="N224" t="str">
        <f>Processing!I225</f>
        <v>POL (SD 25-32)</v>
      </c>
    </row>
    <row r="225" spans="2:14" x14ac:dyDescent="0.25">
      <c r="B225">
        <f>Processing!D226</f>
        <v>26259</v>
      </c>
      <c r="C225" t="str">
        <f>Processing!F226</f>
        <v>41G9</v>
      </c>
      <c r="D225">
        <f>'Final list of total hauls pros'!C223</f>
        <v>26</v>
      </c>
      <c r="E225">
        <f>'Final list of total hauls pros'!D223</f>
        <v>56</v>
      </c>
      <c r="F225">
        <f>'Final list of total hauls pros'!E223</f>
        <v>22</v>
      </c>
      <c r="G225">
        <f>'Final list of total hauls pros'!F223</f>
        <v>19</v>
      </c>
      <c r="H225">
        <f>'Final list of total hauls pros'!G223</f>
        <v>52</v>
      </c>
      <c r="I225">
        <f>'Final list of total hauls pros'!H223</f>
        <v>5</v>
      </c>
      <c r="J225" t="str">
        <f>'Final list of total hauls pros'!I223</f>
        <v>LAT</v>
      </c>
      <c r="K225" s="13">
        <f>'Final list of total hauls pros'!J223</f>
        <v>56.366666666666703</v>
      </c>
      <c r="L225" s="13">
        <f>'Final list of total hauls pros'!K223</f>
        <v>19.866666666666699</v>
      </c>
      <c r="M225" t="str">
        <f>'Final list of total hauls pros'!L223</f>
        <v>25-32</v>
      </c>
      <c r="N225" t="str">
        <f>Processing!I226</f>
        <v>POL (SD 25-32)</v>
      </c>
    </row>
    <row r="226" spans="2:14" x14ac:dyDescent="0.25">
      <c r="B226">
        <f>Processing!D227</f>
        <v>26263</v>
      </c>
      <c r="C226" t="str">
        <f>Processing!F227</f>
        <v>37G8</v>
      </c>
      <c r="D226">
        <f>'Final list of total hauls pros'!C224</f>
        <v>26</v>
      </c>
      <c r="E226">
        <f>'Final list of total hauls pros'!D224</f>
        <v>54</v>
      </c>
      <c r="F226">
        <f>'Final list of total hauls pros'!E224</f>
        <v>23.7</v>
      </c>
      <c r="G226">
        <f>'Final list of total hauls pros'!F224</f>
        <v>18</v>
      </c>
      <c r="H226">
        <f>'Final list of total hauls pros'!G224</f>
        <v>59.5</v>
      </c>
      <c r="I226">
        <f>'Final list of total hauls pros'!H224</f>
        <v>2</v>
      </c>
      <c r="J226" t="str">
        <f>'Final list of total hauls pros'!I224</f>
        <v>POL</v>
      </c>
      <c r="K226" s="13">
        <f>'Final list of total hauls pros'!J224</f>
        <v>54.395000000000003</v>
      </c>
      <c r="L226" s="13">
        <f>'Final list of total hauls pros'!K224</f>
        <v>18.991666666666699</v>
      </c>
      <c r="M226" t="str">
        <f>'Final list of total hauls pros'!L224</f>
        <v>25-32</v>
      </c>
      <c r="N226" t="str">
        <f>Processing!I227</f>
        <v>POL (SD 25-32)</v>
      </c>
    </row>
    <row r="227" spans="2:14" x14ac:dyDescent="0.25">
      <c r="B227">
        <f>Processing!D228</f>
        <v>26264</v>
      </c>
      <c r="C227" t="str">
        <f>Processing!F228</f>
        <v>37G9</v>
      </c>
      <c r="D227">
        <f>'Final list of total hauls pros'!C225</f>
        <v>26</v>
      </c>
      <c r="E227">
        <f>'Final list of total hauls pros'!D225</f>
        <v>54</v>
      </c>
      <c r="F227">
        <f>'Final list of total hauls pros'!E225</f>
        <v>25.2</v>
      </c>
      <c r="G227">
        <f>'Final list of total hauls pros'!F225</f>
        <v>19</v>
      </c>
      <c r="H227">
        <f>'Final list of total hauls pros'!G225</f>
        <v>2.1</v>
      </c>
      <c r="I227">
        <f>'Final list of total hauls pros'!H225</f>
        <v>3</v>
      </c>
      <c r="J227" t="str">
        <f>'Final list of total hauls pros'!I225</f>
        <v>POL</v>
      </c>
      <c r="K227" s="13">
        <f>'Final list of total hauls pros'!J225</f>
        <v>54.42</v>
      </c>
      <c r="L227" s="13">
        <f>'Final list of total hauls pros'!K225</f>
        <v>19.035</v>
      </c>
      <c r="M227" t="str">
        <f>'Final list of total hauls pros'!L225</f>
        <v>25-32</v>
      </c>
      <c r="N227" t="str">
        <f>Processing!I228</f>
        <v>POL (SD 25-32)</v>
      </c>
    </row>
    <row r="228" spans="2:14" x14ac:dyDescent="0.25">
      <c r="B228">
        <f>Processing!D229</f>
        <v>26265</v>
      </c>
      <c r="C228" t="str">
        <f>Processing!F229</f>
        <v>37G9</v>
      </c>
      <c r="D228">
        <f>'Final list of total hauls pros'!C226</f>
        <v>26</v>
      </c>
      <c r="E228">
        <f>'Final list of total hauls pros'!D226</f>
        <v>54</v>
      </c>
      <c r="F228">
        <f>'Final list of total hauls pros'!E226</f>
        <v>26</v>
      </c>
      <c r="G228">
        <f>'Final list of total hauls pros'!F226</f>
        <v>19</v>
      </c>
      <c r="H228">
        <f>'Final list of total hauls pros'!G226</f>
        <v>6</v>
      </c>
      <c r="I228">
        <f>'Final list of total hauls pros'!H226</f>
        <v>3</v>
      </c>
      <c r="J228" t="str">
        <f>'Final list of total hauls pros'!I226</f>
        <v>POL</v>
      </c>
      <c r="K228" s="13">
        <f>'Final list of total hauls pros'!J226</f>
        <v>54.433333333333302</v>
      </c>
      <c r="L228" s="13">
        <f>'Final list of total hauls pros'!K226</f>
        <v>19.100000000000001</v>
      </c>
      <c r="M228" t="str">
        <f>'Final list of total hauls pros'!L226</f>
        <v>25-32</v>
      </c>
      <c r="N228" t="str">
        <f>Processing!I229</f>
        <v>POL (SD 25-32)</v>
      </c>
    </row>
    <row r="229" spans="2:14" x14ac:dyDescent="0.25">
      <c r="B229">
        <f>Processing!D230</f>
        <v>26266</v>
      </c>
      <c r="C229" t="str">
        <f>Processing!F230</f>
        <v>38G8</v>
      </c>
      <c r="D229">
        <f>'Final list of total hauls pros'!C227</f>
        <v>26</v>
      </c>
      <c r="E229">
        <f>'Final list of total hauls pros'!D227</f>
        <v>54</v>
      </c>
      <c r="F229">
        <f>'Final list of total hauls pros'!E227</f>
        <v>48.2</v>
      </c>
      <c r="G229">
        <f>'Final list of total hauls pros'!F227</f>
        <v>18</v>
      </c>
      <c r="H229">
        <f>'Final list of total hauls pros'!G227</f>
        <v>32.9</v>
      </c>
      <c r="I229">
        <f>'Final list of total hauls pros'!H227</f>
        <v>2</v>
      </c>
      <c r="J229" t="str">
        <f>'Final list of total hauls pros'!I227</f>
        <v>POL</v>
      </c>
      <c r="K229" s="13">
        <f>'Final list of total hauls pros'!J227</f>
        <v>54.803333333333299</v>
      </c>
      <c r="L229" s="13">
        <f>'Final list of total hauls pros'!K227</f>
        <v>18.5483333333333</v>
      </c>
      <c r="M229" t="str">
        <f>'Final list of total hauls pros'!L227</f>
        <v>25-32</v>
      </c>
      <c r="N229" t="str">
        <f>Processing!I230</f>
        <v>POL (SD 25-32)</v>
      </c>
    </row>
    <row r="230" spans="2:14" x14ac:dyDescent="0.25">
      <c r="B230">
        <f>Processing!D231</f>
        <v>26267</v>
      </c>
      <c r="C230" t="str">
        <f>Processing!F231</f>
        <v>38G8</v>
      </c>
      <c r="D230">
        <f>'Final list of total hauls pros'!C228</f>
        <v>26</v>
      </c>
      <c r="E230">
        <f>'Final list of total hauls pros'!D228</f>
        <v>54</v>
      </c>
      <c r="F230">
        <f>'Final list of total hauls pros'!E228</f>
        <v>54.6</v>
      </c>
      <c r="G230">
        <f>'Final list of total hauls pros'!F228</f>
        <v>18</v>
      </c>
      <c r="H230">
        <f>'Final list of total hauls pros'!G228</f>
        <v>36.1</v>
      </c>
      <c r="I230">
        <f>'Final list of total hauls pros'!H228</f>
        <v>3</v>
      </c>
      <c r="J230" t="str">
        <f>'Final list of total hauls pros'!I228</f>
        <v>POL</v>
      </c>
      <c r="K230" s="13">
        <f>'Final list of total hauls pros'!J228</f>
        <v>54.91</v>
      </c>
      <c r="L230" s="13">
        <f>'Final list of total hauls pros'!K228</f>
        <v>18.601666666666699</v>
      </c>
      <c r="M230" t="str">
        <f>'Final list of total hauls pros'!L228</f>
        <v>25-32</v>
      </c>
      <c r="N230" t="str">
        <f>Processing!I231</f>
        <v>POL (SD 25-32)</v>
      </c>
    </row>
    <row r="231" spans="2:14" x14ac:dyDescent="0.25">
      <c r="B231">
        <f>Processing!D232</f>
        <v>26268</v>
      </c>
      <c r="C231" t="str">
        <f>Processing!F232</f>
        <v>38G8</v>
      </c>
      <c r="D231">
        <f>'Final list of total hauls pros'!C229</f>
        <v>26</v>
      </c>
      <c r="E231">
        <f>'Final list of total hauls pros'!D229</f>
        <v>54</v>
      </c>
      <c r="F231">
        <f>'Final list of total hauls pros'!E229</f>
        <v>59.3</v>
      </c>
      <c r="G231">
        <f>'Final list of total hauls pros'!F229</f>
        <v>18</v>
      </c>
      <c r="H231">
        <f>'Final list of total hauls pros'!G229</f>
        <v>31.7</v>
      </c>
      <c r="I231">
        <f>'Final list of total hauls pros'!H229</f>
        <v>4</v>
      </c>
      <c r="J231" t="str">
        <f>'Final list of total hauls pros'!I229</f>
        <v>POL</v>
      </c>
      <c r="K231" s="13">
        <f>'Final list of total hauls pros'!J229</f>
        <v>54.988333333333301</v>
      </c>
      <c r="L231" s="13">
        <f>'Final list of total hauls pros'!K229</f>
        <v>18.5283333333333</v>
      </c>
      <c r="M231" t="str">
        <f>'Final list of total hauls pros'!L229</f>
        <v>25-32</v>
      </c>
      <c r="N231" t="str">
        <f>Processing!I232</f>
        <v>POL (SD 25-32)</v>
      </c>
    </row>
    <row r="232" spans="2:14" x14ac:dyDescent="0.25">
      <c r="B232">
        <f>Processing!D233</f>
        <v>26269</v>
      </c>
      <c r="C232" t="str">
        <f>Processing!F233</f>
        <v>38G9</v>
      </c>
      <c r="D232">
        <f>'Final list of total hauls pros'!C230</f>
        <v>26</v>
      </c>
      <c r="E232">
        <f>'Final list of total hauls pros'!D230</f>
        <v>54</v>
      </c>
      <c r="F232">
        <f>'Final list of total hauls pros'!E230</f>
        <v>36.700000000000003</v>
      </c>
      <c r="G232">
        <f>'Final list of total hauls pros'!F230</f>
        <v>19</v>
      </c>
      <c r="H232">
        <f>'Final list of total hauls pros'!G230</f>
        <v>9.1999999999999993</v>
      </c>
      <c r="I232">
        <f>'Final list of total hauls pros'!H230</f>
        <v>5</v>
      </c>
      <c r="J232" t="str">
        <f>'Final list of total hauls pros'!I230</f>
        <v>POL</v>
      </c>
      <c r="K232" s="13">
        <f>'Final list of total hauls pros'!J230</f>
        <v>54.6116666666667</v>
      </c>
      <c r="L232" s="13">
        <f>'Final list of total hauls pros'!K230</f>
        <v>19.1533333333333</v>
      </c>
      <c r="M232" t="str">
        <f>'Final list of total hauls pros'!L230</f>
        <v>25-32</v>
      </c>
      <c r="N232" t="str">
        <f>Processing!I233</f>
        <v>POL (SD 25-32)</v>
      </c>
    </row>
    <row r="233" spans="2:14" x14ac:dyDescent="0.25">
      <c r="B233">
        <f>Processing!D234</f>
        <v>26273</v>
      </c>
      <c r="C233" t="str">
        <f>Processing!F234</f>
        <v>39G8</v>
      </c>
      <c r="D233">
        <f>'Final list of total hauls pros'!C231</f>
        <v>26</v>
      </c>
      <c r="E233">
        <f>'Final list of total hauls pros'!D231</f>
        <v>55</v>
      </c>
      <c r="F233">
        <f>'Final list of total hauls pros'!E231</f>
        <v>7.9</v>
      </c>
      <c r="G233">
        <f>'Final list of total hauls pros'!F231</f>
        <v>18</v>
      </c>
      <c r="H233">
        <f>'Final list of total hauls pros'!G231</f>
        <v>43.4</v>
      </c>
      <c r="I233">
        <f>'Final list of total hauls pros'!H231</f>
        <v>5</v>
      </c>
      <c r="J233" t="str">
        <f>'Final list of total hauls pros'!I231</f>
        <v>POL</v>
      </c>
      <c r="K233" s="13">
        <f>'Final list of total hauls pros'!J231</f>
        <v>55.131666666666703</v>
      </c>
      <c r="L233" s="13">
        <f>'Final list of total hauls pros'!K231</f>
        <v>18.723333333333301</v>
      </c>
      <c r="M233" t="str">
        <f>'Final list of total hauls pros'!L231</f>
        <v>25-32</v>
      </c>
      <c r="N233" t="str">
        <f>Processing!I234</f>
        <v>POL (SD 25-32)</v>
      </c>
    </row>
    <row r="234" spans="2:14" x14ac:dyDescent="0.25">
      <c r="B234">
        <f>Processing!D235</f>
        <v>26274</v>
      </c>
      <c r="C234" t="str">
        <f>Processing!F235</f>
        <v>38G8</v>
      </c>
      <c r="D234">
        <f>'Final list of total hauls pros'!C232</f>
        <v>26</v>
      </c>
      <c r="E234">
        <f>'Final list of total hauls pros'!D232</f>
        <v>54</v>
      </c>
      <c r="F234">
        <f>'Final list of total hauls pros'!E232</f>
        <v>53.8</v>
      </c>
      <c r="G234">
        <f>'Final list of total hauls pros'!F232</f>
        <v>18</v>
      </c>
      <c r="H234">
        <f>'Final list of total hauls pros'!G232</f>
        <v>10.199999999999999</v>
      </c>
      <c r="I234">
        <f>'Final list of total hauls pros'!H232</f>
        <v>2</v>
      </c>
      <c r="J234" t="str">
        <f>'Final list of total hauls pros'!I232</f>
        <v>POL</v>
      </c>
      <c r="K234" s="13">
        <f>'Final list of total hauls pros'!J232</f>
        <v>54.896666666666697</v>
      </c>
      <c r="L234" s="13">
        <f>'Final list of total hauls pros'!K232</f>
        <v>18.170000000000002</v>
      </c>
      <c r="M234" t="str">
        <f>'Final list of total hauls pros'!L232</f>
        <v>25-32</v>
      </c>
      <c r="N234" t="str">
        <f>Processing!I235</f>
        <v>POL (SD 25-32)</v>
      </c>
    </row>
    <row r="235" spans="2:14" x14ac:dyDescent="0.25">
      <c r="B235">
        <f>Processing!D236</f>
        <v>26278</v>
      </c>
      <c r="C235" t="str">
        <f>Processing!F236</f>
        <v>38G8</v>
      </c>
      <c r="D235">
        <f>'Final list of total hauls pros'!C233</f>
        <v>26</v>
      </c>
      <c r="E235">
        <f>'Final list of total hauls pros'!D233</f>
        <v>54</v>
      </c>
      <c r="F235">
        <f>'Final list of total hauls pros'!E233</f>
        <v>59</v>
      </c>
      <c r="G235">
        <f>'Final list of total hauls pros'!F233</f>
        <v>18</v>
      </c>
      <c r="H235">
        <f>'Final list of total hauls pros'!G233</f>
        <v>46.2</v>
      </c>
      <c r="I235">
        <f>'Final list of total hauls pros'!H233</f>
        <v>5</v>
      </c>
      <c r="J235" t="str">
        <f>'Final list of total hauls pros'!I233</f>
        <v>POL</v>
      </c>
      <c r="K235" s="13">
        <f>'Final list of total hauls pros'!J233</f>
        <v>54.983333333333299</v>
      </c>
      <c r="L235" s="13">
        <f>'Final list of total hauls pros'!K233</f>
        <v>18.77</v>
      </c>
      <c r="M235" t="str">
        <f>'Final list of total hauls pros'!L233</f>
        <v>25-32</v>
      </c>
      <c r="N235" t="str">
        <f>Processing!I236</f>
        <v>POL (SD 25-32)</v>
      </c>
    </row>
    <row r="236" spans="2:14" x14ac:dyDescent="0.25">
      <c r="B236">
        <f>Processing!D237</f>
        <v>26279</v>
      </c>
      <c r="C236" t="str">
        <f>Processing!F237</f>
        <v>38G8</v>
      </c>
      <c r="D236">
        <f>'Final list of total hauls pros'!C234</f>
        <v>26</v>
      </c>
      <c r="E236">
        <f>'Final list of total hauls pros'!D234</f>
        <v>54</v>
      </c>
      <c r="F236">
        <f>'Final list of total hauls pros'!E234</f>
        <v>32.799999999999997</v>
      </c>
      <c r="G236">
        <f>'Final list of total hauls pros'!F234</f>
        <v>18</v>
      </c>
      <c r="H236">
        <f>'Final list of total hauls pros'!G234</f>
        <v>56.6</v>
      </c>
      <c r="I236">
        <f>'Final list of total hauls pros'!H234</f>
        <v>4</v>
      </c>
      <c r="J236" t="str">
        <f>'Final list of total hauls pros'!I234</f>
        <v>POL</v>
      </c>
      <c r="K236" s="13">
        <f>'Final list of total hauls pros'!J234</f>
        <v>54.546666666666702</v>
      </c>
      <c r="L236" s="13">
        <f>'Final list of total hauls pros'!K234</f>
        <v>18.9433333333333</v>
      </c>
      <c r="M236" t="str">
        <f>'Final list of total hauls pros'!L234</f>
        <v>25-32</v>
      </c>
      <c r="N236" t="str">
        <f>Processing!I237</f>
        <v>POL (SD 25-32)</v>
      </c>
    </row>
    <row r="237" spans="2:14" x14ac:dyDescent="0.25">
      <c r="B237">
        <f>Processing!D238</f>
        <v>26280</v>
      </c>
      <c r="C237" t="str">
        <f>Processing!F238</f>
        <v>38G8</v>
      </c>
      <c r="D237">
        <f>'Final list of total hauls pros'!C235</f>
        <v>26</v>
      </c>
      <c r="E237">
        <f>'Final list of total hauls pros'!D235</f>
        <v>54</v>
      </c>
      <c r="F237">
        <f>'Final list of total hauls pros'!E235</f>
        <v>29.6</v>
      </c>
      <c r="G237">
        <f>'Final list of total hauls pros'!F235</f>
        <v>18</v>
      </c>
      <c r="H237">
        <f>'Final list of total hauls pros'!G235</f>
        <v>53.4</v>
      </c>
      <c r="I237">
        <f>'Final list of total hauls pros'!H235</f>
        <v>4</v>
      </c>
      <c r="J237" t="str">
        <f>'Final list of total hauls pros'!I235</f>
        <v>POL</v>
      </c>
      <c r="K237" s="13">
        <f>'Final list of total hauls pros'!J235</f>
        <v>54.493333333333297</v>
      </c>
      <c r="L237" s="13">
        <f>'Final list of total hauls pros'!K235</f>
        <v>18.89</v>
      </c>
      <c r="M237" t="str">
        <f>'Final list of total hauls pros'!L235</f>
        <v>25-32</v>
      </c>
      <c r="N237" t="str">
        <f>Processing!I238</f>
        <v>POL (SD 25-32)</v>
      </c>
    </row>
    <row r="238" spans="2:14" x14ac:dyDescent="0.25">
      <c r="B238">
        <f>Processing!D239</f>
        <v>26281</v>
      </c>
      <c r="C238" t="str">
        <f>Processing!F239</f>
        <v>37G9</v>
      </c>
      <c r="D238">
        <f>'Final list of total hauls pros'!C236</f>
        <v>26</v>
      </c>
      <c r="E238">
        <f>'Final list of total hauls pros'!D236</f>
        <v>54</v>
      </c>
      <c r="F238">
        <f>'Final list of total hauls pros'!E236</f>
        <v>26.3</v>
      </c>
      <c r="G238">
        <f>'Final list of total hauls pros'!F236</f>
        <v>19</v>
      </c>
      <c r="H238">
        <f>'Final list of total hauls pros'!G236</f>
        <v>4</v>
      </c>
      <c r="I238">
        <f>'Final list of total hauls pros'!H236</f>
        <v>3</v>
      </c>
      <c r="J238" t="str">
        <f>'Final list of total hauls pros'!I236</f>
        <v>POL</v>
      </c>
      <c r="K238" s="13">
        <f>'Final list of total hauls pros'!J236</f>
        <v>54.438333333333297</v>
      </c>
      <c r="L238" s="13">
        <f>'Final list of total hauls pros'!K236</f>
        <v>19.066666666666698</v>
      </c>
      <c r="M238" t="str">
        <f>'Final list of total hauls pros'!L236</f>
        <v>25-32</v>
      </c>
      <c r="N238" t="str">
        <f>Processing!I239</f>
        <v>POL (SD 25-32)</v>
      </c>
    </row>
    <row r="239" spans="2:14" x14ac:dyDescent="0.25">
      <c r="B239">
        <f>Processing!D240</f>
        <v>26282</v>
      </c>
      <c r="C239" t="str">
        <f>Processing!F240</f>
        <v>37G9</v>
      </c>
      <c r="D239">
        <f>'Final list of total hauls pros'!C237</f>
        <v>26</v>
      </c>
      <c r="E239">
        <f>'Final list of total hauls pros'!D237</f>
        <v>54</v>
      </c>
      <c r="F239">
        <f>'Final list of total hauls pros'!E237</f>
        <v>25.3</v>
      </c>
      <c r="G239">
        <f>'Final list of total hauls pros'!F237</f>
        <v>19</v>
      </c>
      <c r="H239">
        <f>'Final list of total hauls pros'!G237</f>
        <v>3.9</v>
      </c>
      <c r="I239">
        <f>'Final list of total hauls pros'!H237</f>
        <v>3</v>
      </c>
      <c r="J239" t="str">
        <f>'Final list of total hauls pros'!I237</f>
        <v>POL</v>
      </c>
      <c r="K239" s="13">
        <f>'Final list of total hauls pros'!J237</f>
        <v>54.421666666666702</v>
      </c>
      <c r="L239" s="13">
        <f>'Final list of total hauls pros'!K237</f>
        <v>19.065000000000001</v>
      </c>
      <c r="M239" t="str">
        <f>'Final list of total hauls pros'!L237</f>
        <v>25-32</v>
      </c>
      <c r="N239" t="str">
        <f>Processing!I240</f>
        <v>POL (SD 25-32)</v>
      </c>
    </row>
    <row r="240" spans="2:14" x14ac:dyDescent="0.25">
      <c r="B240">
        <f>Processing!D241</f>
        <v>26289</v>
      </c>
      <c r="C240" t="str">
        <f>Processing!F241</f>
        <v>37G9</v>
      </c>
      <c r="D240">
        <f>'Final list of total hauls pros'!C238</f>
        <v>26</v>
      </c>
      <c r="E240">
        <f>'Final list of total hauls pros'!D238</f>
        <v>54</v>
      </c>
      <c r="F240">
        <f>'Final list of total hauls pros'!E238</f>
        <v>26.1</v>
      </c>
      <c r="G240">
        <f>'Final list of total hauls pros'!F238</f>
        <v>19</v>
      </c>
      <c r="H240">
        <f>'Final list of total hauls pros'!G238</f>
        <v>6.4</v>
      </c>
      <c r="I240">
        <f>'Final list of total hauls pros'!H238</f>
        <v>3</v>
      </c>
      <c r="J240" t="str">
        <f>'Final list of total hauls pros'!I238</f>
        <v>POL</v>
      </c>
      <c r="K240" s="13">
        <f>'Final list of total hauls pros'!J238</f>
        <v>54.435000000000002</v>
      </c>
      <c r="L240" s="13">
        <f>'Final list of total hauls pros'!K238</f>
        <v>19.106666666666701</v>
      </c>
      <c r="M240" t="str">
        <f>'Final list of total hauls pros'!L238</f>
        <v>25-32</v>
      </c>
      <c r="N240" t="str">
        <f>Processing!I241</f>
        <v>POL (SD 25-32)</v>
      </c>
    </row>
    <row r="241" spans="2:14" x14ac:dyDescent="0.25">
      <c r="B241">
        <f>Processing!D242</f>
        <v>27003</v>
      </c>
      <c r="C241" t="str">
        <f>Processing!F242</f>
        <v>43G7</v>
      </c>
      <c r="D241">
        <f>'Final list of total hauls pros'!C239</f>
        <v>27</v>
      </c>
      <c r="E241">
        <f>'Final list of total hauls pros'!D239</f>
        <v>57</v>
      </c>
      <c r="F241">
        <f>'Final list of total hauls pros'!E239</f>
        <v>24.8</v>
      </c>
      <c r="G241">
        <f>'Final list of total hauls pros'!F239</f>
        <v>17</v>
      </c>
      <c r="H241">
        <f>'Final list of total hauls pros'!G239</f>
        <v>1.5</v>
      </c>
      <c r="I241">
        <f>'Final list of total hauls pros'!H239</f>
        <v>3</v>
      </c>
      <c r="J241" t="str">
        <f>'Final list of total hauls pros'!I239</f>
        <v>SWE</v>
      </c>
      <c r="K241" s="13">
        <f>'Final list of total hauls pros'!J239</f>
        <v>57.413333333333298</v>
      </c>
      <c r="L241" s="13">
        <f>'Final list of total hauls pros'!K239</f>
        <v>17.024999999999999</v>
      </c>
      <c r="M241" t="str">
        <f>'Final list of total hauls pros'!L239</f>
        <v>25-32</v>
      </c>
      <c r="N241" t="str">
        <f>Processing!I242</f>
        <v>SWE (SD 25-32)</v>
      </c>
    </row>
    <row r="242" spans="2:14" x14ac:dyDescent="0.25">
      <c r="B242">
        <f>Processing!D243</f>
        <v>27005</v>
      </c>
      <c r="C242" t="str">
        <f>Processing!F243</f>
        <v>42G7</v>
      </c>
      <c r="D242">
        <f>'Final list of total hauls pros'!C240</f>
        <v>27</v>
      </c>
      <c r="E242">
        <f>'Final list of total hauls pros'!D240</f>
        <v>56</v>
      </c>
      <c r="F242">
        <f>'Final list of total hauls pros'!E240</f>
        <v>57.6</v>
      </c>
      <c r="G242">
        <f>'Final list of total hauls pros'!F240</f>
        <v>17</v>
      </c>
      <c r="H242">
        <f>'Final list of total hauls pros'!G240</f>
        <v>10.8</v>
      </c>
      <c r="I242">
        <f>'Final list of total hauls pros'!H240</f>
        <v>5</v>
      </c>
      <c r="J242" t="str">
        <f>'Final list of total hauls pros'!I240</f>
        <v>SWE</v>
      </c>
      <c r="K242" s="13">
        <f>'Final list of total hauls pros'!J240</f>
        <v>56.96</v>
      </c>
      <c r="L242" s="13">
        <f>'Final list of total hauls pros'!K240</f>
        <v>17.18</v>
      </c>
      <c r="M242" t="str">
        <f>'Final list of total hauls pros'!L240</f>
        <v>25-32</v>
      </c>
      <c r="N242" t="str">
        <f>Processing!I243</f>
        <v>SWE (SD 25-32)</v>
      </c>
    </row>
    <row r="243" spans="2:14" x14ac:dyDescent="0.25">
      <c r="B243">
        <f>Processing!D244</f>
        <v>27007</v>
      </c>
      <c r="C243" t="str">
        <f>Processing!F244</f>
        <v>43G7</v>
      </c>
      <c r="D243">
        <f>'Final list of total hauls pros'!C241</f>
        <v>27</v>
      </c>
      <c r="E243">
        <f>'Final list of total hauls pros'!D241</f>
        <v>56</v>
      </c>
      <c r="F243">
        <f>'Final list of total hauls pros'!E241</f>
        <v>59.35</v>
      </c>
      <c r="G243">
        <f>'Final list of total hauls pros'!F241</f>
        <v>17</v>
      </c>
      <c r="H243">
        <f>'Final list of total hauls pros'!G241</f>
        <v>56.63</v>
      </c>
      <c r="I243">
        <f>'Final list of total hauls pros'!H241</f>
        <v>4</v>
      </c>
      <c r="J243" t="str">
        <f>'Final list of total hauls pros'!I241</f>
        <v>SWE</v>
      </c>
      <c r="K243" s="13">
        <f>'Final list of total hauls pros'!J241</f>
        <v>56.989166666666698</v>
      </c>
      <c r="L243" s="13">
        <f>'Final list of total hauls pros'!K241</f>
        <v>17.943833333333298</v>
      </c>
      <c r="M243" t="str">
        <f>'Final list of total hauls pros'!L241</f>
        <v>25-32</v>
      </c>
      <c r="N243" t="str">
        <f>Processing!I244</f>
        <v>SWE (SD 25-32)</v>
      </c>
    </row>
    <row r="244" spans="2:14" x14ac:dyDescent="0.25">
      <c r="B244">
        <f>Processing!D245</f>
        <v>27009</v>
      </c>
      <c r="C244" t="str">
        <f>Processing!F245</f>
        <v>43G7</v>
      </c>
      <c r="D244">
        <f>'Final list of total hauls pros'!C242</f>
        <v>27</v>
      </c>
      <c r="E244">
        <f>'Final list of total hauls pros'!D242</f>
        <v>57</v>
      </c>
      <c r="F244">
        <f>'Final list of total hauls pros'!E242</f>
        <v>4</v>
      </c>
      <c r="G244">
        <f>'Final list of total hauls pros'!F242</f>
        <v>17</v>
      </c>
      <c r="H244">
        <f>'Final list of total hauls pros'!G242</f>
        <v>54</v>
      </c>
      <c r="I244">
        <f>'Final list of total hauls pros'!H242</f>
        <v>4</v>
      </c>
      <c r="J244" t="str">
        <f>'Final list of total hauls pros'!I242</f>
        <v>SWE</v>
      </c>
      <c r="K244" s="13">
        <f>'Final list of total hauls pros'!J242</f>
        <v>57.066666666666698</v>
      </c>
      <c r="L244" s="13">
        <f>'Final list of total hauls pros'!K242</f>
        <v>17.899999999999999</v>
      </c>
      <c r="M244" t="str">
        <f>'Final list of total hauls pros'!L242</f>
        <v>25-32</v>
      </c>
      <c r="N244" t="str">
        <f>Processing!I245</f>
        <v>SWE (SD 25-32)</v>
      </c>
    </row>
    <row r="245" spans="2:14" x14ac:dyDescent="0.25">
      <c r="B245">
        <f>Processing!D246</f>
        <v>27011</v>
      </c>
      <c r="C245" t="str">
        <f>Processing!F246</f>
        <v>43G7</v>
      </c>
      <c r="D245">
        <f>'Final list of total hauls pros'!C243</f>
        <v>27</v>
      </c>
      <c r="E245">
        <f>'Final list of total hauls pros'!D243</f>
        <v>57</v>
      </c>
      <c r="F245">
        <f>'Final list of total hauls pros'!E243</f>
        <v>27.5</v>
      </c>
      <c r="G245">
        <f>'Final list of total hauls pros'!F243</f>
        <v>17</v>
      </c>
      <c r="H245">
        <f>'Final list of total hauls pros'!G243</f>
        <v>32.799999999999997</v>
      </c>
      <c r="I245">
        <f>'Final list of total hauls pros'!H243</f>
        <v>5</v>
      </c>
      <c r="J245" t="str">
        <f>'Final list of total hauls pros'!I243</f>
        <v>SWE</v>
      </c>
      <c r="K245" s="13">
        <f>'Final list of total hauls pros'!J243</f>
        <v>57.4583333333333</v>
      </c>
      <c r="L245" s="13">
        <f>'Final list of total hauls pros'!K243</f>
        <v>17.546666666666699</v>
      </c>
      <c r="M245" t="str">
        <f>'Final list of total hauls pros'!L243</f>
        <v>25-32</v>
      </c>
      <c r="N245" t="str">
        <f>Processing!I246</f>
        <v>SWE (SD 25-32)</v>
      </c>
    </row>
    <row r="246" spans="2:14" x14ac:dyDescent="0.25">
      <c r="B246">
        <f>Processing!D247</f>
        <v>27017</v>
      </c>
      <c r="C246" t="str">
        <f>Processing!F247</f>
        <v>43G7</v>
      </c>
      <c r="D246">
        <f>'Final list of total hauls pros'!C244</f>
        <v>27</v>
      </c>
      <c r="E246">
        <f>'Final list of total hauls pros'!D244</f>
        <v>57</v>
      </c>
      <c r="F246">
        <f>'Final list of total hauls pros'!E244</f>
        <v>30</v>
      </c>
      <c r="G246">
        <f>'Final list of total hauls pros'!F244</f>
        <v>17</v>
      </c>
      <c r="H246">
        <f>'Final list of total hauls pros'!G244</f>
        <v>43</v>
      </c>
      <c r="I246">
        <f>'Final list of total hauls pros'!H244</f>
        <v>5</v>
      </c>
      <c r="J246" t="str">
        <f>'Final list of total hauls pros'!I244</f>
        <v>SWE</v>
      </c>
      <c r="K246" s="13">
        <f>'Final list of total hauls pros'!J244</f>
        <v>57.5</v>
      </c>
      <c r="L246" s="13">
        <f>'Final list of total hauls pros'!K244</f>
        <v>17.716666666666701</v>
      </c>
      <c r="M246" t="str">
        <f>'Final list of total hauls pros'!L244</f>
        <v>25-32</v>
      </c>
      <c r="N246" t="str">
        <f>Processing!I247</f>
        <v>SWE (SD 25-32)</v>
      </c>
    </row>
    <row r="247" spans="2:14" x14ac:dyDescent="0.25">
      <c r="B247">
        <f>Processing!D248</f>
        <v>27019</v>
      </c>
      <c r="C247" t="str">
        <f>Processing!F248</f>
        <v>44G8</v>
      </c>
      <c r="D247">
        <f>'Final list of total hauls pros'!C245</f>
        <v>27</v>
      </c>
      <c r="E247">
        <f>'Final list of total hauls pros'!D245</f>
        <v>57</v>
      </c>
      <c r="F247">
        <f>'Final list of total hauls pros'!E245</f>
        <v>42.8</v>
      </c>
      <c r="G247">
        <f>'Final list of total hauls pros'!F245</f>
        <v>18</v>
      </c>
      <c r="H247">
        <f>'Final list of total hauls pros'!G245</f>
        <v>16.2</v>
      </c>
      <c r="I247">
        <f>'Final list of total hauls pros'!H245</f>
        <v>5</v>
      </c>
      <c r="J247" t="str">
        <f>'Final list of total hauls pros'!I245</f>
        <v>SWE</v>
      </c>
      <c r="K247" s="13">
        <f>'Final list of total hauls pros'!J245</f>
        <v>57.713333333333303</v>
      </c>
      <c r="L247" s="13">
        <f>'Final list of total hauls pros'!K245</f>
        <v>18.27</v>
      </c>
      <c r="M247" t="str">
        <f>'Final list of total hauls pros'!L245</f>
        <v>25-32</v>
      </c>
      <c r="N247" t="str">
        <f>Processing!I248</f>
        <v>SWE (SD 25-32)</v>
      </c>
    </row>
    <row r="248" spans="2:14" x14ac:dyDescent="0.25">
      <c r="B248">
        <f>Processing!D249</f>
        <v>27020</v>
      </c>
      <c r="C248" t="str">
        <f>Processing!F249</f>
        <v>43G6</v>
      </c>
      <c r="D248">
        <f>'Final list of total hauls pros'!C246</f>
        <v>27</v>
      </c>
      <c r="E248">
        <f>'Final list of total hauls pros'!D246</f>
        <v>57</v>
      </c>
      <c r="F248">
        <f>'Final list of total hauls pros'!E246</f>
        <v>21.9</v>
      </c>
      <c r="G248">
        <f>'Final list of total hauls pros'!F246</f>
        <v>16</v>
      </c>
      <c r="H248">
        <f>'Final list of total hauls pros'!G246</f>
        <v>55.1</v>
      </c>
      <c r="I248">
        <f>'Final list of total hauls pros'!H246</f>
        <v>3</v>
      </c>
      <c r="J248" t="str">
        <f>'Final list of total hauls pros'!I246</f>
        <v>SWE</v>
      </c>
      <c r="K248" s="13">
        <f>'Final list of total hauls pros'!J246</f>
        <v>57.365000000000002</v>
      </c>
      <c r="L248" s="13">
        <f>'Final list of total hauls pros'!K246</f>
        <v>16.918333333333301</v>
      </c>
      <c r="M248" t="str">
        <f>'Final list of total hauls pros'!L246</f>
        <v>25-32</v>
      </c>
      <c r="N248" t="str">
        <f>Processing!I249</f>
        <v>SWE (SD 25-32)</v>
      </c>
    </row>
    <row r="249" spans="2:14" x14ac:dyDescent="0.25">
      <c r="B249">
        <f>Processing!D250</f>
        <v>27022</v>
      </c>
      <c r="C249" t="str">
        <f>Processing!F250</f>
        <v>42G6</v>
      </c>
      <c r="D249">
        <f>'Final list of total hauls pros'!C247</f>
        <v>27</v>
      </c>
      <c r="E249">
        <f>'Final list of total hauls pros'!D247</f>
        <v>56</v>
      </c>
      <c r="F249">
        <f>'Final list of total hauls pros'!E247</f>
        <v>42.2</v>
      </c>
      <c r="G249">
        <f>'Final list of total hauls pros'!F247</f>
        <v>16</v>
      </c>
      <c r="H249">
        <f>'Final list of total hauls pros'!G247</f>
        <v>59.1</v>
      </c>
      <c r="I249">
        <f>'Final list of total hauls pros'!H247</f>
        <v>4</v>
      </c>
      <c r="J249" t="str">
        <f>'Final list of total hauls pros'!I247</f>
        <v>SWE</v>
      </c>
      <c r="K249" s="13">
        <f>'Final list of total hauls pros'!J247</f>
        <v>56.703333333333298</v>
      </c>
      <c r="L249" s="13">
        <f>'Final list of total hauls pros'!K247</f>
        <v>16.984999999999999</v>
      </c>
      <c r="M249" t="str">
        <f>'Final list of total hauls pros'!L247</f>
        <v>25-32</v>
      </c>
      <c r="N249" t="str">
        <f>Processing!I250</f>
        <v>SWE (SD 25-32)</v>
      </c>
    </row>
    <row r="250" spans="2:14" x14ac:dyDescent="0.25">
      <c r="B250">
        <f>Processing!D251</f>
        <v>27029</v>
      </c>
      <c r="C250" t="str">
        <f>Processing!F251</f>
        <v>43G7</v>
      </c>
      <c r="D250">
        <f>'Final list of total hauls pros'!C248</f>
        <v>27</v>
      </c>
      <c r="E250">
        <f>'Final list of total hauls pros'!D248</f>
        <v>57</v>
      </c>
      <c r="F250">
        <f>'Final list of total hauls pros'!E248</f>
        <v>18.13</v>
      </c>
      <c r="G250">
        <f>'Final list of total hauls pros'!F248</f>
        <v>17</v>
      </c>
      <c r="H250">
        <f>'Final list of total hauls pros'!G248</f>
        <v>24.98</v>
      </c>
      <c r="I250">
        <f>'Final list of total hauls pros'!H248</f>
        <v>4</v>
      </c>
      <c r="J250" t="str">
        <f>'Final list of total hauls pros'!I248</f>
        <v>SWE</v>
      </c>
      <c r="K250" s="13">
        <f>'Final list of total hauls pros'!J248</f>
        <v>57.3021666666667</v>
      </c>
      <c r="L250" s="13">
        <f>'Final list of total hauls pros'!K248</f>
        <v>17.416333333333299</v>
      </c>
      <c r="M250" t="str">
        <f>'Final list of total hauls pros'!L248</f>
        <v>25-32</v>
      </c>
      <c r="N250" t="str">
        <f>Processing!I251</f>
        <v>SWE (SD 25-32)</v>
      </c>
    </row>
    <row r="251" spans="2:14" x14ac:dyDescent="0.25">
      <c r="B251">
        <f>Processing!D252</f>
        <v>28002</v>
      </c>
      <c r="C251" t="str">
        <f>Processing!F252</f>
        <v>42H0</v>
      </c>
      <c r="D251">
        <f>'Final list of total hauls pros'!C249</f>
        <v>28</v>
      </c>
      <c r="E251">
        <f>'Final list of total hauls pros'!D249</f>
        <v>56</v>
      </c>
      <c r="F251">
        <f>'Final list of total hauls pros'!E249</f>
        <v>36.5</v>
      </c>
      <c r="G251">
        <f>'Final list of total hauls pros'!F249</f>
        <v>20</v>
      </c>
      <c r="H251">
        <f>'Final list of total hauls pros'!G249</f>
        <v>41.3</v>
      </c>
      <c r="I251">
        <f>'Final list of total hauls pros'!H249</f>
        <v>3</v>
      </c>
      <c r="J251" t="str">
        <f>'Final list of total hauls pros'!I249</f>
        <v>LAT</v>
      </c>
      <c r="K251" s="13">
        <f>'Final list of total hauls pros'!J249</f>
        <v>56.608333333333299</v>
      </c>
      <c r="L251" s="13">
        <f>'Final list of total hauls pros'!K249</f>
        <v>20.688333333333301</v>
      </c>
      <c r="M251" t="str">
        <f>'Final list of total hauls pros'!L249</f>
        <v>25-32</v>
      </c>
      <c r="N251" t="str">
        <f>Processing!I252</f>
        <v>LAT (SD 25-32)</v>
      </c>
    </row>
    <row r="252" spans="2:14" x14ac:dyDescent="0.25">
      <c r="B252">
        <f>Processing!D253</f>
        <v>28009</v>
      </c>
      <c r="C252" t="str">
        <f>Processing!F253</f>
        <v>43H1</v>
      </c>
      <c r="D252">
        <f>'Final list of total hauls pros'!C250</f>
        <v>28</v>
      </c>
      <c r="E252">
        <f>'Final list of total hauls pros'!D250</f>
        <v>57</v>
      </c>
      <c r="F252">
        <f>'Final list of total hauls pros'!E250</f>
        <v>24.2</v>
      </c>
      <c r="G252">
        <f>'Final list of total hauls pros'!F250</f>
        <v>21</v>
      </c>
      <c r="H252">
        <f>'Final list of total hauls pros'!G250</f>
        <v>20.7</v>
      </c>
      <c r="I252">
        <f>'Final list of total hauls pros'!H250</f>
        <v>2</v>
      </c>
      <c r="J252" t="str">
        <f>'Final list of total hauls pros'!I250</f>
        <v>LAT</v>
      </c>
      <c r="K252" s="13">
        <f>'Final list of total hauls pros'!J250</f>
        <v>57.4033333333333</v>
      </c>
      <c r="L252" s="13">
        <f>'Final list of total hauls pros'!K250</f>
        <v>21.344999999999999</v>
      </c>
      <c r="M252" t="str">
        <f>'Final list of total hauls pros'!L250</f>
        <v>25-32</v>
      </c>
      <c r="N252" t="str">
        <f>Processing!I253</f>
        <v>LAT (SD 25-32)</v>
      </c>
    </row>
    <row r="253" spans="2:14" x14ac:dyDescent="0.25">
      <c r="B253">
        <f>Processing!D254</f>
        <v>28016</v>
      </c>
      <c r="C253" t="str">
        <f>Processing!F254</f>
        <v>43G8</v>
      </c>
      <c r="D253">
        <f>'Final list of total hauls pros'!C251</f>
        <v>28</v>
      </c>
      <c r="E253">
        <f>'Final list of total hauls pros'!D251</f>
        <v>57</v>
      </c>
      <c r="F253">
        <f>'Final list of total hauls pros'!E251</f>
        <v>10</v>
      </c>
      <c r="G253">
        <f>'Final list of total hauls pros'!F251</f>
        <v>18</v>
      </c>
      <c r="H253">
        <f>'Final list of total hauls pros'!G251</f>
        <v>51</v>
      </c>
      <c r="I253">
        <f>'Final list of total hauls pros'!H251</f>
        <v>3</v>
      </c>
      <c r="J253" t="str">
        <f>'Final list of total hauls pros'!I251</f>
        <v>SWE</v>
      </c>
      <c r="K253" s="13">
        <f>'Final list of total hauls pros'!J251</f>
        <v>57.1666666666667</v>
      </c>
      <c r="L253" s="13">
        <f>'Final list of total hauls pros'!K251</f>
        <v>18.850000000000001</v>
      </c>
      <c r="M253" t="str">
        <f>'Final list of total hauls pros'!L251</f>
        <v>25-32</v>
      </c>
      <c r="N253" t="str">
        <f>Processing!I254</f>
        <v>SWE (SD 25-32)</v>
      </c>
    </row>
    <row r="254" spans="2:14" x14ac:dyDescent="0.25">
      <c r="B254">
        <f>Processing!D255</f>
        <v>28017</v>
      </c>
      <c r="C254" t="str">
        <f>Processing!F255</f>
        <v>43H0</v>
      </c>
      <c r="D254">
        <f>'Final list of total hauls pros'!C252</f>
        <v>28</v>
      </c>
      <c r="E254">
        <f>'Final list of total hauls pros'!D252</f>
        <v>57</v>
      </c>
      <c r="F254">
        <f>'Final list of total hauls pros'!E252</f>
        <v>13.5</v>
      </c>
      <c r="G254">
        <f>'Final list of total hauls pros'!F252</f>
        <v>20</v>
      </c>
      <c r="H254">
        <f>'Final list of total hauls pros'!G252</f>
        <v>44.8</v>
      </c>
      <c r="I254">
        <f>'Final list of total hauls pros'!H252</f>
        <v>3</v>
      </c>
      <c r="J254" t="str">
        <f>'Final list of total hauls pros'!I252</f>
        <v>LAT</v>
      </c>
      <c r="K254" s="13">
        <f>'Final list of total hauls pros'!J252</f>
        <v>57.225000000000001</v>
      </c>
      <c r="L254" s="13">
        <f>'Final list of total hauls pros'!K252</f>
        <v>20.746666666666702</v>
      </c>
      <c r="M254" t="str">
        <f>'Final list of total hauls pros'!L252</f>
        <v>25-32</v>
      </c>
      <c r="N254" t="str">
        <f>Processing!I255</f>
        <v>LAT (SD 25-32)</v>
      </c>
    </row>
    <row r="255" spans="2:14" x14ac:dyDescent="0.25">
      <c r="B255">
        <f>Processing!D256</f>
        <v>28023</v>
      </c>
      <c r="C255" t="str">
        <f>Processing!F256</f>
        <v>43H1</v>
      </c>
      <c r="D255">
        <f>'Final list of total hauls pros'!C253</f>
        <v>28</v>
      </c>
      <c r="E255">
        <f>'Final list of total hauls pros'!D253</f>
        <v>57</v>
      </c>
      <c r="F255">
        <f>'Final list of total hauls pros'!E253</f>
        <v>25.7</v>
      </c>
      <c r="G255">
        <f>'Final list of total hauls pros'!F253</f>
        <v>21</v>
      </c>
      <c r="H255">
        <f>'Final list of total hauls pros'!G253</f>
        <v>16.600000000000001</v>
      </c>
      <c r="I255">
        <f>'Final list of total hauls pros'!H253</f>
        <v>4</v>
      </c>
      <c r="J255" t="str">
        <f>'Final list of total hauls pros'!I253</f>
        <v>LAT</v>
      </c>
      <c r="K255" s="13">
        <f>'Final list of total hauls pros'!J253</f>
        <v>57.428333333333299</v>
      </c>
      <c r="L255" s="13">
        <f>'Final list of total hauls pros'!K253</f>
        <v>21.276666666666699</v>
      </c>
      <c r="M255" t="str">
        <f>'Final list of total hauls pros'!L253</f>
        <v>25-32</v>
      </c>
      <c r="N255" t="str">
        <f>Processing!I256</f>
        <v>LAT (SD 25-32)</v>
      </c>
    </row>
    <row r="256" spans="2:14" x14ac:dyDescent="0.25">
      <c r="B256">
        <f>Processing!D257</f>
        <v>28039</v>
      </c>
      <c r="C256" t="str">
        <f>Processing!F257</f>
        <v>43H0</v>
      </c>
      <c r="D256">
        <f>'Final list of total hauls pros'!C254</f>
        <v>28</v>
      </c>
      <c r="E256">
        <f>'Final list of total hauls pros'!D254</f>
        <v>57</v>
      </c>
      <c r="F256">
        <f>'Final list of total hauls pros'!E254</f>
        <v>1.9</v>
      </c>
      <c r="G256">
        <f>'Final list of total hauls pros'!F254</f>
        <v>20</v>
      </c>
      <c r="H256">
        <f>'Final list of total hauls pros'!G254</f>
        <v>32.200000000000003</v>
      </c>
      <c r="I256">
        <f>'Final list of total hauls pros'!H254</f>
        <v>5</v>
      </c>
      <c r="J256" t="str">
        <f>'Final list of total hauls pros'!I254</f>
        <v>LAT</v>
      </c>
      <c r="K256" s="13">
        <f>'Final list of total hauls pros'!J254</f>
        <v>57.031666666666702</v>
      </c>
      <c r="L256" s="13">
        <f>'Final list of total hauls pros'!K254</f>
        <v>20.536666666666701</v>
      </c>
      <c r="M256" t="str">
        <f>'Final list of total hauls pros'!L254</f>
        <v>25-32</v>
      </c>
      <c r="N256" t="str">
        <f>Processing!I257</f>
        <v>LAT (SD 25-32)</v>
      </c>
    </row>
    <row r="257" spans="2:14" x14ac:dyDescent="0.25">
      <c r="B257">
        <f>Processing!D258</f>
        <v>28049</v>
      </c>
      <c r="C257" t="str">
        <f>Processing!F258</f>
        <v>43H1</v>
      </c>
      <c r="D257">
        <f>'Final list of total hauls pros'!C255</f>
        <v>28</v>
      </c>
      <c r="E257">
        <f>'Final list of total hauls pros'!D255</f>
        <v>57</v>
      </c>
      <c r="F257">
        <f>'Final list of total hauls pros'!E255</f>
        <v>13.5</v>
      </c>
      <c r="G257">
        <f>'Final list of total hauls pros'!F255</f>
        <v>21</v>
      </c>
      <c r="H257">
        <f>'Final list of total hauls pros'!G255</f>
        <v>2.2000000000000002</v>
      </c>
      <c r="I257">
        <f>'Final list of total hauls pros'!H255</f>
        <v>3</v>
      </c>
      <c r="J257" t="str">
        <f>'Final list of total hauls pros'!I255</f>
        <v>LAT</v>
      </c>
      <c r="K257" s="13">
        <f>'Final list of total hauls pros'!J255</f>
        <v>57.225000000000001</v>
      </c>
      <c r="L257" s="13">
        <f>'Final list of total hauls pros'!K255</f>
        <v>21.036666666666701</v>
      </c>
      <c r="M257" t="str">
        <f>'Final list of total hauls pros'!L255</f>
        <v>25-32</v>
      </c>
      <c r="N257" t="str">
        <f>Processing!I258</f>
        <v>LAT (SD 25-32)</v>
      </c>
    </row>
    <row r="258" spans="2:14" x14ac:dyDescent="0.25">
      <c r="B258">
        <f>Processing!D259</f>
        <v>28051</v>
      </c>
      <c r="C258" t="str">
        <f>Processing!F259</f>
        <v>43G8</v>
      </c>
      <c r="D258">
        <f>'Final list of total hauls pros'!C256</f>
        <v>28</v>
      </c>
      <c r="E258">
        <f>'Final list of total hauls pros'!D256</f>
        <v>57</v>
      </c>
      <c r="F258">
        <f>'Final list of total hauls pros'!E256</f>
        <v>21.2</v>
      </c>
      <c r="G258">
        <f>'Final list of total hauls pros'!F256</f>
        <v>19</v>
      </c>
      <c r="H258">
        <f>'Final list of total hauls pros'!G256</f>
        <v>9.1999999999999993</v>
      </c>
      <c r="I258">
        <f>'Final list of total hauls pros'!H256</f>
        <v>4</v>
      </c>
      <c r="J258" t="str">
        <f>'Final list of total hauls pros'!I256</f>
        <v>SWE</v>
      </c>
      <c r="K258" s="13">
        <f>'Final list of total hauls pros'!J256</f>
        <v>57.353333333333303</v>
      </c>
      <c r="L258" s="13">
        <f>'Final list of total hauls pros'!K256</f>
        <v>19.1533333333333</v>
      </c>
      <c r="M258" t="str">
        <f>'Final list of total hauls pros'!L256</f>
        <v>25-32</v>
      </c>
      <c r="N258" t="str">
        <f>Processing!I259</f>
        <v>SWE (SD 25-32)</v>
      </c>
    </row>
    <row r="259" spans="2:14" x14ac:dyDescent="0.25">
      <c r="B259">
        <f>Processing!D260</f>
        <v>28053</v>
      </c>
      <c r="C259" t="str">
        <f>Processing!F260</f>
        <v>44G9</v>
      </c>
      <c r="D259">
        <f>'Final list of total hauls pros'!C257</f>
        <v>28</v>
      </c>
      <c r="E259">
        <f>'Final list of total hauls pros'!D257</f>
        <v>57</v>
      </c>
      <c r="F259">
        <f>'Final list of total hauls pros'!E257</f>
        <v>32.1</v>
      </c>
      <c r="G259">
        <f>'Final list of total hauls pros'!F257</f>
        <v>19</v>
      </c>
      <c r="H259">
        <f>'Final list of total hauls pros'!G257</f>
        <v>17.5</v>
      </c>
      <c r="I259">
        <f>'Final list of total hauls pros'!H257</f>
        <v>4</v>
      </c>
      <c r="J259" t="str">
        <f>'Final list of total hauls pros'!I257</f>
        <v>SWE</v>
      </c>
      <c r="K259" s="13">
        <f>'Final list of total hauls pros'!J257</f>
        <v>57.534999999999997</v>
      </c>
      <c r="L259" s="13">
        <f>'Final list of total hauls pros'!K257</f>
        <v>19.2916666666667</v>
      </c>
      <c r="M259" t="str">
        <f>'Final list of total hauls pros'!L257</f>
        <v>25-32</v>
      </c>
      <c r="N259" t="str">
        <f>Processing!I260</f>
        <v>SWE (SD 25-32)</v>
      </c>
    </row>
    <row r="260" spans="2:14" x14ac:dyDescent="0.25">
      <c r="B260">
        <f>Processing!D261</f>
        <v>28063</v>
      </c>
      <c r="C260" t="str">
        <f>Processing!F261</f>
        <v>42H0</v>
      </c>
      <c r="D260">
        <f>'Final list of total hauls pros'!C258</f>
        <v>28</v>
      </c>
      <c r="E260">
        <f>'Final list of total hauls pros'!D258</f>
        <v>56</v>
      </c>
      <c r="F260">
        <f>'Final list of total hauls pros'!E258</f>
        <v>31.9</v>
      </c>
      <c r="G260">
        <f>'Final list of total hauls pros'!F258</f>
        <v>20</v>
      </c>
      <c r="H260">
        <f>'Final list of total hauls pros'!G258</f>
        <v>14.9</v>
      </c>
      <c r="I260">
        <f>'Final list of total hauls pros'!H258</f>
        <v>5</v>
      </c>
      <c r="J260" t="str">
        <f>'Final list of total hauls pros'!I258</f>
        <v>LAT</v>
      </c>
      <c r="K260" s="13">
        <f>'Final list of total hauls pros'!J258</f>
        <v>56.531666666666702</v>
      </c>
      <c r="L260" s="13">
        <f>'Final list of total hauls pros'!K258</f>
        <v>20.248333333333299</v>
      </c>
      <c r="M260" t="str">
        <f>'Final list of total hauls pros'!L258</f>
        <v>25-32</v>
      </c>
      <c r="N260" t="str">
        <f>Processing!I261</f>
        <v>LAT (SD 25-32)</v>
      </c>
    </row>
    <row r="261" spans="2:14" x14ac:dyDescent="0.25">
      <c r="B261">
        <f>Processing!D262</f>
        <v>28067</v>
      </c>
      <c r="C261" t="str">
        <f>Processing!F262</f>
        <v>43G8</v>
      </c>
      <c r="D261">
        <f>'Final list of total hauls pros'!C259</f>
        <v>28</v>
      </c>
      <c r="E261">
        <f>'Final list of total hauls pros'!D259</f>
        <v>57</v>
      </c>
      <c r="F261">
        <f>'Final list of total hauls pros'!E259</f>
        <v>6.5</v>
      </c>
      <c r="G261">
        <f>'Final list of total hauls pros'!F259</f>
        <v>18</v>
      </c>
      <c r="H261">
        <f>'Final list of total hauls pros'!G259</f>
        <v>57.1</v>
      </c>
      <c r="I261">
        <f>'Final list of total hauls pros'!H259</f>
        <v>5</v>
      </c>
      <c r="J261" t="str">
        <f>'Final list of total hauls pros'!I259</f>
        <v>SWE</v>
      </c>
      <c r="K261" s="13">
        <f>'Final list of total hauls pros'!J259</f>
        <v>57.108333333333299</v>
      </c>
      <c r="L261" s="13">
        <f>'Final list of total hauls pros'!K259</f>
        <v>18.9516666666667</v>
      </c>
      <c r="M261" t="str">
        <f>'Final list of total hauls pros'!L259</f>
        <v>25-32</v>
      </c>
      <c r="N261" t="str">
        <f>Processing!I262</f>
        <v>SWE (SD 25-32)</v>
      </c>
    </row>
    <row r="262" spans="2:14" x14ac:dyDescent="0.25">
      <c r="B262">
        <f>Processing!D263</f>
        <v>28071</v>
      </c>
      <c r="C262" t="str">
        <f>Processing!F263</f>
        <v>43G8</v>
      </c>
      <c r="D262">
        <f>'Final list of total hauls pros'!C260</f>
        <v>28</v>
      </c>
      <c r="E262">
        <f>'Final list of total hauls pros'!D260</f>
        <v>57</v>
      </c>
      <c r="F262">
        <f>'Final list of total hauls pros'!E260</f>
        <v>10</v>
      </c>
      <c r="G262">
        <f>'Final list of total hauls pros'!F260</f>
        <v>19</v>
      </c>
      <c r="H262">
        <f>'Final list of total hauls pros'!G260</f>
        <v>1.4</v>
      </c>
      <c r="I262">
        <f>'Final list of total hauls pros'!H260</f>
        <v>5</v>
      </c>
      <c r="J262" t="str">
        <f>'Final list of total hauls pros'!I260</f>
        <v>SWE</v>
      </c>
      <c r="K262" s="13">
        <f>'Final list of total hauls pros'!J260</f>
        <v>57.1666666666667</v>
      </c>
      <c r="L262" s="13">
        <f>'Final list of total hauls pros'!K260</f>
        <v>19.023333333333301</v>
      </c>
      <c r="M262" t="str">
        <f>'Final list of total hauls pros'!L260</f>
        <v>25-32</v>
      </c>
      <c r="N262" t="str">
        <f>Processing!I263</f>
        <v>SWE (SD 25-32)</v>
      </c>
    </row>
    <row r="263" spans="2:14" x14ac:dyDescent="0.25">
      <c r="B263">
        <f>Processing!D264</f>
        <v>28074</v>
      </c>
      <c r="C263" t="str">
        <f>Processing!F264</f>
        <v>43H0</v>
      </c>
      <c r="D263">
        <f>'Final list of total hauls pros'!C261</f>
        <v>28</v>
      </c>
      <c r="E263">
        <f>'Final list of total hauls pros'!D261</f>
        <v>57</v>
      </c>
      <c r="F263">
        <f>'Final list of total hauls pros'!E261</f>
        <v>10.5</v>
      </c>
      <c r="G263">
        <f>'Final list of total hauls pros'!F261</f>
        <v>20</v>
      </c>
      <c r="H263">
        <f>'Final list of total hauls pros'!G261</f>
        <v>35.200000000000003</v>
      </c>
      <c r="I263">
        <f>'Final list of total hauls pros'!H261</f>
        <v>5</v>
      </c>
      <c r="J263" t="str">
        <f>'Final list of total hauls pros'!I261</f>
        <v>LAT</v>
      </c>
      <c r="K263" s="13">
        <f>'Final list of total hauls pros'!J261</f>
        <v>57.174999999999997</v>
      </c>
      <c r="L263" s="13">
        <f>'Final list of total hauls pros'!K261</f>
        <v>20.586666666666702</v>
      </c>
      <c r="M263" t="str">
        <f>'Final list of total hauls pros'!L261</f>
        <v>25-32</v>
      </c>
      <c r="N263" t="str">
        <f>Processing!I264</f>
        <v>LAT (SD 25-32)</v>
      </c>
    </row>
    <row r="264" spans="2:14" x14ac:dyDescent="0.25">
      <c r="B264">
        <f>Processing!D265</f>
        <v>28077</v>
      </c>
      <c r="C264" t="str">
        <f>Processing!F265</f>
        <v>45H1</v>
      </c>
      <c r="D264">
        <f>'Final list of total hauls pros'!C262</f>
        <v>28</v>
      </c>
      <c r="E264">
        <f>'Final list of total hauls pros'!D262</f>
        <v>58</v>
      </c>
      <c r="F264">
        <f>'Final list of total hauls pros'!E262</f>
        <v>3</v>
      </c>
      <c r="G264">
        <f>'Final list of total hauls pros'!F262</f>
        <v>21</v>
      </c>
      <c r="H264">
        <f>'Final list of total hauls pros'!G262</f>
        <v>1</v>
      </c>
      <c r="I264">
        <f>'Final list of total hauls pros'!H262</f>
        <v>4</v>
      </c>
      <c r="J264" t="str">
        <f>'Final list of total hauls pros'!I262</f>
        <v>EST</v>
      </c>
      <c r="K264" s="13">
        <f>'Final list of total hauls pros'!J262</f>
        <v>58.05</v>
      </c>
      <c r="L264" s="13">
        <f>'Final list of total hauls pros'!K262</f>
        <v>21.016666666666701</v>
      </c>
      <c r="M264" t="str">
        <f>'Final list of total hauls pros'!L262</f>
        <v>25-32</v>
      </c>
      <c r="N264" t="str">
        <f>Processing!I265</f>
        <v>LAT (SD 25-32)</v>
      </c>
    </row>
    <row r="265" spans="2:14" x14ac:dyDescent="0.25">
      <c r="B265">
        <f>Processing!D266</f>
        <v>28078</v>
      </c>
      <c r="C265" t="str">
        <f>Processing!F266</f>
        <v>45G9</v>
      </c>
      <c r="D265">
        <f>'Final list of total hauls pros'!C263</f>
        <v>28</v>
      </c>
      <c r="E265">
        <f>'Final list of total hauls pros'!D263</f>
        <v>58</v>
      </c>
      <c r="F265">
        <f>'Final list of total hauls pros'!E263</f>
        <v>3.4</v>
      </c>
      <c r="G265">
        <f>'Final list of total hauls pros'!F263</f>
        <v>19</v>
      </c>
      <c r="H265">
        <f>'Final list of total hauls pros'!G263</f>
        <v>27.9</v>
      </c>
      <c r="I265">
        <f>'Final list of total hauls pros'!H263</f>
        <v>5</v>
      </c>
      <c r="J265" t="str">
        <f>'Final list of total hauls pros'!I263</f>
        <v>SWE</v>
      </c>
      <c r="K265" s="13">
        <f>'Final list of total hauls pros'!J263</f>
        <v>58.0566666666667</v>
      </c>
      <c r="L265" s="13">
        <f>'Final list of total hauls pros'!K263</f>
        <v>19.465</v>
      </c>
      <c r="M265" t="str">
        <f>'Final list of total hauls pros'!L263</f>
        <v>25-32</v>
      </c>
      <c r="N265" t="str">
        <f>Processing!I266</f>
        <v>SWE (SD 25-32)</v>
      </c>
    </row>
    <row r="266" spans="2:14" x14ac:dyDescent="0.25">
      <c r="B266">
        <f>Processing!D267</f>
        <v>28084</v>
      </c>
      <c r="C266" t="str">
        <f>Processing!F267</f>
        <v>42H0</v>
      </c>
      <c r="D266">
        <f>'Final list of total hauls pros'!C264</f>
        <v>28</v>
      </c>
      <c r="E266">
        <f>'Final list of total hauls pros'!D264</f>
        <v>56</v>
      </c>
      <c r="F266">
        <f>'Final list of total hauls pros'!E264</f>
        <v>36</v>
      </c>
      <c r="G266">
        <f>'Final list of total hauls pros'!F264</f>
        <v>20</v>
      </c>
      <c r="H266">
        <f>'Final list of total hauls pros'!G264</f>
        <v>20.3</v>
      </c>
      <c r="I266">
        <f>'Final list of total hauls pros'!H264</f>
        <v>5</v>
      </c>
      <c r="J266" t="str">
        <f>'Final list of total hauls pros'!I264</f>
        <v>LAT</v>
      </c>
      <c r="K266" s="13">
        <f>'Final list of total hauls pros'!J264</f>
        <v>56.6</v>
      </c>
      <c r="L266" s="13">
        <f>'Final list of total hauls pros'!K264</f>
        <v>20.338333333333299</v>
      </c>
      <c r="M266" t="str">
        <f>'Final list of total hauls pros'!L264</f>
        <v>25-32</v>
      </c>
      <c r="N266" t="str">
        <f>Processing!I267</f>
        <v>LAT (SD 25-32)</v>
      </c>
    </row>
    <row r="267" spans="2:14" x14ac:dyDescent="0.25">
      <c r="B267">
        <f>Processing!D268</f>
        <v>28085</v>
      </c>
      <c r="C267" t="str">
        <f>Processing!F268</f>
        <v>43H0</v>
      </c>
      <c r="D267">
        <f>'Final list of total hauls pros'!C265</f>
        <v>28</v>
      </c>
      <c r="E267">
        <f>'Final list of total hauls pros'!D265</f>
        <v>57</v>
      </c>
      <c r="F267">
        <f>'Final list of total hauls pros'!E265</f>
        <v>18.3</v>
      </c>
      <c r="G267">
        <f>'Final list of total hauls pros'!F265</f>
        <v>20</v>
      </c>
      <c r="H267">
        <f>'Final list of total hauls pros'!G265</f>
        <v>17.5</v>
      </c>
      <c r="I267">
        <f>'Final list of total hauls pros'!H265</f>
        <v>6</v>
      </c>
      <c r="J267" t="str">
        <f>'Final list of total hauls pros'!I265</f>
        <v>LAT</v>
      </c>
      <c r="K267" s="13">
        <f>'Final list of total hauls pros'!J265</f>
        <v>57.305</v>
      </c>
      <c r="L267" s="13">
        <f>'Final list of total hauls pros'!K265</f>
        <v>20.2916666666667</v>
      </c>
      <c r="M267" t="str">
        <f>'Final list of total hauls pros'!L265</f>
        <v>25-32</v>
      </c>
      <c r="N267" t="str">
        <f>Processing!I268</f>
        <v>LAT (SD 25-32)</v>
      </c>
    </row>
    <row r="268" spans="2:14" x14ac:dyDescent="0.25">
      <c r="B268">
        <f>Processing!D269</f>
        <v>28088</v>
      </c>
      <c r="C268" t="str">
        <f>Processing!F269</f>
        <v>43H0</v>
      </c>
      <c r="D268">
        <f>'Final list of total hauls pros'!C266</f>
        <v>28</v>
      </c>
      <c r="E268">
        <f>'Final list of total hauls pros'!D266</f>
        <v>57</v>
      </c>
      <c r="F268">
        <f>'Final list of total hauls pros'!E266</f>
        <v>26.7</v>
      </c>
      <c r="G268">
        <f>'Final list of total hauls pros'!F266</f>
        <v>20</v>
      </c>
      <c r="H268">
        <f>'Final list of total hauls pros'!G266</f>
        <v>34.200000000000003</v>
      </c>
      <c r="I268">
        <f>'Final list of total hauls pros'!H266</f>
        <v>6</v>
      </c>
      <c r="J268" t="str">
        <f>'Final list of total hauls pros'!I266</f>
        <v>LAT</v>
      </c>
      <c r="K268" s="13">
        <f>'Final list of total hauls pros'!J266</f>
        <v>57.445</v>
      </c>
      <c r="L268" s="13">
        <f>'Final list of total hauls pros'!K266</f>
        <v>20.57</v>
      </c>
      <c r="M268" t="str">
        <f>'Final list of total hauls pros'!L266</f>
        <v>25-32</v>
      </c>
      <c r="N268" t="str">
        <f>Processing!I269</f>
        <v>LAT (SD 25-32)</v>
      </c>
    </row>
    <row r="269" spans="2:14" x14ac:dyDescent="0.25">
      <c r="B269">
        <f>Processing!D270</f>
        <v>28090</v>
      </c>
      <c r="C269" t="str">
        <f>Processing!F270</f>
        <v>44H0</v>
      </c>
      <c r="D269">
        <f>'Final list of total hauls pros'!C267</f>
        <v>28</v>
      </c>
      <c r="E269">
        <f>'Final list of total hauls pros'!D267</f>
        <v>57</v>
      </c>
      <c r="F269">
        <f>'Final list of total hauls pros'!E267</f>
        <v>45.9</v>
      </c>
      <c r="G269">
        <f>'Final list of total hauls pros'!F267</f>
        <v>20</v>
      </c>
      <c r="H269">
        <f>'Final list of total hauls pros'!G267</f>
        <v>42.4</v>
      </c>
      <c r="I269">
        <f>'Final list of total hauls pros'!H267</f>
        <v>6</v>
      </c>
      <c r="J269" t="str">
        <f>'Final list of total hauls pros'!I267</f>
        <v>LAT</v>
      </c>
      <c r="K269" s="13">
        <f>'Final list of total hauls pros'!J267</f>
        <v>57.765000000000001</v>
      </c>
      <c r="L269" s="13">
        <f>'Final list of total hauls pros'!K267</f>
        <v>20.706666666666699</v>
      </c>
      <c r="M269" t="str">
        <f>'Final list of total hauls pros'!L267</f>
        <v>25-32</v>
      </c>
      <c r="N269" t="str">
        <f>Processing!I270</f>
        <v>LAT (SD 25-32)</v>
      </c>
    </row>
    <row r="270" spans="2:14" x14ac:dyDescent="0.25">
      <c r="B270">
        <f>Processing!D271</f>
        <v>28092</v>
      </c>
      <c r="C270" t="str">
        <f>Processing!F271</f>
        <v>43H0</v>
      </c>
      <c r="D270">
        <f>'Final list of total hauls pros'!C268</f>
        <v>28</v>
      </c>
      <c r="E270">
        <f>'Final list of total hauls pros'!D268</f>
        <v>57</v>
      </c>
      <c r="F270">
        <f>'Final list of total hauls pros'!E268</f>
        <v>20.399999999999999</v>
      </c>
      <c r="G270">
        <f>'Final list of total hauls pros'!F268</f>
        <v>20</v>
      </c>
      <c r="H270">
        <f>'Final list of total hauls pros'!G268</f>
        <v>35.6</v>
      </c>
      <c r="I270">
        <f>'Final list of total hauls pros'!H268</f>
        <v>5</v>
      </c>
      <c r="J270" t="str">
        <f>'Final list of total hauls pros'!I268</f>
        <v>LAT</v>
      </c>
      <c r="K270" s="13">
        <f>'Final list of total hauls pros'!J268</f>
        <v>57.34</v>
      </c>
      <c r="L270" s="13">
        <f>'Final list of total hauls pros'!K268</f>
        <v>20.593333333333302</v>
      </c>
      <c r="M270" t="str">
        <f>'Final list of total hauls pros'!L268</f>
        <v>25-32</v>
      </c>
      <c r="N270" t="str">
        <f>Processing!I271</f>
        <v>LAT (SD 25-32)</v>
      </c>
    </row>
    <row r="271" spans="2:14" x14ac:dyDescent="0.25">
      <c r="B271">
        <f>Processing!D272</f>
        <v>28093</v>
      </c>
      <c r="C271" t="str">
        <f>Processing!F272</f>
        <v>43H1</v>
      </c>
      <c r="D271">
        <f>'Final list of total hauls pros'!C269</f>
        <v>28</v>
      </c>
      <c r="E271">
        <f>'Final list of total hauls pros'!D269</f>
        <v>57</v>
      </c>
      <c r="F271">
        <f>'Final list of total hauls pros'!E269</f>
        <v>29.3</v>
      </c>
      <c r="G271">
        <f>'Final list of total hauls pros'!F269</f>
        <v>21</v>
      </c>
      <c r="H271">
        <f>'Final list of total hauls pros'!G269</f>
        <v>26.2</v>
      </c>
      <c r="I271">
        <f>'Final list of total hauls pros'!H269</f>
        <v>2</v>
      </c>
      <c r="J271" t="str">
        <f>'Final list of total hauls pros'!I269</f>
        <v>LAT</v>
      </c>
      <c r="K271" s="13">
        <f>'Final list of total hauls pros'!J269</f>
        <v>57.488333333333301</v>
      </c>
      <c r="L271" s="13">
        <f>'Final list of total hauls pros'!K269</f>
        <v>21.436666666666699</v>
      </c>
      <c r="M271" t="str">
        <f>'Final list of total hauls pros'!L269</f>
        <v>25-32</v>
      </c>
      <c r="N271" t="str">
        <f>Processing!I272</f>
        <v>LAT (SD 25-32)</v>
      </c>
    </row>
    <row r="272" spans="2:14" x14ac:dyDescent="0.25">
      <c r="B272">
        <f>Processing!D273</f>
        <v>28094</v>
      </c>
      <c r="C272" t="str">
        <f>Processing!F273</f>
        <v>42H0</v>
      </c>
      <c r="D272">
        <f>'Final list of total hauls pros'!C270</f>
        <v>28</v>
      </c>
      <c r="E272">
        <f>'Final list of total hauls pros'!D270</f>
        <v>56</v>
      </c>
      <c r="F272">
        <f>'Final list of total hauls pros'!E270</f>
        <v>56.4</v>
      </c>
      <c r="G272">
        <f>'Final list of total hauls pros'!F270</f>
        <v>20</v>
      </c>
      <c r="H272">
        <f>'Final list of total hauls pros'!G270</f>
        <v>23</v>
      </c>
      <c r="I272">
        <f>'Final list of total hauls pros'!H270</f>
        <v>5</v>
      </c>
      <c r="J272" t="str">
        <f>'Final list of total hauls pros'!I270</f>
        <v>LAT</v>
      </c>
      <c r="K272" s="13">
        <f>'Final list of total hauls pros'!J270</f>
        <v>56.94</v>
      </c>
      <c r="L272" s="13">
        <f>'Final list of total hauls pros'!K270</f>
        <v>20.383333333333301</v>
      </c>
      <c r="M272" t="str">
        <f>'Final list of total hauls pros'!L270</f>
        <v>25-32</v>
      </c>
      <c r="N272" t="str">
        <f>Processing!I273</f>
        <v>LAT (SD 25-32)</v>
      </c>
    </row>
    <row r="273" spans="2:14" x14ac:dyDescent="0.25">
      <c r="B273">
        <f>Processing!D274</f>
        <v>28096</v>
      </c>
      <c r="C273" t="str">
        <f>Processing!F274</f>
        <v>43G8</v>
      </c>
      <c r="D273">
        <f>'Final list of total hauls pros'!C271</f>
        <v>28</v>
      </c>
      <c r="E273">
        <f>'Final list of total hauls pros'!D271</f>
        <v>57</v>
      </c>
      <c r="F273">
        <f>'Final list of total hauls pros'!E271</f>
        <v>9.6</v>
      </c>
      <c r="G273">
        <f>'Final list of total hauls pros'!F271</f>
        <v>18</v>
      </c>
      <c r="H273">
        <f>'Final list of total hauls pros'!G271</f>
        <v>48.5</v>
      </c>
      <c r="I273">
        <f>'Final list of total hauls pros'!H271</f>
        <v>3</v>
      </c>
      <c r="J273" t="str">
        <f>'Final list of total hauls pros'!I271</f>
        <v>SWE</v>
      </c>
      <c r="K273" s="13">
        <f>'Final list of total hauls pros'!J271</f>
        <v>57.16</v>
      </c>
      <c r="L273" s="13">
        <f>'Final list of total hauls pros'!K271</f>
        <v>18.808333333333302</v>
      </c>
      <c r="M273" t="str">
        <f>'Final list of total hauls pros'!L271</f>
        <v>25-32</v>
      </c>
      <c r="N273" t="str">
        <f>Processing!I274</f>
        <v>SWE (SD 25-32)</v>
      </c>
    </row>
    <row r="274" spans="2:14" x14ac:dyDescent="0.25">
      <c r="B274">
        <f>Processing!D275</f>
        <v>28097</v>
      </c>
      <c r="C274" t="str">
        <f>Processing!F275</f>
        <v>44G9</v>
      </c>
      <c r="D274">
        <f>'Final list of total hauls pros'!C272</f>
        <v>28</v>
      </c>
      <c r="E274">
        <f>'Final list of total hauls pros'!D272</f>
        <v>57</v>
      </c>
      <c r="F274">
        <f>'Final list of total hauls pros'!E272</f>
        <v>52.5</v>
      </c>
      <c r="G274">
        <f>'Final list of total hauls pros'!F272</f>
        <v>19</v>
      </c>
      <c r="H274">
        <f>'Final list of total hauls pros'!G272</f>
        <v>25.6</v>
      </c>
      <c r="I274">
        <f>'Final list of total hauls pros'!H272</f>
        <v>3</v>
      </c>
      <c r="J274" t="str">
        <f>'Final list of total hauls pros'!I272</f>
        <v>SWE</v>
      </c>
      <c r="K274" s="13">
        <f>'Final list of total hauls pros'!J272</f>
        <v>57.875</v>
      </c>
      <c r="L274" s="13">
        <f>'Final list of total hauls pros'!K272</f>
        <v>19.426666666666701</v>
      </c>
      <c r="M274" t="str">
        <f>'Final list of total hauls pros'!L272</f>
        <v>25-32</v>
      </c>
      <c r="N274" t="str">
        <f>Processing!I275</f>
        <v>SWE (SD 25-32)</v>
      </c>
    </row>
    <row r="275" spans="2:14" x14ac:dyDescent="0.25">
      <c r="B275">
        <f>Processing!D276</f>
        <v>28098</v>
      </c>
      <c r="C275" t="str">
        <f>Processing!F276</f>
        <v>43G8</v>
      </c>
      <c r="D275">
        <f>'Final list of total hauls pros'!C273</f>
        <v>28</v>
      </c>
      <c r="E275">
        <f>'Final list of total hauls pros'!D273</f>
        <v>57</v>
      </c>
      <c r="F275">
        <f>'Final list of total hauls pros'!E273</f>
        <v>20.2</v>
      </c>
      <c r="G275">
        <f>'Final list of total hauls pros'!F273</f>
        <v>19</v>
      </c>
      <c r="H275">
        <f>'Final list of total hauls pros'!G273</f>
        <v>8.1</v>
      </c>
      <c r="I275">
        <f>'Final list of total hauls pros'!H273</f>
        <v>5</v>
      </c>
      <c r="J275" t="str">
        <f>'Final list of total hauls pros'!I273</f>
        <v>SWE</v>
      </c>
      <c r="K275" s="13">
        <f>'Final list of total hauls pros'!J273</f>
        <v>57.336666666666702</v>
      </c>
      <c r="L275" s="13">
        <f>'Final list of total hauls pros'!K273</f>
        <v>19.135000000000002</v>
      </c>
      <c r="M275" t="str">
        <f>'Final list of total hauls pros'!L273</f>
        <v>25-32</v>
      </c>
      <c r="N275" t="str">
        <f>Processing!I276</f>
        <v>SWE (SD 25-32)</v>
      </c>
    </row>
    <row r="276" spans="2:14" x14ac:dyDescent="0.25">
      <c r="B276">
        <f>Processing!D277</f>
        <v>28099</v>
      </c>
      <c r="C276" t="str">
        <f>Processing!F277</f>
        <v>44G9</v>
      </c>
      <c r="D276">
        <f>'Final list of total hauls pros'!C274</f>
        <v>28</v>
      </c>
      <c r="E276">
        <f>'Final list of total hauls pros'!D274</f>
        <v>57</v>
      </c>
      <c r="F276">
        <f>'Final list of total hauls pros'!E274</f>
        <v>48.8</v>
      </c>
      <c r="G276">
        <f>'Final list of total hauls pros'!F274</f>
        <v>19</v>
      </c>
      <c r="H276">
        <f>'Final list of total hauls pros'!G274</f>
        <v>32</v>
      </c>
      <c r="I276">
        <f>'Final list of total hauls pros'!H274</f>
        <v>5</v>
      </c>
      <c r="J276" t="str">
        <f>'Final list of total hauls pros'!I274</f>
        <v>SWE</v>
      </c>
      <c r="K276" s="13">
        <f>'Final list of total hauls pros'!J274</f>
        <v>57.813333333333297</v>
      </c>
      <c r="L276" s="13">
        <f>'Final list of total hauls pros'!K274</f>
        <v>19.533333333333299</v>
      </c>
      <c r="M276" t="str">
        <f>'Final list of total hauls pros'!L274</f>
        <v>25-32</v>
      </c>
      <c r="N276" t="str">
        <f>Processing!I277</f>
        <v>SWE (SD 25-32)</v>
      </c>
    </row>
    <row r="277" spans="2:14" x14ac:dyDescent="0.25">
      <c r="B277">
        <f>Processing!D278</f>
        <v>28112</v>
      </c>
      <c r="C277" t="str">
        <f>Processing!F278</f>
        <v>44H1</v>
      </c>
      <c r="D277">
        <f>'Final list of total hauls pros'!C275</f>
        <v>28</v>
      </c>
      <c r="E277">
        <f>'Final list of total hauls pros'!D275</f>
        <v>57</v>
      </c>
      <c r="F277">
        <f>'Final list of total hauls pros'!E275</f>
        <v>53</v>
      </c>
      <c r="G277">
        <f>'Final list of total hauls pros'!F275</f>
        <v>21</v>
      </c>
      <c r="H277">
        <f>'Final list of total hauls pros'!G275</f>
        <v>18.5</v>
      </c>
      <c r="I277">
        <f>'Final list of total hauls pros'!H275</f>
        <v>4</v>
      </c>
      <c r="J277" t="str">
        <f>'Final list of total hauls pros'!I275</f>
        <v>EST</v>
      </c>
      <c r="K277" s="13">
        <f>'Final list of total hauls pros'!J275</f>
        <v>57.883333333333297</v>
      </c>
      <c r="L277" s="13">
        <f>'Final list of total hauls pros'!K275</f>
        <v>21.308333333333302</v>
      </c>
      <c r="M277" t="str">
        <f>'Final list of total hauls pros'!L275</f>
        <v>25-32</v>
      </c>
      <c r="N277" t="str">
        <f>Processing!I278</f>
        <v>LAT (SD 25-32)</v>
      </c>
    </row>
    <row r="278" spans="2:14" x14ac:dyDescent="0.25">
      <c r="B278">
        <f>Processing!D279</f>
        <v>28136</v>
      </c>
      <c r="C278" t="str">
        <f>Processing!F279</f>
        <v>43H1</v>
      </c>
      <c r="D278">
        <f>'Final list of total hauls pros'!C276</f>
        <v>28</v>
      </c>
      <c r="E278">
        <f>'Final list of total hauls pros'!D276</f>
        <v>57</v>
      </c>
      <c r="F278">
        <f>'Final list of total hauls pros'!E276</f>
        <v>1.86</v>
      </c>
      <c r="G278">
        <f>'Final list of total hauls pros'!F276</f>
        <v>21</v>
      </c>
      <c r="H278">
        <f>'Final list of total hauls pros'!G276</f>
        <v>5.66</v>
      </c>
      <c r="I278">
        <f>'Final list of total hauls pros'!H276</f>
        <v>2</v>
      </c>
      <c r="J278" t="str">
        <f>'Final list of total hauls pros'!I276</f>
        <v>LAT</v>
      </c>
      <c r="K278" s="13">
        <f>'Final list of total hauls pros'!J276</f>
        <v>57.030999999999999</v>
      </c>
      <c r="L278" s="13">
        <f>'Final list of total hauls pros'!K276</f>
        <v>21.094333333333299</v>
      </c>
      <c r="M278" t="str">
        <f>'Final list of total hauls pros'!L276</f>
        <v>25-32</v>
      </c>
      <c r="N278" t="str">
        <f>Processing!I279</f>
        <v>LAT (SD 25-32)</v>
      </c>
    </row>
    <row r="279" spans="2:14" x14ac:dyDescent="0.25">
      <c r="B279">
        <f>Processing!D280</f>
        <v>28138</v>
      </c>
      <c r="C279" t="str">
        <f>Processing!F280</f>
        <v>43H1</v>
      </c>
      <c r="D279">
        <f>'Final list of total hauls pros'!C277</f>
        <v>28</v>
      </c>
      <c r="E279">
        <f>'Final list of total hauls pros'!D277</f>
        <v>57</v>
      </c>
      <c r="F279">
        <f>'Final list of total hauls pros'!E277</f>
        <v>4.05</v>
      </c>
      <c r="G279">
        <f>'Final list of total hauls pros'!F277</f>
        <v>21</v>
      </c>
      <c r="H279">
        <f>'Final list of total hauls pros'!G277</f>
        <v>7.77</v>
      </c>
      <c r="I279">
        <f>'Final list of total hauls pros'!H277</f>
        <v>2</v>
      </c>
      <c r="J279" t="str">
        <f>'Final list of total hauls pros'!I277</f>
        <v>LAT</v>
      </c>
      <c r="K279" s="13">
        <f>'Final list of total hauls pros'!J277</f>
        <v>57.067500000000003</v>
      </c>
      <c r="L279" s="13">
        <f>'Final list of total hauls pros'!K277</f>
        <v>21.1295</v>
      </c>
      <c r="M279" t="str">
        <f>'Final list of total hauls pros'!L277</f>
        <v>25-32</v>
      </c>
      <c r="N279" t="str">
        <f>Processing!I280</f>
        <v>LAT (SD 25-32)</v>
      </c>
    </row>
    <row r="280" spans="2:14" x14ac:dyDescent="0.25">
      <c r="B280">
        <f>Processing!D281</f>
        <v>28157</v>
      </c>
      <c r="C280" t="str">
        <f>Processing!F281</f>
        <v>42H0</v>
      </c>
      <c r="D280">
        <f>'Final list of total hauls pros'!C278</f>
        <v>28</v>
      </c>
      <c r="E280">
        <f>'Final list of total hauls pros'!D278</f>
        <v>56</v>
      </c>
      <c r="F280">
        <f>'Final list of total hauls pros'!E278</f>
        <v>39.380000000000003</v>
      </c>
      <c r="G280">
        <f>'Final list of total hauls pros'!F278</f>
        <v>20</v>
      </c>
      <c r="H280">
        <f>'Final list of total hauls pros'!G278</f>
        <v>45.92</v>
      </c>
      <c r="I280">
        <f>'Final list of total hauls pros'!H278</f>
        <v>2</v>
      </c>
      <c r="J280" t="str">
        <f>'Final list of total hauls pros'!I278</f>
        <v>LAT</v>
      </c>
      <c r="K280" s="13">
        <f>'Final list of total hauls pros'!J278</f>
        <v>56.656333333333301</v>
      </c>
      <c r="L280" s="13">
        <f>'Final list of total hauls pros'!K278</f>
        <v>20.765333333333299</v>
      </c>
      <c r="M280" t="str">
        <f>'Final list of total hauls pros'!L278</f>
        <v>25-32</v>
      </c>
      <c r="N280" t="str">
        <f>Processing!I281</f>
        <v>LAT (SD 25-32)</v>
      </c>
    </row>
    <row r="281" spans="2:14" x14ac:dyDescent="0.25">
      <c r="B281">
        <f>Processing!D282</f>
        <v>28161</v>
      </c>
      <c r="C281" t="str">
        <f>Processing!F282</f>
        <v>42H0</v>
      </c>
      <c r="D281">
        <f>'Final list of total hauls pros'!C279</f>
        <v>28</v>
      </c>
      <c r="E281">
        <f>'Final list of total hauls pros'!D279</f>
        <v>56</v>
      </c>
      <c r="F281">
        <f>'Final list of total hauls pros'!E279</f>
        <v>38.1</v>
      </c>
      <c r="G281">
        <f>'Final list of total hauls pros'!F279</f>
        <v>20</v>
      </c>
      <c r="H281">
        <f>'Final list of total hauls pros'!G279</f>
        <v>43.9</v>
      </c>
      <c r="I281">
        <f>'Final list of total hauls pros'!H279</f>
        <v>2</v>
      </c>
      <c r="J281" t="str">
        <f>'Final list of total hauls pros'!I279</f>
        <v>LAT</v>
      </c>
      <c r="K281" s="13">
        <f>'Final list of total hauls pros'!J279</f>
        <v>56.634999999999998</v>
      </c>
      <c r="L281" s="13">
        <f>'Final list of total hauls pros'!K279</f>
        <v>20.731666666666701</v>
      </c>
      <c r="M281" t="str">
        <f>'Final list of total hauls pros'!L279</f>
        <v>25-32</v>
      </c>
      <c r="N281" t="str">
        <f>Processing!I282</f>
        <v>LAT (SD 25-32)</v>
      </c>
    </row>
    <row r="282" spans="2:14" x14ac:dyDescent="0.25">
      <c r="B282">
        <f>Processing!D283</f>
        <v>28190</v>
      </c>
      <c r="C282" t="str">
        <f>Processing!F283</f>
        <v>44H0</v>
      </c>
      <c r="D282">
        <f>'Final list of total hauls pros'!C280</f>
        <v>28</v>
      </c>
      <c r="E282">
        <f>'Final list of total hauls pros'!D280</f>
        <v>57</v>
      </c>
      <c r="F282">
        <f>'Final list of total hauls pros'!E280</f>
        <v>58.9</v>
      </c>
      <c r="G282">
        <f>'Final list of total hauls pros'!F280</f>
        <v>20</v>
      </c>
      <c r="H282">
        <f>'Final list of total hauls pros'!G280</f>
        <v>58.43</v>
      </c>
      <c r="I282">
        <f>'Final list of total hauls pros'!H280</f>
        <v>5</v>
      </c>
      <c r="J282" t="str">
        <f>'Final list of total hauls pros'!I280</f>
        <v>EST</v>
      </c>
      <c r="K282" s="13">
        <f>'Final list of total hauls pros'!J280</f>
        <v>57.981666666666698</v>
      </c>
      <c r="L282" s="13">
        <f>'Final list of total hauls pros'!K280</f>
        <v>20.9738333333333</v>
      </c>
      <c r="M282" t="str">
        <f>'Final list of total hauls pros'!L280</f>
        <v>25-32</v>
      </c>
      <c r="N282" t="str">
        <f>Processing!I283</f>
        <v>LAT (SD 25-32)</v>
      </c>
    </row>
    <row r="283" spans="2:14" x14ac:dyDescent="0.25">
      <c r="B283">
        <f>Processing!D284</f>
        <v>24008</v>
      </c>
      <c r="C283" t="str">
        <f>Processing!F284</f>
        <v>38G3</v>
      </c>
      <c r="D283">
        <f>'Final list of total hauls pros'!C281</f>
        <v>24</v>
      </c>
      <c r="E283">
        <f>'Final list of total hauls pros'!D281</f>
        <v>54</v>
      </c>
      <c r="F283">
        <f>'Final list of total hauls pros'!E281</f>
        <v>30.01</v>
      </c>
      <c r="G283">
        <f>'Final list of total hauls pros'!F281</f>
        <v>13</v>
      </c>
      <c r="H283">
        <f>'Final list of total hauls pros'!G281</f>
        <v>58.73</v>
      </c>
      <c r="I283">
        <f>'Final list of total hauls pros'!H281</f>
        <v>2</v>
      </c>
      <c r="J283" t="str">
        <f>'Final list of total hauls pros'!I281</f>
        <v>GFR</v>
      </c>
      <c r="K283" s="13">
        <f>'Final list of total hauls pros'!J281</f>
        <v>54.500166666666701</v>
      </c>
      <c r="L283" s="13">
        <f>'Final list of total hauls pros'!K281</f>
        <v>13.9788333333333</v>
      </c>
      <c r="M283" t="str">
        <f>'Final list of total hauls pros'!L281</f>
        <v>21-24</v>
      </c>
      <c r="N283" t="str">
        <f>Processing!I284</f>
        <v>GFR (SD 21-24)</v>
      </c>
    </row>
    <row r="284" spans="2:14" x14ac:dyDescent="0.25">
      <c r="B284">
        <f>Processing!D285</f>
        <v>24009</v>
      </c>
      <c r="C284" t="str">
        <f>Processing!F285</f>
        <v>38G3</v>
      </c>
      <c r="D284">
        <f>'Final list of total hauls pros'!C282</f>
        <v>24</v>
      </c>
      <c r="E284">
        <f>'Final list of total hauls pros'!D282</f>
        <v>54</v>
      </c>
      <c r="F284">
        <f>'Final list of total hauls pros'!E282</f>
        <v>31.54</v>
      </c>
      <c r="G284">
        <f>'Final list of total hauls pros'!F282</f>
        <v>13</v>
      </c>
      <c r="H284">
        <f>'Final list of total hauls pros'!G282</f>
        <v>57.76</v>
      </c>
      <c r="I284">
        <f>'Final list of total hauls pros'!H282</f>
        <v>2</v>
      </c>
      <c r="J284" t="str">
        <f>'Final list of total hauls pros'!I282</f>
        <v>GFR</v>
      </c>
      <c r="K284" s="13">
        <f>'Final list of total hauls pros'!J282</f>
        <v>54.525666666666702</v>
      </c>
      <c r="L284" s="13">
        <f>'Final list of total hauls pros'!K282</f>
        <v>13.962666666666699</v>
      </c>
      <c r="M284" t="str">
        <f>'Final list of total hauls pros'!L282</f>
        <v>21-24</v>
      </c>
      <c r="N284" t="str">
        <f>Processing!I285</f>
        <v>GFR (SD 21-24)</v>
      </c>
    </row>
    <row r="285" spans="2:14" x14ac:dyDescent="0.25">
      <c r="B285">
        <f>Processing!D286</f>
        <v>24021</v>
      </c>
      <c r="C285" t="str">
        <f>Processing!F286</f>
        <v>38G3</v>
      </c>
      <c r="D285">
        <f>'Final list of total hauls pros'!C283</f>
        <v>24</v>
      </c>
      <c r="E285">
        <f>'Final list of total hauls pros'!D283</f>
        <v>54</v>
      </c>
      <c r="F285">
        <f>'Final list of total hauls pros'!E283</f>
        <v>29.57</v>
      </c>
      <c r="G285">
        <f>'Final list of total hauls pros'!F283</f>
        <v>13</v>
      </c>
      <c r="H285">
        <f>'Final list of total hauls pros'!G283</f>
        <v>43.66</v>
      </c>
      <c r="I285">
        <f>'Final list of total hauls pros'!H283</f>
        <v>2</v>
      </c>
      <c r="J285" t="str">
        <f>'Final list of total hauls pros'!I283</f>
        <v>GFR</v>
      </c>
      <c r="K285" s="13">
        <f>'Final list of total hauls pros'!J283</f>
        <v>54.492833333333301</v>
      </c>
      <c r="L285" s="13">
        <f>'Final list of total hauls pros'!K283</f>
        <v>13.7276666666667</v>
      </c>
      <c r="M285" t="str">
        <f>'Final list of total hauls pros'!L283</f>
        <v>21-24</v>
      </c>
      <c r="N285" t="str">
        <f>Processing!I286</f>
        <v>GFR (SD 21-24)</v>
      </c>
    </row>
    <row r="286" spans="2:14" x14ac:dyDescent="0.25">
      <c r="B286">
        <f>Processing!D287</f>
        <v>24280</v>
      </c>
      <c r="C286" t="str">
        <f>Processing!F287</f>
        <v>38G2</v>
      </c>
      <c r="D286">
        <f>'Final list of total hauls pros'!C284</f>
        <v>24</v>
      </c>
      <c r="E286">
        <f>'Final list of total hauls pros'!D284</f>
        <v>54</v>
      </c>
      <c r="F286">
        <f>'Final list of total hauls pros'!E284</f>
        <v>41.32</v>
      </c>
      <c r="G286">
        <f>'Final list of total hauls pros'!F284</f>
        <v>12</v>
      </c>
      <c r="H286">
        <f>'Final list of total hauls pros'!G284</f>
        <v>11.83</v>
      </c>
      <c r="I286">
        <f>'Final list of total hauls pros'!H284</f>
        <v>2</v>
      </c>
      <c r="J286" t="str">
        <f>'Final list of total hauls pros'!I284</f>
        <v>DEN</v>
      </c>
      <c r="K286" s="13">
        <f>'Final list of total hauls pros'!J284</f>
        <v>54.688666666666698</v>
      </c>
      <c r="L286" s="13">
        <f>'Final list of total hauls pros'!K284</f>
        <v>12.1971666666667</v>
      </c>
      <c r="M286" t="str">
        <f>'Final list of total hauls pros'!L284</f>
        <v>21-24</v>
      </c>
      <c r="N286" t="str">
        <f>Processing!I287</f>
        <v>GFR (SD 21-24)</v>
      </c>
    </row>
    <row r="287" spans="2:14" x14ac:dyDescent="0.25">
      <c r="B287">
        <f>Processing!D288</f>
        <v>24281</v>
      </c>
      <c r="C287" t="str">
        <f>Processing!F288</f>
        <v>38G2</v>
      </c>
      <c r="D287">
        <f>'Final list of total hauls pros'!C285</f>
        <v>24</v>
      </c>
      <c r="E287">
        <f>'Final list of total hauls pros'!D285</f>
        <v>54</v>
      </c>
      <c r="F287">
        <f>'Final list of total hauls pros'!E285</f>
        <v>50.68</v>
      </c>
      <c r="G287">
        <f>'Final list of total hauls pros'!F285</f>
        <v>12</v>
      </c>
      <c r="H287">
        <f>'Final list of total hauls pros'!G285</f>
        <v>40.729999999999997</v>
      </c>
      <c r="I287">
        <f>'Final list of total hauls pros'!H285</f>
        <v>2</v>
      </c>
      <c r="J287" t="str">
        <f>'Final list of total hauls pros'!I285</f>
        <v>DEN</v>
      </c>
      <c r="K287" s="13">
        <f>'Final list of total hauls pros'!J285</f>
        <v>54.844666666666697</v>
      </c>
      <c r="L287" s="13">
        <f>'Final list of total hauls pros'!K285</f>
        <v>12.6788333333333</v>
      </c>
      <c r="M287" t="str">
        <f>'Final list of total hauls pros'!L285</f>
        <v>21-24</v>
      </c>
      <c r="N287" t="str">
        <f>Processing!I288</f>
        <v>GFR (SD 21-24)</v>
      </c>
    </row>
    <row r="288" spans="2:14" x14ac:dyDescent="0.25">
      <c r="B288">
        <f>Processing!D289</f>
        <v>25380</v>
      </c>
      <c r="C288" t="str">
        <f>Processing!F289</f>
        <v>40G6</v>
      </c>
      <c r="D288">
        <f>'Final list of total hauls pros'!C286</f>
        <v>25</v>
      </c>
      <c r="E288">
        <f>'Final list of total hauls pros'!D286</f>
        <v>55</v>
      </c>
      <c r="F288">
        <f>'Final list of total hauls pros'!E286</f>
        <v>38.5</v>
      </c>
      <c r="G288">
        <f>'Final list of total hauls pros'!F286</f>
        <v>17</v>
      </c>
      <c r="H288">
        <f>'Final list of total hauls pros'!G286</f>
        <v>37.799999999999997</v>
      </c>
      <c r="I288">
        <f>'Final list of total hauls pros'!H286</f>
        <v>3</v>
      </c>
      <c r="J288" t="str">
        <f>'Final list of total hauls pros'!I286</f>
        <v>POL</v>
      </c>
      <c r="K288" s="13">
        <f>'Final list of total hauls pros'!J286</f>
        <v>55.641666666666701</v>
      </c>
      <c r="L288" s="13">
        <f>'Final list of total hauls pros'!K286</f>
        <v>17.63</v>
      </c>
      <c r="M288" t="str">
        <f>'Final list of total hauls pros'!L286</f>
        <v>25-32</v>
      </c>
      <c r="N288" t="str">
        <f>Processing!I289</f>
        <v>DEN (SD 25-32)</v>
      </c>
    </row>
    <row r="289" spans="2:14" x14ac:dyDescent="0.25">
      <c r="B289">
        <f>Processing!D290</f>
        <v>25403</v>
      </c>
      <c r="C289" t="str">
        <f>Processing!F290</f>
        <v>40G6</v>
      </c>
      <c r="D289">
        <f>'Final list of total hauls pros'!C287</f>
        <v>25</v>
      </c>
      <c r="E289">
        <f>'Final list of total hauls pros'!D287</f>
        <v>55</v>
      </c>
      <c r="F289">
        <f>'Final list of total hauls pros'!E287</f>
        <v>51.93</v>
      </c>
      <c r="G289">
        <f>'Final list of total hauls pros'!F287</f>
        <v>16</v>
      </c>
      <c r="H289">
        <f>'Final list of total hauls pros'!G287</f>
        <v>26.14</v>
      </c>
      <c r="I289">
        <f>'Final list of total hauls pros'!H287</f>
        <v>3</v>
      </c>
      <c r="J289" t="str">
        <f>'Final list of total hauls pros'!I287</f>
        <v>SWE</v>
      </c>
      <c r="K289" s="13">
        <f>'Final list of total hauls pros'!J287</f>
        <v>55.865499999999997</v>
      </c>
      <c r="L289" s="13">
        <f>'Final list of total hauls pros'!K287</f>
        <v>16.435666666666702</v>
      </c>
      <c r="M289" t="str">
        <f>'Final list of total hauls pros'!L287</f>
        <v>25-32</v>
      </c>
      <c r="N289" t="str">
        <f>Processing!I290</f>
        <v>SWE (SD 25-32)</v>
      </c>
    </row>
    <row r="290" spans="2:14" x14ac:dyDescent="0.25">
      <c r="B290">
        <f>Processing!D291</f>
        <v>25416</v>
      </c>
      <c r="C290" t="str">
        <f>Processing!F291</f>
        <v>40G4</v>
      </c>
      <c r="D290">
        <f>'Final list of total hauls pros'!C288</f>
        <v>25</v>
      </c>
      <c r="E290">
        <f>'Final list of total hauls pros'!D288</f>
        <v>55</v>
      </c>
      <c r="F290">
        <f>'Final list of total hauls pros'!E288</f>
        <v>41.56</v>
      </c>
      <c r="G290">
        <f>'Final list of total hauls pros'!F288</f>
        <v>14</v>
      </c>
      <c r="H290">
        <f>'Final list of total hauls pros'!G288</f>
        <v>22.75</v>
      </c>
      <c r="I290">
        <f>'Final list of total hauls pros'!H288</f>
        <v>3</v>
      </c>
      <c r="J290" t="str">
        <f>'Final list of total hauls pros'!I288</f>
        <v>SWE</v>
      </c>
      <c r="K290" s="13">
        <f>'Final list of total hauls pros'!J288</f>
        <v>55.692666666666703</v>
      </c>
      <c r="L290" s="13">
        <f>'Final list of total hauls pros'!K288</f>
        <v>14.3791666666667</v>
      </c>
      <c r="M290" t="str">
        <f>'Final list of total hauls pros'!L288</f>
        <v>25-32</v>
      </c>
      <c r="N290" t="str">
        <f>Processing!I291</f>
        <v>SWE (SD 25-32)</v>
      </c>
    </row>
    <row r="291" spans="2:14" x14ac:dyDescent="0.25">
      <c r="B291">
        <f>Processing!D292</f>
        <v>25421</v>
      </c>
      <c r="C291" t="str">
        <f>Processing!F292</f>
        <v>40G4</v>
      </c>
      <c r="D291">
        <f>'Final list of total hauls pros'!C289</f>
        <v>25</v>
      </c>
      <c r="E291">
        <f>'Final list of total hauls pros'!D289</f>
        <v>55</v>
      </c>
      <c r="F291">
        <f>'Final list of total hauls pros'!E289</f>
        <v>41.2</v>
      </c>
      <c r="G291">
        <f>'Final list of total hauls pros'!F289</f>
        <v>14</v>
      </c>
      <c r="H291">
        <f>'Final list of total hauls pros'!G289</f>
        <v>27.3</v>
      </c>
      <c r="I291">
        <f>'Final list of total hauls pros'!H289</f>
        <v>3</v>
      </c>
      <c r="J291" t="str">
        <f>'Final list of total hauls pros'!I289</f>
        <v>SWE</v>
      </c>
      <c r="K291" s="13">
        <f>'Final list of total hauls pros'!J289</f>
        <v>55.686666666666703</v>
      </c>
      <c r="L291" s="13">
        <f>'Final list of total hauls pros'!K289</f>
        <v>14.455</v>
      </c>
      <c r="M291" t="str">
        <f>'Final list of total hauls pros'!L289</f>
        <v>25-32</v>
      </c>
      <c r="N291" t="str">
        <f>Processing!I292</f>
        <v>SWE (SD 25-32)</v>
      </c>
    </row>
    <row r="292" spans="2:14" x14ac:dyDescent="0.25">
      <c r="B292">
        <f>Processing!D293</f>
        <v>26086</v>
      </c>
      <c r="C292" t="str">
        <f>Processing!F293</f>
        <v>38G8</v>
      </c>
      <c r="D292">
        <f>'Final list of total hauls pros'!C290</f>
        <v>26</v>
      </c>
      <c r="E292">
        <f>'Final list of total hauls pros'!D290</f>
        <v>54</v>
      </c>
      <c r="F292">
        <f>'Final list of total hauls pros'!E290</f>
        <v>58.5</v>
      </c>
      <c r="G292">
        <f>'Final list of total hauls pros'!F290</f>
        <v>18</v>
      </c>
      <c r="H292">
        <f>'Final list of total hauls pros'!G290</f>
        <v>48</v>
      </c>
      <c r="I292">
        <f>'Final list of total hauls pros'!H290</f>
        <v>5</v>
      </c>
      <c r="J292" t="str">
        <f>'Final list of total hauls pros'!I290</f>
        <v>POL</v>
      </c>
      <c r="K292" s="13">
        <f>'Final list of total hauls pros'!J290</f>
        <v>54.975000000000001</v>
      </c>
      <c r="L292" s="13">
        <f>'Final list of total hauls pros'!K290</f>
        <v>18.8</v>
      </c>
      <c r="M292" t="str">
        <f>'Final list of total hauls pros'!L290</f>
        <v>25-32</v>
      </c>
      <c r="N292" t="str">
        <f>Processing!I293</f>
        <v>POL (SD 25-32)</v>
      </c>
    </row>
    <row r="293" spans="2:14" x14ac:dyDescent="0.25">
      <c r="B293">
        <f>Processing!D294</f>
        <v>26160</v>
      </c>
      <c r="C293" t="str">
        <f>Processing!F294</f>
        <v>41H0</v>
      </c>
      <c r="D293">
        <f>'Final list of total hauls pros'!C291</f>
        <v>26</v>
      </c>
      <c r="E293">
        <f>'Final list of total hauls pros'!D291</f>
        <v>56</v>
      </c>
      <c r="F293">
        <f>'Final list of total hauls pros'!E291</f>
        <v>28.864999999999998</v>
      </c>
      <c r="G293">
        <f>'Final list of total hauls pros'!F291</f>
        <v>20</v>
      </c>
      <c r="H293">
        <f>'Final list of total hauls pros'!G291</f>
        <v>7.94</v>
      </c>
      <c r="I293">
        <f>'Final list of total hauls pros'!H291</f>
        <v>5</v>
      </c>
      <c r="J293" t="str">
        <f>'Final list of total hauls pros'!I291</f>
        <v>LAT</v>
      </c>
      <c r="K293" s="13">
        <f>'Final list of total hauls pros'!J291</f>
        <v>56.481083333333302</v>
      </c>
      <c r="L293" s="13">
        <f>'Final list of total hauls pros'!K291</f>
        <v>20.1323333333333</v>
      </c>
      <c r="M293" t="str">
        <f>'Final list of total hauls pros'!L291</f>
        <v>25-32</v>
      </c>
      <c r="N293" t="str">
        <f>Processing!I294</f>
        <v>POL (SD 25-32)</v>
      </c>
    </row>
    <row r="294" spans="2:14" x14ac:dyDescent="0.25">
      <c r="B294">
        <f>Processing!D295</f>
        <v>26164</v>
      </c>
      <c r="C294" t="str">
        <f>Processing!F295</f>
        <v>40G8</v>
      </c>
      <c r="D294">
        <f>'Final list of total hauls pros'!C292</f>
        <v>26</v>
      </c>
      <c r="E294">
        <f>'Final list of total hauls pros'!D292</f>
        <v>55</v>
      </c>
      <c r="F294">
        <f>'Final list of total hauls pros'!E292</f>
        <v>31.7</v>
      </c>
      <c r="G294">
        <f>'Final list of total hauls pros'!F292</f>
        <v>18</v>
      </c>
      <c r="H294">
        <f>'Final list of total hauls pros'!G292</f>
        <v>33</v>
      </c>
      <c r="I294">
        <f>'Final list of total hauls pros'!H292</f>
        <v>5</v>
      </c>
      <c r="J294" t="str">
        <f>'Final list of total hauls pros'!I292</f>
        <v>POL</v>
      </c>
      <c r="K294" s="13">
        <f>'Final list of total hauls pros'!J292</f>
        <v>55.5283333333333</v>
      </c>
      <c r="L294" s="13">
        <f>'Final list of total hauls pros'!K292</f>
        <v>18.55</v>
      </c>
      <c r="M294" t="str">
        <f>'Final list of total hauls pros'!L292</f>
        <v>25-32</v>
      </c>
      <c r="N294" t="str">
        <f>Processing!I295</f>
        <v>DEN (SD 25-32)</v>
      </c>
    </row>
    <row r="295" spans="2:14" x14ac:dyDescent="0.25">
      <c r="B295">
        <f>Processing!D296</f>
        <v>26287</v>
      </c>
      <c r="C295" t="str">
        <f>Processing!F296</f>
        <v>38G9</v>
      </c>
      <c r="D295">
        <f>'Final list of total hauls pros'!C293</f>
        <v>26</v>
      </c>
      <c r="E295">
        <f>'Final list of total hauls pros'!D293</f>
        <v>54</v>
      </c>
      <c r="F295">
        <f>'Final list of total hauls pros'!E293</f>
        <v>36.700000000000003</v>
      </c>
      <c r="G295">
        <f>'Final list of total hauls pros'!F293</f>
        <v>19</v>
      </c>
      <c r="H295">
        <f>'Final list of total hauls pros'!G293</f>
        <v>2.1</v>
      </c>
      <c r="I295">
        <f>'Final list of total hauls pros'!H293</f>
        <v>5</v>
      </c>
      <c r="J295" t="str">
        <f>'Final list of total hauls pros'!I293</f>
        <v>POL</v>
      </c>
      <c r="K295" s="13">
        <f>'Final list of total hauls pros'!J293</f>
        <v>54.6116666666667</v>
      </c>
      <c r="L295" s="13">
        <f>'Final list of total hauls pros'!K293</f>
        <v>19.035</v>
      </c>
      <c r="M295" t="str">
        <f>'Final list of total hauls pros'!L293</f>
        <v>25-32</v>
      </c>
      <c r="N295" t="str">
        <f>Processing!I296</f>
        <v>POL (SD 25-32)</v>
      </c>
    </row>
    <row r="296" spans="2:14" x14ac:dyDescent="0.25">
      <c r="B296">
        <f>Processing!D297</f>
        <v>28011</v>
      </c>
      <c r="C296" t="str">
        <f>Processing!F297</f>
        <v>42H0</v>
      </c>
      <c r="D296">
        <f>'Final list of total hauls pros'!C294</f>
        <v>28</v>
      </c>
      <c r="E296">
        <f>'Final list of total hauls pros'!D294</f>
        <v>56</v>
      </c>
      <c r="F296">
        <f>'Final list of total hauls pros'!E294</f>
        <v>37.799999999999997</v>
      </c>
      <c r="G296">
        <f>'Final list of total hauls pros'!F294</f>
        <v>20</v>
      </c>
      <c r="H296">
        <f>'Final list of total hauls pros'!G294</f>
        <v>38</v>
      </c>
      <c r="I296">
        <f>'Final list of total hauls pros'!H294</f>
        <v>3</v>
      </c>
      <c r="J296" t="str">
        <f>'Final list of total hauls pros'!I294</f>
        <v>LAT</v>
      </c>
      <c r="K296" s="13">
        <f>'Final list of total hauls pros'!J294</f>
        <v>56.63</v>
      </c>
      <c r="L296" s="13">
        <f>'Final list of total hauls pros'!K294</f>
        <v>20.633333333333301</v>
      </c>
      <c r="M296" t="str">
        <f>'Final list of total hauls pros'!L294</f>
        <v>25-32</v>
      </c>
      <c r="N296" t="str">
        <f>Processing!I297</f>
        <v>LAT (SD 25-32)</v>
      </c>
    </row>
    <row r="297" spans="2:14" x14ac:dyDescent="0.25">
      <c r="B297">
        <f>Processing!D298</f>
        <v>28160</v>
      </c>
      <c r="C297" t="str">
        <f>Processing!F298</f>
        <v>42H0</v>
      </c>
      <c r="D297">
        <f>'Final list of total hauls pros'!C295</f>
        <v>28</v>
      </c>
      <c r="E297">
        <f>'Final list of total hauls pros'!D295</f>
        <v>56</v>
      </c>
      <c r="F297">
        <f>'Final list of total hauls pros'!E295</f>
        <v>36.49</v>
      </c>
      <c r="G297">
        <f>'Final list of total hauls pros'!F295</f>
        <v>20</v>
      </c>
      <c r="H297">
        <f>'Final list of total hauls pros'!G295</f>
        <v>41.28</v>
      </c>
      <c r="I297">
        <f>'Final list of total hauls pros'!H295</f>
        <v>3</v>
      </c>
      <c r="J297" t="str">
        <f>'Final list of total hauls pros'!I295</f>
        <v>LAT</v>
      </c>
      <c r="K297" s="13">
        <f>'Final list of total hauls pros'!J295</f>
        <v>56.608166666666698</v>
      </c>
      <c r="L297" s="13">
        <f>'Final list of total hauls pros'!K295</f>
        <v>20.687999999999999</v>
      </c>
      <c r="M297" t="str">
        <f>'Final list of total hauls pros'!L295</f>
        <v>25-32</v>
      </c>
      <c r="N297" t="str">
        <f>Processing!I298</f>
        <v>LAT (SD 25-32)</v>
      </c>
    </row>
    <row r="298" spans="2:14" x14ac:dyDescent="0.25">
      <c r="B298">
        <f>Processing!D299</f>
        <v>28173</v>
      </c>
      <c r="C298" t="str">
        <f>Processing!F299</f>
        <v>42H0</v>
      </c>
      <c r="D298">
        <f>'Final list of total hauls pros'!C296</f>
        <v>28</v>
      </c>
      <c r="E298">
        <f>'Final list of total hauls pros'!D296</f>
        <v>56</v>
      </c>
      <c r="F298">
        <f>'Final list of total hauls pros'!E296</f>
        <v>38.85</v>
      </c>
      <c r="G298">
        <f>'Final list of total hauls pros'!F296</f>
        <v>20</v>
      </c>
      <c r="H298">
        <f>'Final list of total hauls pros'!G296</f>
        <v>36.28</v>
      </c>
      <c r="I298">
        <f>'Final list of total hauls pros'!H296</f>
        <v>3</v>
      </c>
      <c r="J298" t="str">
        <f>'Final list of total hauls pros'!I296</f>
        <v>LAT</v>
      </c>
      <c r="K298" s="13">
        <f>'Final list of total hauls pros'!J296</f>
        <v>56.647500000000001</v>
      </c>
      <c r="L298" s="13">
        <f>'Final list of total hauls pros'!K296</f>
        <v>20.604666666666699</v>
      </c>
      <c r="M298" t="str">
        <f>'Final list of total hauls pros'!L296</f>
        <v>25-32</v>
      </c>
      <c r="N298" t="str">
        <f>Processing!I299</f>
        <v>LAT (SD 25-32)</v>
      </c>
    </row>
    <row r="299" spans="2:14" x14ac:dyDescent="0.25">
      <c r="B299">
        <f>Processing!D300</f>
        <v>0</v>
      </c>
      <c r="C299">
        <f>Processing!F300</f>
        <v>0</v>
      </c>
      <c r="D299">
        <f>'Final list of total hauls pros'!C297</f>
        <v>0</v>
      </c>
      <c r="E299">
        <f>'Final list of total hauls pros'!D297</f>
        <v>0</v>
      </c>
      <c r="F299">
        <f>'Final list of total hauls pros'!E297</f>
        <v>0</v>
      </c>
      <c r="G299">
        <f>'Final list of total hauls pros'!F297</f>
        <v>0</v>
      </c>
      <c r="H299">
        <f>'Final list of total hauls pros'!G297</f>
        <v>0</v>
      </c>
      <c r="I299">
        <f>'Final list of total hauls pros'!H297</f>
        <v>0</v>
      </c>
      <c r="J299">
        <f>'Final list of total hauls pros'!I297</f>
        <v>0</v>
      </c>
      <c r="K299" s="13">
        <f>'Final list of total hauls pros'!J297</f>
        <v>0</v>
      </c>
      <c r="L299" s="13">
        <f>'Final list of total hauls pros'!K297</f>
        <v>0</v>
      </c>
      <c r="M299">
        <f>'Final list of total hauls pros'!L297</f>
        <v>0</v>
      </c>
      <c r="N299">
        <f>Processing!I300</f>
        <v>0</v>
      </c>
    </row>
    <row r="300" spans="2:14" x14ac:dyDescent="0.25">
      <c r="B300">
        <f>Processing!D301</f>
        <v>0</v>
      </c>
      <c r="C300">
        <f>Processing!F301</f>
        <v>0</v>
      </c>
      <c r="D300">
        <f>'Final list of total hauls pros'!C298</f>
        <v>0</v>
      </c>
      <c r="E300">
        <f>'Final list of total hauls pros'!D298</f>
        <v>0</v>
      </c>
      <c r="F300">
        <f>'Final list of total hauls pros'!E298</f>
        <v>0</v>
      </c>
      <c r="G300">
        <f>'Final list of total hauls pros'!F298</f>
        <v>0</v>
      </c>
      <c r="H300">
        <f>'Final list of total hauls pros'!G298</f>
        <v>0</v>
      </c>
      <c r="I300">
        <f>'Final list of total hauls pros'!H298</f>
        <v>0</v>
      </c>
      <c r="J300">
        <f>'Final list of total hauls pros'!I298</f>
        <v>0</v>
      </c>
      <c r="K300" s="13">
        <f>'Final list of total hauls pros'!J298</f>
        <v>0</v>
      </c>
      <c r="L300" s="13">
        <f>'Final list of total hauls pros'!K298</f>
        <v>0</v>
      </c>
      <c r="M300">
        <f>'Final list of total hauls pros'!L298</f>
        <v>0</v>
      </c>
      <c r="N300">
        <f>Processing!I301</f>
        <v>0</v>
      </c>
    </row>
    <row r="301" spans="2:14" x14ac:dyDescent="0.25">
      <c r="B301">
        <f>Processing!D302</f>
        <v>0</v>
      </c>
      <c r="C301">
        <f>Processing!F302</f>
        <v>0</v>
      </c>
      <c r="D301">
        <f>'Final list of total hauls pros'!C299</f>
        <v>0</v>
      </c>
      <c r="E301">
        <f>'Final list of total hauls pros'!D299</f>
        <v>0</v>
      </c>
      <c r="F301">
        <f>'Final list of total hauls pros'!E299</f>
        <v>0</v>
      </c>
      <c r="G301">
        <f>'Final list of total hauls pros'!F299</f>
        <v>0</v>
      </c>
      <c r="H301">
        <f>'Final list of total hauls pros'!G299</f>
        <v>0</v>
      </c>
      <c r="I301">
        <f>'Final list of total hauls pros'!H299</f>
        <v>0</v>
      </c>
      <c r="J301">
        <f>'Final list of total hauls pros'!I299</f>
        <v>0</v>
      </c>
      <c r="K301" s="13">
        <f>'Final list of total hauls pros'!J299</f>
        <v>0</v>
      </c>
      <c r="L301" s="13">
        <f>'Final list of total hauls pros'!K299</f>
        <v>0</v>
      </c>
      <c r="M301">
        <f>'Final list of total hauls pros'!L299</f>
        <v>0</v>
      </c>
      <c r="N301">
        <f>Processing!I302</f>
        <v>0</v>
      </c>
    </row>
    <row r="302" spans="2:14" x14ac:dyDescent="0.25">
      <c r="B302">
        <f>Processing!D303</f>
        <v>0</v>
      </c>
      <c r="C302">
        <f>Processing!F303</f>
        <v>0</v>
      </c>
      <c r="D302">
        <f>'Final list of total hauls pros'!C300</f>
        <v>0</v>
      </c>
      <c r="E302">
        <f>'Final list of total hauls pros'!D300</f>
        <v>0</v>
      </c>
      <c r="F302">
        <f>'Final list of total hauls pros'!E300</f>
        <v>0</v>
      </c>
      <c r="G302">
        <f>'Final list of total hauls pros'!F300</f>
        <v>0</v>
      </c>
      <c r="H302">
        <f>'Final list of total hauls pros'!G300</f>
        <v>0</v>
      </c>
      <c r="I302">
        <f>'Final list of total hauls pros'!H300</f>
        <v>0</v>
      </c>
      <c r="J302">
        <f>'Final list of total hauls pros'!I300</f>
        <v>0</v>
      </c>
      <c r="K302" s="13">
        <f>'Final list of total hauls pros'!J300</f>
        <v>0</v>
      </c>
      <c r="L302" s="13">
        <f>'Final list of total hauls pros'!K300</f>
        <v>0</v>
      </c>
      <c r="M302">
        <f>'Final list of total hauls pros'!L300</f>
        <v>0</v>
      </c>
      <c r="N302">
        <f>Processing!I303</f>
        <v>0</v>
      </c>
    </row>
    <row r="303" spans="2:14" x14ac:dyDescent="0.25">
      <c r="B303">
        <f>Processing!D304</f>
        <v>0</v>
      </c>
      <c r="C303">
        <f>Processing!F304</f>
        <v>0</v>
      </c>
      <c r="D303">
        <f>'Final list of total hauls pros'!C301</f>
        <v>0</v>
      </c>
      <c r="E303">
        <f>'Final list of total hauls pros'!D301</f>
        <v>0</v>
      </c>
      <c r="F303">
        <f>'Final list of total hauls pros'!E301</f>
        <v>0</v>
      </c>
      <c r="G303">
        <f>'Final list of total hauls pros'!F301</f>
        <v>0</v>
      </c>
      <c r="H303">
        <f>'Final list of total hauls pros'!G301</f>
        <v>0</v>
      </c>
      <c r="I303">
        <f>'Final list of total hauls pros'!H301</f>
        <v>0</v>
      </c>
      <c r="J303">
        <f>'Final list of total hauls pros'!I301</f>
        <v>0</v>
      </c>
      <c r="K303" s="13">
        <f>'Final list of total hauls pros'!J301</f>
        <v>0</v>
      </c>
      <c r="L303" s="13">
        <f>'Final list of total hauls pros'!K301</f>
        <v>0</v>
      </c>
      <c r="M303">
        <f>'Final list of total hauls pros'!L301</f>
        <v>0</v>
      </c>
      <c r="N303">
        <f>Processing!I304</f>
        <v>0</v>
      </c>
    </row>
    <row r="304" spans="2:14" x14ac:dyDescent="0.25">
      <c r="B304">
        <f>Processing!D305</f>
        <v>0</v>
      </c>
      <c r="C304">
        <f>Processing!F305</f>
        <v>0</v>
      </c>
      <c r="D304">
        <f>'Final list of total hauls pros'!C302</f>
        <v>0</v>
      </c>
      <c r="E304">
        <f>'Final list of total hauls pros'!D302</f>
        <v>0</v>
      </c>
      <c r="F304">
        <f>'Final list of total hauls pros'!E302</f>
        <v>0</v>
      </c>
      <c r="G304">
        <f>'Final list of total hauls pros'!F302</f>
        <v>0</v>
      </c>
      <c r="H304">
        <f>'Final list of total hauls pros'!G302</f>
        <v>0</v>
      </c>
      <c r="I304">
        <f>'Final list of total hauls pros'!H302</f>
        <v>0</v>
      </c>
      <c r="J304">
        <f>'Final list of total hauls pros'!I302</f>
        <v>0</v>
      </c>
      <c r="K304" s="13">
        <f>'Final list of total hauls pros'!J302</f>
        <v>0</v>
      </c>
      <c r="L304" s="13">
        <f>'Final list of total hauls pros'!K302</f>
        <v>0</v>
      </c>
      <c r="M304">
        <f>'Final list of total hauls pros'!L302</f>
        <v>0</v>
      </c>
      <c r="N304">
        <f>Processing!I305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4"/>
  <sheetViews>
    <sheetView tabSelected="1" workbookViewId="0">
      <selection sqref="A1:XFD1048576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51</v>
      </c>
      <c r="B1" t="s">
        <v>139</v>
      </c>
      <c r="C1" s="28"/>
    </row>
    <row r="3" spans="1:14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13" t="s">
        <v>9</v>
      </c>
      <c r="L3" s="13" t="s">
        <v>10</v>
      </c>
      <c r="M3" t="s">
        <v>11</v>
      </c>
      <c r="N3" t="s">
        <v>12</v>
      </c>
    </row>
    <row r="4" spans="1:14" x14ac:dyDescent="0.25">
      <c r="B4">
        <v>22002</v>
      </c>
      <c r="C4" t="s">
        <v>54</v>
      </c>
      <c r="D4">
        <v>22</v>
      </c>
      <c r="E4">
        <v>54</v>
      </c>
      <c r="F4">
        <v>11.27</v>
      </c>
      <c r="G4">
        <v>11</v>
      </c>
      <c r="H4">
        <v>55.26</v>
      </c>
      <c r="I4">
        <v>2</v>
      </c>
      <c r="J4" t="s">
        <v>52</v>
      </c>
      <c r="K4" s="13">
        <v>54.187833333333302</v>
      </c>
      <c r="L4" s="13">
        <v>11.920999999999999</v>
      </c>
      <c r="M4" t="s">
        <v>53</v>
      </c>
      <c r="N4" t="s">
        <v>13</v>
      </c>
    </row>
    <row r="5" spans="1:14" x14ac:dyDescent="0.25">
      <c r="B5">
        <v>22008</v>
      </c>
      <c r="C5" t="s">
        <v>54</v>
      </c>
      <c r="D5">
        <v>22</v>
      </c>
      <c r="E5">
        <v>54</v>
      </c>
      <c r="F5">
        <v>20.8</v>
      </c>
      <c r="G5">
        <v>11</v>
      </c>
      <c r="H5">
        <v>55.3</v>
      </c>
      <c r="I5">
        <v>2</v>
      </c>
      <c r="J5" t="s">
        <v>52</v>
      </c>
      <c r="K5" s="13">
        <v>54.3466666666667</v>
      </c>
      <c r="L5" s="13">
        <v>11.921666666666701</v>
      </c>
      <c r="M5" t="s">
        <v>53</v>
      </c>
      <c r="N5" t="s">
        <v>13</v>
      </c>
    </row>
    <row r="6" spans="1:14" x14ac:dyDescent="0.25">
      <c r="B6">
        <v>22018</v>
      </c>
      <c r="C6" t="s">
        <v>59</v>
      </c>
      <c r="D6">
        <v>22</v>
      </c>
      <c r="E6">
        <v>55</v>
      </c>
      <c r="F6">
        <v>4.2</v>
      </c>
      <c r="G6">
        <v>11</v>
      </c>
      <c r="H6">
        <v>4.0999999999999996</v>
      </c>
      <c r="I6">
        <v>2</v>
      </c>
      <c r="J6" t="s">
        <v>57</v>
      </c>
      <c r="K6" s="13">
        <v>55.07</v>
      </c>
      <c r="L6" s="13">
        <v>11.0683333333333</v>
      </c>
      <c r="M6" t="s">
        <v>53</v>
      </c>
      <c r="N6" t="s">
        <v>14</v>
      </c>
    </row>
    <row r="7" spans="1:14" x14ac:dyDescent="0.25">
      <c r="B7">
        <v>22020</v>
      </c>
      <c r="C7" t="s">
        <v>58</v>
      </c>
      <c r="D7">
        <v>22</v>
      </c>
      <c r="E7">
        <v>55</v>
      </c>
      <c r="F7">
        <v>12.7</v>
      </c>
      <c r="G7">
        <v>10</v>
      </c>
      <c r="H7">
        <v>56.3</v>
      </c>
      <c r="I7">
        <v>2</v>
      </c>
      <c r="J7" t="s">
        <v>57</v>
      </c>
      <c r="K7" s="13">
        <v>55.211666666666702</v>
      </c>
      <c r="L7" s="13">
        <v>10.938333333333301</v>
      </c>
      <c r="M7" t="s">
        <v>53</v>
      </c>
      <c r="N7" t="s">
        <v>14</v>
      </c>
    </row>
    <row r="8" spans="1:14" x14ac:dyDescent="0.25">
      <c r="B8">
        <v>22023</v>
      </c>
      <c r="C8" t="s">
        <v>59</v>
      </c>
      <c r="D8">
        <v>22</v>
      </c>
      <c r="E8">
        <v>55</v>
      </c>
      <c r="F8">
        <v>18.47</v>
      </c>
      <c r="G8">
        <v>11</v>
      </c>
      <c r="H8">
        <v>1.28</v>
      </c>
      <c r="I8">
        <v>2</v>
      </c>
      <c r="J8" t="s">
        <v>57</v>
      </c>
      <c r="K8" s="13">
        <v>55.307833333333299</v>
      </c>
      <c r="L8" s="13">
        <v>11.021333333333301</v>
      </c>
      <c r="M8" t="s">
        <v>53</v>
      </c>
      <c r="N8" t="s">
        <v>14</v>
      </c>
    </row>
    <row r="9" spans="1:14" x14ac:dyDescent="0.25">
      <c r="B9">
        <v>22024</v>
      </c>
      <c r="C9" t="s">
        <v>60</v>
      </c>
      <c r="D9">
        <v>22</v>
      </c>
      <c r="E9">
        <v>55</v>
      </c>
      <c r="F9">
        <v>21.9</v>
      </c>
      <c r="G9">
        <v>9</v>
      </c>
      <c r="H9">
        <v>45.16</v>
      </c>
      <c r="I9">
        <v>2</v>
      </c>
      <c r="J9" t="s">
        <v>57</v>
      </c>
      <c r="K9" s="13">
        <v>55.365000000000002</v>
      </c>
      <c r="L9" s="13">
        <v>9.7526666666666699</v>
      </c>
      <c r="M9" t="s">
        <v>53</v>
      </c>
      <c r="N9" t="s">
        <v>14</v>
      </c>
    </row>
    <row r="10" spans="1:14" x14ac:dyDescent="0.25">
      <c r="B10">
        <v>22025</v>
      </c>
      <c r="C10" t="s">
        <v>58</v>
      </c>
      <c r="D10">
        <v>22</v>
      </c>
      <c r="E10">
        <v>55</v>
      </c>
      <c r="F10">
        <v>23.14</v>
      </c>
      <c r="G10">
        <v>10</v>
      </c>
      <c r="H10">
        <v>50.56</v>
      </c>
      <c r="I10">
        <v>2</v>
      </c>
      <c r="J10" t="s">
        <v>57</v>
      </c>
      <c r="K10" s="13">
        <v>55.385666666666701</v>
      </c>
      <c r="L10" s="13">
        <v>10.8426666666667</v>
      </c>
      <c r="M10" t="s">
        <v>53</v>
      </c>
      <c r="N10" t="s">
        <v>14</v>
      </c>
    </row>
    <row r="11" spans="1:14" x14ac:dyDescent="0.25">
      <c r="B11">
        <v>22026</v>
      </c>
      <c r="C11" t="s">
        <v>58</v>
      </c>
      <c r="D11">
        <v>22</v>
      </c>
      <c r="E11">
        <v>55</v>
      </c>
      <c r="F11">
        <v>25.4</v>
      </c>
      <c r="G11">
        <v>10</v>
      </c>
      <c r="H11">
        <v>46</v>
      </c>
      <c r="I11">
        <v>2</v>
      </c>
      <c r="J11" t="s">
        <v>57</v>
      </c>
      <c r="K11" s="13">
        <v>55.423333333333296</v>
      </c>
      <c r="L11" s="13">
        <v>10.766666666666699</v>
      </c>
      <c r="M11" t="s">
        <v>53</v>
      </c>
      <c r="N11" t="s">
        <v>14</v>
      </c>
    </row>
    <row r="12" spans="1:14" x14ac:dyDescent="0.25">
      <c r="B12">
        <v>22027</v>
      </c>
      <c r="C12" t="s">
        <v>61</v>
      </c>
      <c r="D12">
        <v>22</v>
      </c>
      <c r="E12">
        <v>55</v>
      </c>
      <c r="F12">
        <v>38.1</v>
      </c>
      <c r="G12">
        <v>10</v>
      </c>
      <c r="H12">
        <v>0.4</v>
      </c>
      <c r="I12">
        <v>2</v>
      </c>
      <c r="J12" t="s">
        <v>57</v>
      </c>
      <c r="K12" s="13">
        <v>55.634999999999998</v>
      </c>
      <c r="L12" s="13">
        <v>10.0066666666667</v>
      </c>
      <c r="M12" t="s">
        <v>53</v>
      </c>
      <c r="N12" t="s">
        <v>14</v>
      </c>
    </row>
    <row r="13" spans="1:14" x14ac:dyDescent="0.25">
      <c r="B13">
        <v>22032</v>
      </c>
      <c r="C13" t="s">
        <v>61</v>
      </c>
      <c r="D13">
        <v>22</v>
      </c>
      <c r="E13">
        <v>55</v>
      </c>
      <c r="F13">
        <v>46.7</v>
      </c>
      <c r="G13">
        <v>10</v>
      </c>
      <c r="H13">
        <v>40.799999999999997</v>
      </c>
      <c r="I13">
        <v>2</v>
      </c>
      <c r="J13" t="s">
        <v>57</v>
      </c>
      <c r="K13" s="13">
        <v>55.7783333333333</v>
      </c>
      <c r="L13" s="13">
        <v>10.68</v>
      </c>
      <c r="M13" t="s">
        <v>53</v>
      </c>
      <c r="N13" t="s">
        <v>14</v>
      </c>
    </row>
    <row r="14" spans="1:14" x14ac:dyDescent="0.25">
      <c r="B14">
        <v>22034</v>
      </c>
      <c r="C14" t="s">
        <v>61</v>
      </c>
      <c r="D14">
        <v>22</v>
      </c>
      <c r="E14">
        <v>55</v>
      </c>
      <c r="F14">
        <v>59.6</v>
      </c>
      <c r="G14">
        <v>10</v>
      </c>
      <c r="H14">
        <v>38.4</v>
      </c>
      <c r="I14">
        <v>2</v>
      </c>
      <c r="J14" t="s">
        <v>57</v>
      </c>
      <c r="K14" s="13">
        <v>55.993333333333297</v>
      </c>
      <c r="L14" s="13">
        <v>10.64</v>
      </c>
      <c r="M14" t="s">
        <v>53</v>
      </c>
      <c r="N14" t="s">
        <v>14</v>
      </c>
    </row>
    <row r="15" spans="1:14" x14ac:dyDescent="0.25">
      <c r="B15">
        <v>22036</v>
      </c>
      <c r="C15" t="s">
        <v>62</v>
      </c>
      <c r="D15">
        <v>22</v>
      </c>
      <c r="E15">
        <v>55</v>
      </c>
      <c r="F15">
        <v>55.3</v>
      </c>
      <c r="G15">
        <v>11</v>
      </c>
      <c r="H15">
        <v>13.6</v>
      </c>
      <c r="I15">
        <v>2</v>
      </c>
      <c r="J15" t="s">
        <v>57</v>
      </c>
      <c r="K15" s="13">
        <v>55.921666666666702</v>
      </c>
      <c r="L15" s="13">
        <v>11.2266666666667</v>
      </c>
      <c r="M15" t="s">
        <v>53</v>
      </c>
      <c r="N15" t="s">
        <v>14</v>
      </c>
    </row>
    <row r="16" spans="1:14" x14ac:dyDescent="0.25">
      <c r="B16">
        <v>22037</v>
      </c>
      <c r="C16" t="s">
        <v>62</v>
      </c>
      <c r="D16">
        <v>22</v>
      </c>
      <c r="E16">
        <v>55</v>
      </c>
      <c r="F16">
        <v>58.9</v>
      </c>
      <c r="G16">
        <v>11</v>
      </c>
      <c r="H16">
        <v>1.8</v>
      </c>
      <c r="I16">
        <v>2</v>
      </c>
      <c r="J16" t="s">
        <v>57</v>
      </c>
      <c r="K16" s="13">
        <v>55.981666666666698</v>
      </c>
      <c r="L16" s="13">
        <v>11.03</v>
      </c>
      <c r="M16" t="s">
        <v>53</v>
      </c>
      <c r="N16" t="s">
        <v>14</v>
      </c>
    </row>
    <row r="17" spans="2:14" x14ac:dyDescent="0.25">
      <c r="B17">
        <v>22044</v>
      </c>
      <c r="C17" t="s">
        <v>54</v>
      </c>
      <c r="D17">
        <v>22</v>
      </c>
      <c r="E17">
        <v>54</v>
      </c>
      <c r="F17">
        <v>7.13</v>
      </c>
      <c r="G17">
        <v>11</v>
      </c>
      <c r="H17">
        <v>10.01</v>
      </c>
      <c r="I17">
        <v>2</v>
      </c>
      <c r="J17" t="s">
        <v>52</v>
      </c>
      <c r="K17" s="13">
        <v>54.118833333333299</v>
      </c>
      <c r="L17" s="13">
        <v>11.166833333333299</v>
      </c>
      <c r="M17" t="s">
        <v>53</v>
      </c>
      <c r="N17" t="s">
        <v>13</v>
      </c>
    </row>
    <row r="18" spans="2:14" x14ac:dyDescent="0.25">
      <c r="B18">
        <v>22045</v>
      </c>
      <c r="C18" t="s">
        <v>54</v>
      </c>
      <c r="D18">
        <v>22</v>
      </c>
      <c r="E18">
        <v>54</v>
      </c>
      <c r="F18">
        <v>17.28</v>
      </c>
      <c r="G18">
        <v>11</v>
      </c>
      <c r="H18">
        <v>18.11</v>
      </c>
      <c r="I18">
        <v>2</v>
      </c>
      <c r="J18" t="s">
        <v>52</v>
      </c>
      <c r="K18" s="13">
        <v>54.287999999999997</v>
      </c>
      <c r="L18" s="13">
        <v>11.301833333333301</v>
      </c>
      <c r="M18" t="s">
        <v>53</v>
      </c>
      <c r="N18" t="s">
        <v>13</v>
      </c>
    </row>
    <row r="19" spans="2:14" x14ac:dyDescent="0.25">
      <c r="B19">
        <v>22051</v>
      </c>
      <c r="C19" t="s">
        <v>54</v>
      </c>
      <c r="D19">
        <v>22</v>
      </c>
      <c r="E19">
        <v>54</v>
      </c>
      <c r="F19">
        <v>14.48</v>
      </c>
      <c r="G19">
        <v>11</v>
      </c>
      <c r="H19">
        <v>43.21</v>
      </c>
      <c r="I19">
        <v>2</v>
      </c>
      <c r="J19" t="s">
        <v>52</v>
      </c>
      <c r="K19" s="13">
        <v>54.241333333333301</v>
      </c>
      <c r="L19" s="13">
        <v>11.720166666666699</v>
      </c>
      <c r="M19" t="s">
        <v>53</v>
      </c>
      <c r="N19" t="s">
        <v>13</v>
      </c>
    </row>
    <row r="20" spans="2:14" x14ac:dyDescent="0.25">
      <c r="B20">
        <v>22058</v>
      </c>
      <c r="C20" t="s">
        <v>54</v>
      </c>
      <c r="D20">
        <v>22</v>
      </c>
      <c r="E20">
        <v>54</v>
      </c>
      <c r="F20">
        <v>27.17</v>
      </c>
      <c r="G20">
        <v>11</v>
      </c>
      <c r="H20">
        <v>25.18</v>
      </c>
      <c r="I20">
        <v>2</v>
      </c>
      <c r="J20" t="s">
        <v>52</v>
      </c>
      <c r="K20" s="13">
        <v>54.452833333333302</v>
      </c>
      <c r="L20" s="13">
        <v>11.4196666666667</v>
      </c>
      <c r="M20" t="s">
        <v>53</v>
      </c>
      <c r="N20" t="s">
        <v>13</v>
      </c>
    </row>
    <row r="21" spans="2:14" x14ac:dyDescent="0.25">
      <c r="B21">
        <v>22071</v>
      </c>
      <c r="C21" t="s">
        <v>56</v>
      </c>
      <c r="D21">
        <v>22</v>
      </c>
      <c r="E21">
        <v>54</v>
      </c>
      <c r="F21">
        <v>32.4</v>
      </c>
      <c r="G21">
        <v>11</v>
      </c>
      <c r="H21">
        <v>24.4</v>
      </c>
      <c r="I21">
        <v>2</v>
      </c>
      <c r="J21" t="s">
        <v>57</v>
      </c>
      <c r="K21" s="13">
        <v>54.54</v>
      </c>
      <c r="L21" s="13">
        <v>11.4066666666667</v>
      </c>
      <c r="M21" t="s">
        <v>53</v>
      </c>
      <c r="N21" t="s">
        <v>13</v>
      </c>
    </row>
    <row r="22" spans="2:14" x14ac:dyDescent="0.25">
      <c r="B22">
        <v>22072</v>
      </c>
      <c r="C22" t="s">
        <v>56</v>
      </c>
      <c r="D22">
        <v>22</v>
      </c>
      <c r="E22">
        <v>54</v>
      </c>
      <c r="F22">
        <v>33.53</v>
      </c>
      <c r="G22">
        <v>11</v>
      </c>
      <c r="H22">
        <v>21.74</v>
      </c>
      <c r="I22">
        <v>2</v>
      </c>
      <c r="J22" t="s">
        <v>52</v>
      </c>
      <c r="K22" s="13">
        <v>54.558833333333297</v>
      </c>
      <c r="L22" s="13">
        <v>11.3623333333333</v>
      </c>
      <c r="M22" t="s">
        <v>53</v>
      </c>
      <c r="N22" t="s">
        <v>13</v>
      </c>
    </row>
    <row r="23" spans="2:14" x14ac:dyDescent="0.25">
      <c r="B23">
        <v>22075</v>
      </c>
      <c r="C23" t="s">
        <v>55</v>
      </c>
      <c r="D23">
        <v>22</v>
      </c>
      <c r="E23">
        <v>54</v>
      </c>
      <c r="F23">
        <v>48.3</v>
      </c>
      <c r="G23">
        <v>10</v>
      </c>
      <c r="H23">
        <v>8.6999999999999993</v>
      </c>
      <c r="I23">
        <v>2</v>
      </c>
      <c r="J23" t="s">
        <v>57</v>
      </c>
      <c r="K23" s="13">
        <v>54.805</v>
      </c>
      <c r="L23" s="13">
        <v>10.145</v>
      </c>
      <c r="M23" t="s">
        <v>53</v>
      </c>
      <c r="N23" t="s">
        <v>14</v>
      </c>
    </row>
    <row r="24" spans="2:14" x14ac:dyDescent="0.25">
      <c r="B24">
        <v>22076</v>
      </c>
      <c r="C24" t="s">
        <v>55</v>
      </c>
      <c r="D24">
        <v>22</v>
      </c>
      <c r="E24">
        <v>54</v>
      </c>
      <c r="F24">
        <v>49.11</v>
      </c>
      <c r="G24">
        <v>10</v>
      </c>
      <c r="H24">
        <v>16.47</v>
      </c>
      <c r="I24">
        <v>2</v>
      </c>
      <c r="J24" t="s">
        <v>57</v>
      </c>
      <c r="K24" s="13">
        <v>54.8185</v>
      </c>
      <c r="L24" s="13">
        <v>10.2745</v>
      </c>
      <c r="M24" t="s">
        <v>53</v>
      </c>
      <c r="N24" t="s">
        <v>14</v>
      </c>
    </row>
    <row r="25" spans="2:14" x14ac:dyDescent="0.25">
      <c r="B25">
        <v>22077</v>
      </c>
      <c r="C25" t="s">
        <v>55</v>
      </c>
      <c r="D25">
        <v>22</v>
      </c>
      <c r="E25">
        <v>54</v>
      </c>
      <c r="F25">
        <v>41.63</v>
      </c>
      <c r="G25">
        <v>10</v>
      </c>
      <c r="H25">
        <v>19.45</v>
      </c>
      <c r="I25">
        <v>2</v>
      </c>
      <c r="J25" t="s">
        <v>57</v>
      </c>
      <c r="K25" s="13">
        <v>54.693833333333302</v>
      </c>
      <c r="L25" s="13">
        <v>10.3241666666667</v>
      </c>
      <c r="M25" t="s">
        <v>53</v>
      </c>
      <c r="N25" t="s">
        <v>14</v>
      </c>
    </row>
    <row r="26" spans="2:14" x14ac:dyDescent="0.25">
      <c r="B26">
        <v>22079</v>
      </c>
      <c r="C26" t="s">
        <v>55</v>
      </c>
      <c r="D26">
        <v>22</v>
      </c>
      <c r="E26">
        <v>55</v>
      </c>
      <c r="F26">
        <v>5.09</v>
      </c>
      <c r="G26">
        <v>9</v>
      </c>
      <c r="H26">
        <v>59.08</v>
      </c>
      <c r="I26">
        <v>2</v>
      </c>
      <c r="J26" t="s">
        <v>57</v>
      </c>
      <c r="K26" s="13">
        <v>55.0848333333333</v>
      </c>
      <c r="L26" s="13">
        <v>9.9846666666666692</v>
      </c>
      <c r="M26" t="s">
        <v>53</v>
      </c>
      <c r="N26" t="s">
        <v>14</v>
      </c>
    </row>
    <row r="27" spans="2:14" x14ac:dyDescent="0.25">
      <c r="B27">
        <v>22081</v>
      </c>
      <c r="C27" t="s">
        <v>60</v>
      </c>
      <c r="D27">
        <v>22</v>
      </c>
      <c r="E27">
        <v>55</v>
      </c>
      <c r="F27">
        <v>6.3</v>
      </c>
      <c r="G27">
        <v>9</v>
      </c>
      <c r="H27">
        <v>59.28</v>
      </c>
      <c r="I27">
        <v>2</v>
      </c>
      <c r="J27" t="s">
        <v>57</v>
      </c>
      <c r="K27" s="13">
        <v>55.104999999999997</v>
      </c>
      <c r="L27" s="13">
        <v>9.9879999999999995</v>
      </c>
      <c r="M27" t="s">
        <v>53</v>
      </c>
      <c r="N27" t="s">
        <v>14</v>
      </c>
    </row>
    <row r="28" spans="2:14" x14ac:dyDescent="0.25">
      <c r="B28">
        <v>22084</v>
      </c>
      <c r="C28" t="s">
        <v>59</v>
      </c>
      <c r="D28">
        <v>22</v>
      </c>
      <c r="E28">
        <v>55</v>
      </c>
      <c r="F28">
        <v>11.9</v>
      </c>
      <c r="G28">
        <v>11</v>
      </c>
      <c r="H28">
        <v>4.5999999999999996</v>
      </c>
      <c r="I28">
        <v>2</v>
      </c>
      <c r="J28" t="s">
        <v>57</v>
      </c>
      <c r="K28" s="13">
        <v>55.198333333333302</v>
      </c>
      <c r="L28" s="13">
        <v>11.0766666666667</v>
      </c>
      <c r="M28" t="s">
        <v>53</v>
      </c>
      <c r="N28" t="s">
        <v>14</v>
      </c>
    </row>
    <row r="29" spans="2:14" x14ac:dyDescent="0.25">
      <c r="B29">
        <v>22085</v>
      </c>
      <c r="C29" t="s">
        <v>61</v>
      </c>
      <c r="D29">
        <v>22</v>
      </c>
      <c r="E29">
        <v>55</v>
      </c>
      <c r="F29">
        <v>38.659999999999997</v>
      </c>
      <c r="G29">
        <v>10</v>
      </c>
      <c r="H29">
        <v>32.11</v>
      </c>
      <c r="I29">
        <v>2</v>
      </c>
      <c r="J29" t="s">
        <v>57</v>
      </c>
      <c r="K29" s="13">
        <v>55.6443333333333</v>
      </c>
      <c r="L29" s="13">
        <v>10.535166666666701</v>
      </c>
      <c r="M29" t="s">
        <v>53</v>
      </c>
      <c r="N29" t="s">
        <v>14</v>
      </c>
    </row>
    <row r="30" spans="2:14" x14ac:dyDescent="0.25">
      <c r="B30">
        <v>22086</v>
      </c>
      <c r="C30" t="s">
        <v>61</v>
      </c>
      <c r="D30">
        <v>22</v>
      </c>
      <c r="E30">
        <v>55</v>
      </c>
      <c r="F30">
        <v>35.96</v>
      </c>
      <c r="G30">
        <v>10</v>
      </c>
      <c r="H30">
        <v>55.36</v>
      </c>
      <c r="I30">
        <v>2</v>
      </c>
      <c r="J30" t="s">
        <v>57</v>
      </c>
      <c r="K30" s="13">
        <v>55.599333333333298</v>
      </c>
      <c r="L30" s="13">
        <v>10.9226666666667</v>
      </c>
      <c r="M30" t="s">
        <v>53</v>
      </c>
      <c r="N30" t="s">
        <v>14</v>
      </c>
    </row>
    <row r="31" spans="2:14" x14ac:dyDescent="0.25">
      <c r="B31">
        <v>22092</v>
      </c>
      <c r="C31" t="s">
        <v>61</v>
      </c>
      <c r="D31">
        <v>22</v>
      </c>
      <c r="E31">
        <v>55</v>
      </c>
      <c r="F31">
        <v>49.8</v>
      </c>
      <c r="G31">
        <v>10</v>
      </c>
      <c r="H31">
        <v>49.2</v>
      </c>
      <c r="I31">
        <v>2</v>
      </c>
      <c r="J31" t="s">
        <v>57</v>
      </c>
      <c r="K31" s="13">
        <v>55.83</v>
      </c>
      <c r="L31" s="13">
        <v>10.82</v>
      </c>
      <c r="M31" t="s">
        <v>53</v>
      </c>
      <c r="N31" t="s">
        <v>14</v>
      </c>
    </row>
    <row r="32" spans="2:14" x14ac:dyDescent="0.25">
      <c r="B32">
        <v>22103</v>
      </c>
      <c r="C32" t="s">
        <v>59</v>
      </c>
      <c r="D32">
        <v>22</v>
      </c>
      <c r="E32">
        <v>55</v>
      </c>
      <c r="F32">
        <v>3.32</v>
      </c>
      <c r="G32">
        <v>11</v>
      </c>
      <c r="H32">
        <v>1.82</v>
      </c>
      <c r="I32">
        <v>2</v>
      </c>
      <c r="J32" t="s">
        <v>57</v>
      </c>
      <c r="K32" s="13">
        <v>55.055333333333301</v>
      </c>
      <c r="L32" s="13">
        <v>11.030333333333299</v>
      </c>
      <c r="M32" t="s">
        <v>53</v>
      </c>
      <c r="N32" t="s">
        <v>14</v>
      </c>
    </row>
    <row r="33" spans="2:14" x14ac:dyDescent="0.25">
      <c r="B33">
        <v>22111</v>
      </c>
      <c r="C33" t="s">
        <v>55</v>
      </c>
      <c r="D33">
        <v>22</v>
      </c>
      <c r="E33">
        <v>54</v>
      </c>
      <c r="F33">
        <v>54.83</v>
      </c>
      <c r="G33">
        <v>10</v>
      </c>
      <c r="H33">
        <v>3.2</v>
      </c>
      <c r="I33">
        <v>2</v>
      </c>
      <c r="J33" t="s">
        <v>57</v>
      </c>
      <c r="K33" s="13">
        <v>54.913833333333301</v>
      </c>
      <c r="L33" s="13">
        <v>10.053333333333301</v>
      </c>
      <c r="M33" t="s">
        <v>53</v>
      </c>
      <c r="N33" t="s">
        <v>14</v>
      </c>
    </row>
    <row r="34" spans="2:14" x14ac:dyDescent="0.25">
      <c r="B34">
        <v>22114</v>
      </c>
      <c r="C34" t="s">
        <v>54</v>
      </c>
      <c r="D34">
        <v>22</v>
      </c>
      <c r="E34">
        <v>54</v>
      </c>
      <c r="F34">
        <v>8.6999999999999993</v>
      </c>
      <c r="G34">
        <v>11</v>
      </c>
      <c r="H34">
        <v>17.68</v>
      </c>
      <c r="I34">
        <v>2</v>
      </c>
      <c r="J34" t="s">
        <v>52</v>
      </c>
      <c r="K34" s="13">
        <v>54.145000000000003</v>
      </c>
      <c r="L34" s="13">
        <v>11.2946666666667</v>
      </c>
      <c r="M34" t="s">
        <v>53</v>
      </c>
      <c r="N34" t="s">
        <v>13</v>
      </c>
    </row>
    <row r="35" spans="2:14" x14ac:dyDescent="0.25">
      <c r="B35">
        <v>22117</v>
      </c>
      <c r="C35" t="s">
        <v>61</v>
      </c>
      <c r="D35">
        <v>22</v>
      </c>
      <c r="E35">
        <v>55</v>
      </c>
      <c r="F35">
        <v>30.3</v>
      </c>
      <c r="G35">
        <v>10</v>
      </c>
      <c r="H35">
        <v>41.58</v>
      </c>
      <c r="I35">
        <v>2</v>
      </c>
      <c r="J35" t="s">
        <v>57</v>
      </c>
      <c r="K35" s="13">
        <v>55.505000000000003</v>
      </c>
      <c r="L35" s="13">
        <v>10.693</v>
      </c>
      <c r="M35" t="s">
        <v>53</v>
      </c>
      <c r="N35" t="s">
        <v>14</v>
      </c>
    </row>
    <row r="36" spans="2:14" x14ac:dyDescent="0.25">
      <c r="B36">
        <v>22118</v>
      </c>
      <c r="C36" t="s">
        <v>61</v>
      </c>
      <c r="D36">
        <v>22</v>
      </c>
      <c r="E36">
        <v>55</v>
      </c>
      <c r="F36">
        <v>37.770000000000003</v>
      </c>
      <c r="G36">
        <v>10</v>
      </c>
      <c r="H36">
        <v>20.59</v>
      </c>
      <c r="I36">
        <v>2</v>
      </c>
      <c r="J36" t="s">
        <v>57</v>
      </c>
      <c r="K36" s="13">
        <v>55.6295</v>
      </c>
      <c r="L36" s="13">
        <v>10.343166666666701</v>
      </c>
      <c r="M36" t="s">
        <v>53</v>
      </c>
      <c r="N36" t="s">
        <v>14</v>
      </c>
    </row>
    <row r="37" spans="2:14" x14ac:dyDescent="0.25">
      <c r="B37">
        <v>22122</v>
      </c>
      <c r="C37" t="s">
        <v>58</v>
      </c>
      <c r="D37">
        <v>22</v>
      </c>
      <c r="E37">
        <v>55</v>
      </c>
      <c r="F37">
        <v>32.49</v>
      </c>
      <c r="G37">
        <v>10</v>
      </c>
      <c r="H37">
        <v>51.14</v>
      </c>
      <c r="I37">
        <v>2</v>
      </c>
      <c r="J37" t="s">
        <v>57</v>
      </c>
      <c r="K37" s="13">
        <v>55.541499999999999</v>
      </c>
      <c r="L37" s="13">
        <v>10.8523333333333</v>
      </c>
      <c r="M37" t="s">
        <v>53</v>
      </c>
      <c r="N37" t="s">
        <v>14</v>
      </c>
    </row>
    <row r="38" spans="2:14" x14ac:dyDescent="0.25">
      <c r="B38">
        <v>22124</v>
      </c>
      <c r="C38" t="s">
        <v>63</v>
      </c>
      <c r="D38">
        <v>22</v>
      </c>
      <c r="E38">
        <v>54</v>
      </c>
      <c r="F38">
        <v>48.88</v>
      </c>
      <c r="G38">
        <v>10</v>
      </c>
      <c r="H38">
        <v>17.53</v>
      </c>
      <c r="I38">
        <v>2</v>
      </c>
      <c r="J38" t="s">
        <v>57</v>
      </c>
      <c r="K38" s="13">
        <v>54.814666666666703</v>
      </c>
      <c r="L38" s="13">
        <v>10.2921666666667</v>
      </c>
      <c r="M38" t="s">
        <v>53</v>
      </c>
      <c r="N38" t="s">
        <v>14</v>
      </c>
    </row>
    <row r="39" spans="2:14" x14ac:dyDescent="0.25">
      <c r="B39">
        <v>22125</v>
      </c>
      <c r="C39" t="s">
        <v>58</v>
      </c>
      <c r="D39">
        <v>22</v>
      </c>
      <c r="E39">
        <v>55</v>
      </c>
      <c r="F39">
        <v>24.08</v>
      </c>
      <c r="G39">
        <v>10</v>
      </c>
      <c r="H39">
        <v>48.95</v>
      </c>
      <c r="I39">
        <v>2</v>
      </c>
      <c r="J39" t="s">
        <v>57</v>
      </c>
      <c r="K39" s="13">
        <v>55.401333333333298</v>
      </c>
      <c r="L39" s="13">
        <v>10.8158333333333</v>
      </c>
      <c r="M39" t="s">
        <v>53</v>
      </c>
      <c r="N39" t="s">
        <v>14</v>
      </c>
    </row>
    <row r="40" spans="2:14" x14ac:dyDescent="0.25">
      <c r="B40">
        <v>22130</v>
      </c>
      <c r="C40" t="s">
        <v>58</v>
      </c>
      <c r="D40">
        <v>22</v>
      </c>
      <c r="E40">
        <v>55</v>
      </c>
      <c r="F40">
        <v>19.93</v>
      </c>
      <c r="G40">
        <v>10</v>
      </c>
      <c r="H40">
        <v>53.86</v>
      </c>
      <c r="I40">
        <v>2</v>
      </c>
      <c r="J40" t="s">
        <v>57</v>
      </c>
      <c r="K40" s="13">
        <v>55.332166666666701</v>
      </c>
      <c r="L40" s="13">
        <v>10.8976666666667</v>
      </c>
      <c r="M40" t="s">
        <v>53</v>
      </c>
      <c r="N40" t="s">
        <v>14</v>
      </c>
    </row>
    <row r="41" spans="2:14" x14ac:dyDescent="0.25">
      <c r="B41">
        <v>22131</v>
      </c>
      <c r="C41" t="s">
        <v>55</v>
      </c>
      <c r="D41">
        <v>22</v>
      </c>
      <c r="E41">
        <v>54</v>
      </c>
      <c r="F41">
        <v>37.700000000000003</v>
      </c>
      <c r="G41">
        <v>10</v>
      </c>
      <c r="H41">
        <v>38.92</v>
      </c>
      <c r="I41">
        <v>2</v>
      </c>
      <c r="J41" t="s">
        <v>57</v>
      </c>
      <c r="K41" s="13">
        <v>54.628333333333302</v>
      </c>
      <c r="L41" s="13">
        <v>10.648666666666699</v>
      </c>
      <c r="M41" t="s">
        <v>53</v>
      </c>
      <c r="N41" t="s">
        <v>14</v>
      </c>
    </row>
    <row r="42" spans="2:14" x14ac:dyDescent="0.25">
      <c r="B42">
        <v>22135</v>
      </c>
      <c r="C42" t="s">
        <v>56</v>
      </c>
      <c r="D42">
        <v>22</v>
      </c>
      <c r="E42">
        <v>54</v>
      </c>
      <c r="F42">
        <v>37.4</v>
      </c>
      <c r="G42">
        <v>11</v>
      </c>
      <c r="H42">
        <v>5</v>
      </c>
      <c r="I42">
        <v>2</v>
      </c>
      <c r="J42" t="s">
        <v>52</v>
      </c>
      <c r="K42" s="13">
        <v>54.623333333333299</v>
      </c>
      <c r="L42" s="13">
        <v>11.0833333333333</v>
      </c>
      <c r="M42" t="s">
        <v>53</v>
      </c>
      <c r="N42" t="s">
        <v>13</v>
      </c>
    </row>
    <row r="43" spans="2:14" x14ac:dyDescent="0.25">
      <c r="B43">
        <v>22136</v>
      </c>
      <c r="C43" t="s">
        <v>55</v>
      </c>
      <c r="D43">
        <v>22</v>
      </c>
      <c r="E43">
        <v>54</v>
      </c>
      <c r="F43">
        <v>44.5</v>
      </c>
      <c r="G43">
        <v>10</v>
      </c>
      <c r="H43">
        <v>11.9</v>
      </c>
      <c r="I43">
        <v>2</v>
      </c>
      <c r="J43" t="s">
        <v>52</v>
      </c>
      <c r="K43" s="13">
        <v>54.741666666666703</v>
      </c>
      <c r="L43" s="13">
        <v>10.1983333333333</v>
      </c>
      <c r="M43" t="s">
        <v>53</v>
      </c>
      <c r="N43" t="s">
        <v>13</v>
      </c>
    </row>
    <row r="44" spans="2:14" x14ac:dyDescent="0.25">
      <c r="B44">
        <v>22141</v>
      </c>
      <c r="C44" t="s">
        <v>54</v>
      </c>
      <c r="D44">
        <v>22</v>
      </c>
      <c r="E44">
        <v>54</v>
      </c>
      <c r="F44">
        <v>14.4</v>
      </c>
      <c r="G44">
        <v>11</v>
      </c>
      <c r="H44">
        <v>25.3</v>
      </c>
      <c r="I44">
        <v>2</v>
      </c>
      <c r="J44" t="s">
        <v>52</v>
      </c>
      <c r="K44" s="13">
        <v>54.24</v>
      </c>
      <c r="L44" s="13">
        <v>11.421666666666701</v>
      </c>
      <c r="M44" t="s">
        <v>53</v>
      </c>
      <c r="N44" t="s">
        <v>13</v>
      </c>
    </row>
    <row r="45" spans="2:14" x14ac:dyDescent="0.25">
      <c r="B45">
        <v>22142</v>
      </c>
      <c r="C45" t="s">
        <v>54</v>
      </c>
      <c r="D45">
        <v>22</v>
      </c>
      <c r="E45">
        <v>54</v>
      </c>
      <c r="F45">
        <v>15.9</v>
      </c>
      <c r="G45">
        <v>11</v>
      </c>
      <c r="H45">
        <v>30.1</v>
      </c>
      <c r="I45">
        <v>2</v>
      </c>
      <c r="J45" t="s">
        <v>52</v>
      </c>
      <c r="K45" s="13">
        <v>54.265000000000001</v>
      </c>
      <c r="L45" s="13">
        <v>11.501666666666701</v>
      </c>
      <c r="M45" t="s">
        <v>53</v>
      </c>
      <c r="N45" t="s">
        <v>13</v>
      </c>
    </row>
    <row r="46" spans="2:14" x14ac:dyDescent="0.25">
      <c r="B46">
        <v>22143</v>
      </c>
      <c r="C46" t="s">
        <v>54</v>
      </c>
      <c r="D46">
        <v>22</v>
      </c>
      <c r="E46">
        <v>54</v>
      </c>
      <c r="F46">
        <v>12.9</v>
      </c>
      <c r="G46">
        <v>11</v>
      </c>
      <c r="H46">
        <v>33.1</v>
      </c>
      <c r="I46">
        <v>2</v>
      </c>
      <c r="J46" t="s">
        <v>52</v>
      </c>
      <c r="K46" s="13">
        <v>54.215000000000003</v>
      </c>
      <c r="L46" s="13">
        <v>11.5516666666667</v>
      </c>
      <c r="M46" t="s">
        <v>53</v>
      </c>
      <c r="N46" t="s">
        <v>13</v>
      </c>
    </row>
    <row r="47" spans="2:14" x14ac:dyDescent="0.25">
      <c r="B47">
        <v>22144</v>
      </c>
      <c r="C47" t="s">
        <v>54</v>
      </c>
      <c r="D47">
        <v>22</v>
      </c>
      <c r="E47">
        <v>54</v>
      </c>
      <c r="F47">
        <v>18.23</v>
      </c>
      <c r="G47">
        <v>11</v>
      </c>
      <c r="H47">
        <v>29.17</v>
      </c>
      <c r="I47">
        <v>2</v>
      </c>
      <c r="J47" t="s">
        <v>52</v>
      </c>
      <c r="K47" s="13">
        <v>54.303833333333301</v>
      </c>
      <c r="L47" s="13">
        <v>11.486166666666699</v>
      </c>
      <c r="M47" t="s">
        <v>53</v>
      </c>
      <c r="N47" t="s">
        <v>13</v>
      </c>
    </row>
    <row r="48" spans="2:14" x14ac:dyDescent="0.25">
      <c r="B48">
        <v>22146</v>
      </c>
      <c r="C48" t="s">
        <v>54</v>
      </c>
      <c r="D48">
        <v>22</v>
      </c>
      <c r="E48">
        <v>54</v>
      </c>
      <c r="F48">
        <v>17.75</v>
      </c>
      <c r="G48">
        <v>11</v>
      </c>
      <c r="H48">
        <v>36.299999999999997</v>
      </c>
      <c r="I48">
        <v>2</v>
      </c>
      <c r="J48" t="s">
        <v>52</v>
      </c>
      <c r="K48" s="13">
        <v>54.295833333333299</v>
      </c>
      <c r="L48" s="13">
        <v>11.605</v>
      </c>
      <c r="M48" t="s">
        <v>53</v>
      </c>
      <c r="N48" t="s">
        <v>13</v>
      </c>
    </row>
    <row r="49" spans="2:14" x14ac:dyDescent="0.25">
      <c r="B49">
        <v>24001</v>
      </c>
      <c r="C49" t="s">
        <v>64</v>
      </c>
      <c r="D49">
        <v>24</v>
      </c>
      <c r="E49">
        <v>54</v>
      </c>
      <c r="F49">
        <v>23.05</v>
      </c>
      <c r="G49">
        <v>12</v>
      </c>
      <c r="H49">
        <v>11.63</v>
      </c>
      <c r="I49">
        <v>2</v>
      </c>
      <c r="J49" t="s">
        <v>52</v>
      </c>
      <c r="K49" s="13">
        <v>54.384166666666701</v>
      </c>
      <c r="L49" s="13">
        <v>12.1938333333333</v>
      </c>
      <c r="M49" t="s">
        <v>53</v>
      </c>
      <c r="N49" t="s">
        <v>13</v>
      </c>
    </row>
    <row r="50" spans="2:14" x14ac:dyDescent="0.25">
      <c r="B50">
        <v>24002</v>
      </c>
      <c r="C50" t="s">
        <v>64</v>
      </c>
      <c r="D50">
        <v>24</v>
      </c>
      <c r="E50">
        <v>54</v>
      </c>
      <c r="F50">
        <v>26.48</v>
      </c>
      <c r="G50">
        <v>12</v>
      </c>
      <c r="H50">
        <v>20.88</v>
      </c>
      <c r="I50">
        <v>2</v>
      </c>
      <c r="J50" t="s">
        <v>52</v>
      </c>
      <c r="K50" s="13">
        <v>54.441333333333297</v>
      </c>
      <c r="L50" s="13">
        <v>12.348000000000001</v>
      </c>
      <c r="M50" t="s">
        <v>53</v>
      </c>
      <c r="N50" t="s">
        <v>13</v>
      </c>
    </row>
    <row r="51" spans="2:14" x14ac:dyDescent="0.25">
      <c r="B51">
        <v>24005</v>
      </c>
      <c r="C51" t="s">
        <v>65</v>
      </c>
      <c r="D51">
        <v>24</v>
      </c>
      <c r="E51">
        <v>54</v>
      </c>
      <c r="F51">
        <v>39.6</v>
      </c>
      <c r="G51">
        <v>12</v>
      </c>
      <c r="H51">
        <v>11.2</v>
      </c>
      <c r="I51">
        <v>2</v>
      </c>
      <c r="J51" t="s">
        <v>57</v>
      </c>
      <c r="K51" s="13">
        <v>54.66</v>
      </c>
      <c r="L51" s="13">
        <v>12.186666666666699</v>
      </c>
      <c r="M51" t="s">
        <v>53</v>
      </c>
      <c r="N51" t="s">
        <v>13</v>
      </c>
    </row>
    <row r="52" spans="2:14" x14ac:dyDescent="0.25">
      <c r="B52">
        <v>24006</v>
      </c>
      <c r="C52" t="s">
        <v>65</v>
      </c>
      <c r="D52">
        <v>24</v>
      </c>
      <c r="E52">
        <v>54</v>
      </c>
      <c r="F52">
        <v>35.31</v>
      </c>
      <c r="G52">
        <v>12</v>
      </c>
      <c r="H52">
        <v>27.37</v>
      </c>
      <c r="I52">
        <v>2</v>
      </c>
      <c r="J52" t="s">
        <v>52</v>
      </c>
      <c r="K52" s="13">
        <v>54.588500000000003</v>
      </c>
      <c r="L52" s="13">
        <v>12.4561666666667</v>
      </c>
      <c r="M52" t="s">
        <v>53</v>
      </c>
      <c r="N52" t="s">
        <v>13</v>
      </c>
    </row>
    <row r="53" spans="2:14" x14ac:dyDescent="0.25">
      <c r="B53">
        <v>24016</v>
      </c>
      <c r="C53" t="s">
        <v>65</v>
      </c>
      <c r="D53">
        <v>24</v>
      </c>
      <c r="E53">
        <v>54</v>
      </c>
      <c r="F53">
        <v>41.28</v>
      </c>
      <c r="G53">
        <v>12</v>
      </c>
      <c r="H53">
        <v>58.35</v>
      </c>
      <c r="I53">
        <v>2</v>
      </c>
      <c r="J53" t="s">
        <v>52</v>
      </c>
      <c r="K53" s="13">
        <v>54.688000000000002</v>
      </c>
      <c r="L53" s="13">
        <v>12.9725</v>
      </c>
      <c r="M53" t="s">
        <v>53</v>
      </c>
      <c r="N53" t="s">
        <v>13</v>
      </c>
    </row>
    <row r="54" spans="2:14" x14ac:dyDescent="0.25">
      <c r="B54">
        <v>24022</v>
      </c>
      <c r="C54" t="s">
        <v>69</v>
      </c>
      <c r="D54">
        <v>24</v>
      </c>
      <c r="E54">
        <v>54</v>
      </c>
      <c r="F54">
        <v>26.75</v>
      </c>
      <c r="G54">
        <v>14</v>
      </c>
      <c r="H54">
        <v>57.3</v>
      </c>
      <c r="I54">
        <v>2</v>
      </c>
      <c r="J54" t="s">
        <v>70</v>
      </c>
      <c r="K54" s="13">
        <v>54.445833333333297</v>
      </c>
      <c r="L54" s="13">
        <v>14.955</v>
      </c>
      <c r="M54" t="s">
        <v>53</v>
      </c>
      <c r="N54" t="s">
        <v>13</v>
      </c>
    </row>
    <row r="55" spans="2:14" x14ac:dyDescent="0.25">
      <c r="B55">
        <v>24024</v>
      </c>
      <c r="C55" t="s">
        <v>68</v>
      </c>
      <c r="D55">
        <v>24</v>
      </c>
      <c r="E55">
        <v>54</v>
      </c>
      <c r="F55">
        <v>34.4</v>
      </c>
      <c r="G55">
        <v>13</v>
      </c>
      <c r="H55">
        <v>47.6</v>
      </c>
      <c r="I55">
        <v>2</v>
      </c>
      <c r="J55" t="s">
        <v>52</v>
      </c>
      <c r="K55" s="13">
        <v>54.573333333333302</v>
      </c>
      <c r="L55" s="13">
        <v>13.793333333333299</v>
      </c>
      <c r="M55" t="s">
        <v>53</v>
      </c>
      <c r="N55" t="s">
        <v>13</v>
      </c>
    </row>
    <row r="56" spans="2:14" x14ac:dyDescent="0.25">
      <c r="B56">
        <v>24039</v>
      </c>
      <c r="C56" t="s">
        <v>71</v>
      </c>
      <c r="D56">
        <v>24</v>
      </c>
      <c r="E56">
        <v>54</v>
      </c>
      <c r="F56">
        <v>39.36</v>
      </c>
      <c r="G56">
        <v>14</v>
      </c>
      <c r="H56">
        <v>9.4700000000000006</v>
      </c>
      <c r="I56">
        <v>2</v>
      </c>
      <c r="J56" t="s">
        <v>52</v>
      </c>
      <c r="K56" s="13">
        <v>54.655999999999999</v>
      </c>
      <c r="L56" s="13">
        <v>14.157833333333301</v>
      </c>
      <c r="M56" t="s">
        <v>53</v>
      </c>
      <c r="N56" t="s">
        <v>13</v>
      </c>
    </row>
    <row r="57" spans="2:14" x14ac:dyDescent="0.25">
      <c r="B57">
        <v>24046</v>
      </c>
      <c r="C57" t="s">
        <v>71</v>
      </c>
      <c r="D57">
        <v>24</v>
      </c>
      <c r="E57">
        <v>54</v>
      </c>
      <c r="F57">
        <v>40.200000000000003</v>
      </c>
      <c r="G57">
        <v>14</v>
      </c>
      <c r="H57">
        <v>30.7</v>
      </c>
      <c r="I57">
        <v>2</v>
      </c>
      <c r="J57" t="s">
        <v>57</v>
      </c>
      <c r="K57" s="13">
        <v>54.67</v>
      </c>
      <c r="L57" s="13">
        <v>14.5116666666667</v>
      </c>
      <c r="M57" t="s">
        <v>53</v>
      </c>
      <c r="N57" t="s">
        <v>13</v>
      </c>
    </row>
    <row r="58" spans="2:14" x14ac:dyDescent="0.25">
      <c r="B58">
        <v>24047</v>
      </c>
      <c r="C58" t="s">
        <v>71</v>
      </c>
      <c r="D58">
        <v>24</v>
      </c>
      <c r="E58">
        <v>54</v>
      </c>
      <c r="F58">
        <v>35.4</v>
      </c>
      <c r="G58">
        <v>14</v>
      </c>
      <c r="H58">
        <v>27.96</v>
      </c>
      <c r="I58">
        <v>2</v>
      </c>
      <c r="J58" t="s">
        <v>52</v>
      </c>
      <c r="K58" s="13">
        <v>54.59</v>
      </c>
      <c r="L58" s="13">
        <v>14.465999999999999</v>
      </c>
      <c r="M58" t="s">
        <v>53</v>
      </c>
      <c r="N58" t="s">
        <v>13</v>
      </c>
    </row>
    <row r="59" spans="2:14" x14ac:dyDescent="0.25">
      <c r="B59">
        <v>24055</v>
      </c>
      <c r="C59" t="s">
        <v>71</v>
      </c>
      <c r="D59">
        <v>24</v>
      </c>
      <c r="E59">
        <v>54</v>
      </c>
      <c r="F59">
        <v>34.159999999999997</v>
      </c>
      <c r="G59">
        <v>14</v>
      </c>
      <c r="H59">
        <v>43.13</v>
      </c>
      <c r="I59">
        <v>2</v>
      </c>
      <c r="J59" t="s">
        <v>70</v>
      </c>
      <c r="K59" s="13">
        <v>54.569333333333297</v>
      </c>
      <c r="L59" s="13">
        <v>14.718833333333301</v>
      </c>
      <c r="M59" t="s">
        <v>53</v>
      </c>
      <c r="N59" t="s">
        <v>13</v>
      </c>
    </row>
    <row r="60" spans="2:14" x14ac:dyDescent="0.25">
      <c r="B60">
        <v>24057</v>
      </c>
      <c r="C60" t="s">
        <v>69</v>
      </c>
      <c r="D60">
        <v>24</v>
      </c>
      <c r="E60">
        <v>54</v>
      </c>
      <c r="F60">
        <v>32.299999999999997</v>
      </c>
      <c r="G60">
        <v>14</v>
      </c>
      <c r="H60">
        <v>56.3</v>
      </c>
      <c r="I60">
        <v>2</v>
      </c>
      <c r="J60" t="s">
        <v>70</v>
      </c>
      <c r="K60" s="13">
        <v>54.538333333333298</v>
      </c>
      <c r="L60" s="13">
        <v>14.938333333333301</v>
      </c>
      <c r="M60" t="s">
        <v>53</v>
      </c>
      <c r="N60" t="s">
        <v>13</v>
      </c>
    </row>
    <row r="61" spans="2:14" x14ac:dyDescent="0.25">
      <c r="B61">
        <v>24059</v>
      </c>
      <c r="C61" t="s">
        <v>65</v>
      </c>
      <c r="D61">
        <v>24</v>
      </c>
      <c r="E61">
        <v>54</v>
      </c>
      <c r="F61">
        <v>46.77</v>
      </c>
      <c r="G61">
        <v>12</v>
      </c>
      <c r="H61">
        <v>21.78</v>
      </c>
      <c r="I61">
        <v>2</v>
      </c>
      <c r="J61" t="s">
        <v>57</v>
      </c>
      <c r="K61" s="13">
        <v>54.779499999999999</v>
      </c>
      <c r="L61" s="13">
        <v>12.363</v>
      </c>
      <c r="M61" t="s">
        <v>53</v>
      </c>
      <c r="N61" t="s">
        <v>13</v>
      </c>
    </row>
    <row r="62" spans="2:14" x14ac:dyDescent="0.25">
      <c r="B62">
        <v>24066</v>
      </c>
      <c r="C62" t="s">
        <v>68</v>
      </c>
      <c r="D62">
        <v>24</v>
      </c>
      <c r="E62">
        <v>54</v>
      </c>
      <c r="F62">
        <v>44.6</v>
      </c>
      <c r="G62">
        <v>13</v>
      </c>
      <c r="H62">
        <v>20.22</v>
      </c>
      <c r="I62">
        <v>2</v>
      </c>
      <c r="J62" t="s">
        <v>52</v>
      </c>
      <c r="K62" s="13">
        <v>54.743333333333297</v>
      </c>
      <c r="L62" s="13">
        <v>13.337</v>
      </c>
      <c r="M62" t="s">
        <v>53</v>
      </c>
      <c r="N62" t="s">
        <v>13</v>
      </c>
    </row>
    <row r="63" spans="2:14" x14ac:dyDescent="0.25">
      <c r="B63">
        <v>24086</v>
      </c>
      <c r="C63" t="s">
        <v>72</v>
      </c>
      <c r="D63">
        <v>24</v>
      </c>
      <c r="E63">
        <v>54</v>
      </c>
      <c r="F63">
        <v>59.23</v>
      </c>
      <c r="G63">
        <v>12</v>
      </c>
      <c r="H63">
        <v>40.340000000000003</v>
      </c>
      <c r="I63">
        <v>2</v>
      </c>
      <c r="J63" t="s">
        <v>57</v>
      </c>
      <c r="K63" s="13">
        <v>54.987166666666702</v>
      </c>
      <c r="L63" s="13">
        <v>12.672333333333301</v>
      </c>
      <c r="M63" t="s">
        <v>53</v>
      </c>
      <c r="N63" t="s">
        <v>13</v>
      </c>
    </row>
    <row r="64" spans="2:14" x14ac:dyDescent="0.25">
      <c r="B64">
        <v>24089</v>
      </c>
      <c r="C64" t="s">
        <v>65</v>
      </c>
      <c r="D64">
        <v>24</v>
      </c>
      <c r="E64">
        <v>54</v>
      </c>
      <c r="F64">
        <v>54.125399999999999</v>
      </c>
      <c r="G64">
        <v>12</v>
      </c>
      <c r="H64">
        <v>54</v>
      </c>
      <c r="I64">
        <v>3</v>
      </c>
      <c r="J64" t="s">
        <v>57</v>
      </c>
      <c r="K64" s="13">
        <v>54.902090000000001</v>
      </c>
      <c r="L64" s="13">
        <v>12.9</v>
      </c>
      <c r="M64" t="s">
        <v>53</v>
      </c>
      <c r="N64" t="s">
        <v>13</v>
      </c>
    </row>
    <row r="65" spans="2:14" x14ac:dyDescent="0.25">
      <c r="B65">
        <v>24095</v>
      </c>
      <c r="C65" t="s">
        <v>72</v>
      </c>
      <c r="D65">
        <v>24</v>
      </c>
      <c r="E65">
        <v>55</v>
      </c>
      <c r="F65">
        <v>5</v>
      </c>
      <c r="G65">
        <v>12</v>
      </c>
      <c r="H65">
        <v>50.1</v>
      </c>
      <c r="I65">
        <v>2</v>
      </c>
      <c r="J65" t="s">
        <v>57</v>
      </c>
      <c r="K65" s="13">
        <v>55.0833333333333</v>
      </c>
      <c r="L65" s="13">
        <v>12.835000000000001</v>
      </c>
      <c r="M65" t="s">
        <v>53</v>
      </c>
      <c r="N65" t="s">
        <v>13</v>
      </c>
    </row>
    <row r="66" spans="2:14" x14ac:dyDescent="0.25">
      <c r="B66">
        <v>24101</v>
      </c>
      <c r="C66" t="s">
        <v>66</v>
      </c>
      <c r="D66">
        <v>24</v>
      </c>
      <c r="E66">
        <v>55</v>
      </c>
      <c r="F66">
        <v>6.87</v>
      </c>
      <c r="G66">
        <v>13</v>
      </c>
      <c r="H66">
        <v>52.47</v>
      </c>
      <c r="I66">
        <v>3</v>
      </c>
      <c r="J66" t="s">
        <v>67</v>
      </c>
      <c r="K66" s="13">
        <v>55.1145</v>
      </c>
      <c r="L66" s="13">
        <v>13.874499999999999</v>
      </c>
      <c r="M66" t="s">
        <v>53</v>
      </c>
      <c r="N66" t="s">
        <v>13</v>
      </c>
    </row>
    <row r="67" spans="2:14" x14ac:dyDescent="0.25">
      <c r="B67">
        <v>24104</v>
      </c>
      <c r="C67" t="s">
        <v>66</v>
      </c>
      <c r="D67">
        <v>24</v>
      </c>
      <c r="E67">
        <v>55</v>
      </c>
      <c r="F67">
        <v>3.98</v>
      </c>
      <c r="G67">
        <v>13</v>
      </c>
      <c r="H67">
        <v>20.399999999999999</v>
      </c>
      <c r="I67">
        <v>3</v>
      </c>
      <c r="J67" t="s">
        <v>67</v>
      </c>
      <c r="K67" s="13">
        <v>55.066333333333297</v>
      </c>
      <c r="L67" s="13">
        <v>13.34</v>
      </c>
      <c r="M67" t="s">
        <v>53</v>
      </c>
      <c r="N67" t="s">
        <v>13</v>
      </c>
    </row>
    <row r="68" spans="2:14" x14ac:dyDescent="0.25">
      <c r="B68">
        <v>24107</v>
      </c>
      <c r="C68" t="s">
        <v>66</v>
      </c>
      <c r="D68">
        <v>24</v>
      </c>
      <c r="E68">
        <v>55</v>
      </c>
      <c r="F68">
        <v>16.399999999999999</v>
      </c>
      <c r="G68">
        <v>13</v>
      </c>
      <c r="H68">
        <v>44.6</v>
      </c>
      <c r="I68">
        <v>3</v>
      </c>
      <c r="J68" t="s">
        <v>67</v>
      </c>
      <c r="K68" s="13">
        <v>55.273333333333298</v>
      </c>
      <c r="L68" s="13">
        <v>13.7433333333333</v>
      </c>
      <c r="M68" t="s">
        <v>53</v>
      </c>
      <c r="N68" t="s">
        <v>17</v>
      </c>
    </row>
    <row r="69" spans="2:14" x14ac:dyDescent="0.25">
      <c r="B69">
        <v>24142</v>
      </c>
      <c r="C69" t="s">
        <v>73</v>
      </c>
      <c r="D69">
        <v>24</v>
      </c>
      <c r="E69">
        <v>55</v>
      </c>
      <c r="F69">
        <v>16.399999999999999</v>
      </c>
      <c r="G69">
        <v>14</v>
      </c>
      <c r="H69">
        <v>5</v>
      </c>
      <c r="I69">
        <v>2</v>
      </c>
      <c r="J69" t="s">
        <v>67</v>
      </c>
      <c r="K69" s="13">
        <v>55.273333333333298</v>
      </c>
      <c r="L69" s="13">
        <v>14.0833333333333</v>
      </c>
      <c r="M69" t="s">
        <v>53</v>
      </c>
      <c r="N69" t="s">
        <v>17</v>
      </c>
    </row>
    <row r="70" spans="2:14" x14ac:dyDescent="0.25">
      <c r="B70">
        <v>24150</v>
      </c>
      <c r="C70" t="s">
        <v>71</v>
      </c>
      <c r="D70">
        <v>24</v>
      </c>
      <c r="E70">
        <v>54</v>
      </c>
      <c r="F70">
        <v>36.770000000000003</v>
      </c>
      <c r="G70">
        <v>14</v>
      </c>
      <c r="H70">
        <v>46.61</v>
      </c>
      <c r="I70">
        <v>3</v>
      </c>
      <c r="J70" t="s">
        <v>57</v>
      </c>
      <c r="K70" s="13">
        <v>54.612833333333299</v>
      </c>
      <c r="L70" s="13">
        <v>14.7768333333333</v>
      </c>
      <c r="M70" t="s">
        <v>53</v>
      </c>
      <c r="N70" t="s">
        <v>13</v>
      </c>
    </row>
    <row r="71" spans="2:14" x14ac:dyDescent="0.25">
      <c r="B71">
        <v>24164</v>
      </c>
      <c r="C71" t="s">
        <v>71</v>
      </c>
      <c r="D71">
        <v>24</v>
      </c>
      <c r="E71">
        <v>54</v>
      </c>
      <c r="F71">
        <v>40.17</v>
      </c>
      <c r="G71">
        <v>14</v>
      </c>
      <c r="H71">
        <v>40.29</v>
      </c>
      <c r="I71">
        <v>3</v>
      </c>
      <c r="J71" t="s">
        <v>57</v>
      </c>
      <c r="K71" s="13">
        <v>54.669499999999999</v>
      </c>
      <c r="L71" s="13">
        <v>14.6715</v>
      </c>
      <c r="M71" t="s">
        <v>53</v>
      </c>
      <c r="N71" t="s">
        <v>13</v>
      </c>
    </row>
    <row r="72" spans="2:14" x14ac:dyDescent="0.25">
      <c r="B72">
        <v>24169</v>
      </c>
      <c r="C72" t="s">
        <v>65</v>
      </c>
      <c r="D72">
        <v>24</v>
      </c>
      <c r="E72">
        <v>54</v>
      </c>
      <c r="F72">
        <v>54.8</v>
      </c>
      <c r="G72">
        <v>12</v>
      </c>
      <c r="H72">
        <v>58.5</v>
      </c>
      <c r="I72">
        <v>2</v>
      </c>
      <c r="J72" t="s">
        <v>57</v>
      </c>
      <c r="K72" s="13">
        <v>54.913333333333298</v>
      </c>
      <c r="L72" s="13">
        <v>12.975</v>
      </c>
      <c r="M72" t="s">
        <v>53</v>
      </c>
      <c r="N72" t="s">
        <v>13</v>
      </c>
    </row>
    <row r="73" spans="2:14" x14ac:dyDescent="0.25">
      <c r="B73">
        <v>24183</v>
      </c>
      <c r="C73" t="s">
        <v>68</v>
      </c>
      <c r="D73">
        <v>24</v>
      </c>
      <c r="E73">
        <v>55</v>
      </c>
      <c r="F73">
        <v>0</v>
      </c>
      <c r="G73">
        <v>13</v>
      </c>
      <c r="H73">
        <v>31.7</v>
      </c>
      <c r="I73">
        <v>3</v>
      </c>
      <c r="J73" t="s">
        <v>52</v>
      </c>
      <c r="K73" s="13">
        <v>55</v>
      </c>
      <c r="L73" s="13">
        <v>13.5283333333333</v>
      </c>
      <c r="M73" t="s">
        <v>53</v>
      </c>
      <c r="N73" t="s">
        <v>13</v>
      </c>
    </row>
    <row r="74" spans="2:14" x14ac:dyDescent="0.25">
      <c r="B74">
        <v>24207</v>
      </c>
      <c r="C74" t="s">
        <v>71</v>
      </c>
      <c r="D74">
        <v>24</v>
      </c>
      <c r="E74">
        <v>54</v>
      </c>
      <c r="F74">
        <v>59.2</v>
      </c>
      <c r="G74">
        <v>14</v>
      </c>
      <c r="H74">
        <v>9.5</v>
      </c>
      <c r="I74">
        <v>3</v>
      </c>
      <c r="J74" t="s">
        <v>57</v>
      </c>
      <c r="K74" s="13">
        <v>54.9866666666667</v>
      </c>
      <c r="L74" s="13">
        <v>14.158333333333299</v>
      </c>
      <c r="M74" t="s">
        <v>53</v>
      </c>
      <c r="N74" t="s">
        <v>13</v>
      </c>
    </row>
    <row r="75" spans="2:14" x14ac:dyDescent="0.25">
      <c r="B75">
        <v>24251</v>
      </c>
      <c r="C75" t="s">
        <v>73</v>
      </c>
      <c r="D75">
        <v>24</v>
      </c>
      <c r="E75">
        <v>55</v>
      </c>
      <c r="F75">
        <v>5.4</v>
      </c>
      <c r="G75">
        <v>14</v>
      </c>
      <c r="H75">
        <v>33.14</v>
      </c>
      <c r="I75">
        <v>3</v>
      </c>
      <c r="J75" t="s">
        <v>57</v>
      </c>
      <c r="K75" s="13">
        <v>55.09</v>
      </c>
      <c r="L75" s="13">
        <v>14.5523333333333</v>
      </c>
      <c r="M75" t="s">
        <v>53</v>
      </c>
      <c r="N75" t="s">
        <v>13</v>
      </c>
    </row>
    <row r="76" spans="2:14" x14ac:dyDescent="0.25">
      <c r="B76">
        <v>24252</v>
      </c>
      <c r="C76" t="s">
        <v>66</v>
      </c>
      <c r="D76">
        <v>24</v>
      </c>
      <c r="E76">
        <v>55</v>
      </c>
      <c r="F76">
        <v>12.47</v>
      </c>
      <c r="G76">
        <v>13</v>
      </c>
      <c r="H76">
        <v>10.47</v>
      </c>
      <c r="I76">
        <v>3</v>
      </c>
      <c r="J76" t="s">
        <v>67</v>
      </c>
      <c r="K76" s="13">
        <v>55.207833333333298</v>
      </c>
      <c r="L76" s="13">
        <v>13.1745</v>
      </c>
      <c r="M76" t="s">
        <v>53</v>
      </c>
      <c r="N76" t="s">
        <v>17</v>
      </c>
    </row>
    <row r="77" spans="2:14" x14ac:dyDescent="0.25">
      <c r="B77">
        <v>24275</v>
      </c>
      <c r="C77" t="s">
        <v>73</v>
      </c>
      <c r="D77">
        <v>24</v>
      </c>
      <c r="E77">
        <v>55</v>
      </c>
      <c r="F77">
        <v>11.91</v>
      </c>
      <c r="G77">
        <v>14</v>
      </c>
      <c r="H77">
        <v>18.7</v>
      </c>
      <c r="I77">
        <v>3</v>
      </c>
      <c r="J77" t="s">
        <v>57</v>
      </c>
      <c r="K77" s="13">
        <v>55.198500000000003</v>
      </c>
      <c r="L77" s="13">
        <v>14.311666666666699</v>
      </c>
      <c r="M77" t="s">
        <v>53</v>
      </c>
      <c r="N77" t="s">
        <v>13</v>
      </c>
    </row>
    <row r="78" spans="2:14" x14ac:dyDescent="0.25">
      <c r="B78">
        <v>24278</v>
      </c>
      <c r="C78" t="s">
        <v>74</v>
      </c>
      <c r="D78">
        <v>24</v>
      </c>
      <c r="E78">
        <v>54</v>
      </c>
      <c r="F78">
        <v>46.1</v>
      </c>
      <c r="G78">
        <v>15</v>
      </c>
      <c r="H78">
        <v>0</v>
      </c>
      <c r="I78">
        <v>3</v>
      </c>
      <c r="J78" t="s">
        <v>57</v>
      </c>
      <c r="K78" s="13">
        <v>54.768333333333302</v>
      </c>
      <c r="L78" s="13">
        <v>15</v>
      </c>
      <c r="M78" t="s">
        <v>53</v>
      </c>
      <c r="N78" t="s">
        <v>13</v>
      </c>
    </row>
    <row r="79" spans="2:14" x14ac:dyDescent="0.25">
      <c r="B79">
        <v>24287</v>
      </c>
      <c r="C79" t="s">
        <v>73</v>
      </c>
      <c r="D79">
        <v>24</v>
      </c>
      <c r="E79">
        <v>55</v>
      </c>
      <c r="F79">
        <v>2.5</v>
      </c>
      <c r="G79">
        <v>14</v>
      </c>
      <c r="H79">
        <v>13.4</v>
      </c>
      <c r="I79">
        <v>3</v>
      </c>
      <c r="J79" t="s">
        <v>57</v>
      </c>
      <c r="K79" s="13">
        <v>55.0416666666667</v>
      </c>
      <c r="L79" s="13">
        <v>14.223333333333301</v>
      </c>
      <c r="M79" t="s">
        <v>53</v>
      </c>
      <c r="N79" t="s">
        <v>13</v>
      </c>
    </row>
    <row r="80" spans="2:14" x14ac:dyDescent="0.25">
      <c r="B80">
        <v>24300</v>
      </c>
      <c r="C80" t="s">
        <v>71</v>
      </c>
      <c r="D80">
        <v>24</v>
      </c>
      <c r="E80">
        <v>54</v>
      </c>
      <c r="F80">
        <v>51.74</v>
      </c>
      <c r="G80">
        <v>14</v>
      </c>
      <c r="H80">
        <v>47.68</v>
      </c>
      <c r="I80">
        <v>2</v>
      </c>
      <c r="J80" t="s">
        <v>57</v>
      </c>
      <c r="K80" s="13">
        <v>54.862333333333297</v>
      </c>
      <c r="L80" s="13">
        <v>14.7946666666667</v>
      </c>
      <c r="M80" t="s">
        <v>53</v>
      </c>
      <c r="N80" t="s">
        <v>13</v>
      </c>
    </row>
    <row r="81" spans="2:14" x14ac:dyDescent="0.25">
      <c r="B81">
        <v>24301</v>
      </c>
      <c r="C81" t="s">
        <v>66</v>
      </c>
      <c r="D81">
        <v>24</v>
      </c>
      <c r="E81">
        <v>55</v>
      </c>
      <c r="F81">
        <v>3.36</v>
      </c>
      <c r="G81">
        <v>13</v>
      </c>
      <c r="H81">
        <v>38.36</v>
      </c>
      <c r="I81">
        <v>2</v>
      </c>
      <c r="J81" t="s">
        <v>67</v>
      </c>
      <c r="K81" s="13">
        <v>55.055999999999997</v>
      </c>
      <c r="L81" s="13">
        <v>13.639333333333299</v>
      </c>
      <c r="M81" t="s">
        <v>53</v>
      </c>
      <c r="N81" t="s">
        <v>13</v>
      </c>
    </row>
    <row r="82" spans="2:14" x14ac:dyDescent="0.25">
      <c r="B82">
        <v>24303</v>
      </c>
      <c r="C82" t="s">
        <v>66</v>
      </c>
      <c r="D82">
        <v>24</v>
      </c>
      <c r="E82">
        <v>55</v>
      </c>
      <c r="F82">
        <v>18.829999999999998</v>
      </c>
      <c r="G82">
        <v>13</v>
      </c>
      <c r="H82">
        <v>55.94</v>
      </c>
      <c r="I82">
        <v>2</v>
      </c>
      <c r="J82" t="s">
        <v>67</v>
      </c>
      <c r="K82" s="13">
        <v>55.313833333333299</v>
      </c>
      <c r="L82" s="13">
        <v>13.9323333333333</v>
      </c>
      <c r="M82" t="s">
        <v>53</v>
      </c>
      <c r="N82" t="s">
        <v>17</v>
      </c>
    </row>
    <row r="83" spans="2:14" x14ac:dyDescent="0.25">
      <c r="B83">
        <v>24309</v>
      </c>
      <c r="C83" t="s">
        <v>68</v>
      </c>
      <c r="D83">
        <v>24</v>
      </c>
      <c r="E83">
        <v>54</v>
      </c>
      <c r="F83">
        <v>52.375599999999999</v>
      </c>
      <c r="G83">
        <v>13</v>
      </c>
      <c r="H83">
        <v>34.269399999999997</v>
      </c>
      <c r="I83">
        <v>3</v>
      </c>
      <c r="J83" t="s">
        <v>52</v>
      </c>
      <c r="K83" s="13">
        <v>54.8729266666667</v>
      </c>
      <c r="L83" s="13">
        <v>13.571156666666701</v>
      </c>
      <c r="M83" t="s">
        <v>53</v>
      </c>
      <c r="N83" t="s">
        <v>13</v>
      </c>
    </row>
    <row r="84" spans="2:14" x14ac:dyDescent="0.25">
      <c r="B84">
        <v>24310</v>
      </c>
      <c r="C84" t="s">
        <v>68</v>
      </c>
      <c r="D84">
        <v>24</v>
      </c>
      <c r="E84">
        <v>54</v>
      </c>
      <c r="F84">
        <v>59.326999999999998</v>
      </c>
      <c r="G84">
        <v>13</v>
      </c>
      <c r="H84">
        <v>52.183599999999998</v>
      </c>
      <c r="I84">
        <v>3</v>
      </c>
      <c r="J84" t="s">
        <v>52</v>
      </c>
      <c r="K84" s="13">
        <v>54.988783333333302</v>
      </c>
      <c r="L84" s="13">
        <v>13.869726666666701</v>
      </c>
      <c r="M84" t="s">
        <v>53</v>
      </c>
      <c r="N84" t="s">
        <v>13</v>
      </c>
    </row>
    <row r="85" spans="2:14" x14ac:dyDescent="0.25">
      <c r="B85">
        <v>24311</v>
      </c>
      <c r="C85" t="s">
        <v>71</v>
      </c>
      <c r="D85">
        <v>24</v>
      </c>
      <c r="E85">
        <v>55</v>
      </c>
      <c r="F85">
        <v>0.88</v>
      </c>
      <c r="G85">
        <v>14</v>
      </c>
      <c r="H85">
        <v>16.399999999999999</v>
      </c>
      <c r="I85">
        <v>3</v>
      </c>
      <c r="J85" t="s">
        <v>57</v>
      </c>
      <c r="K85" s="13">
        <v>55.014666666666699</v>
      </c>
      <c r="L85" s="13">
        <v>14.2733333333333</v>
      </c>
      <c r="M85" t="s">
        <v>53</v>
      </c>
      <c r="N85" t="s">
        <v>13</v>
      </c>
    </row>
    <row r="86" spans="2:14" x14ac:dyDescent="0.25">
      <c r="B86">
        <v>24328</v>
      </c>
      <c r="C86" t="s">
        <v>65</v>
      </c>
      <c r="D86">
        <v>24</v>
      </c>
      <c r="E86">
        <v>54</v>
      </c>
      <c r="F86">
        <v>38.39</v>
      </c>
      <c r="G86">
        <v>12</v>
      </c>
      <c r="H86">
        <v>41.08</v>
      </c>
      <c r="I86">
        <v>2</v>
      </c>
      <c r="J86" t="s">
        <v>52</v>
      </c>
      <c r="K86" s="13">
        <v>54.6398333333333</v>
      </c>
      <c r="L86" s="13">
        <v>12.684666666666701</v>
      </c>
      <c r="M86" t="s">
        <v>53</v>
      </c>
      <c r="N86" t="s">
        <v>13</v>
      </c>
    </row>
    <row r="87" spans="2:14" x14ac:dyDescent="0.25">
      <c r="B87">
        <v>24329</v>
      </c>
      <c r="C87" t="s">
        <v>69</v>
      </c>
      <c r="D87">
        <v>24</v>
      </c>
      <c r="E87">
        <v>54</v>
      </c>
      <c r="F87">
        <v>26</v>
      </c>
      <c r="G87">
        <v>14</v>
      </c>
      <c r="H87">
        <v>15.6</v>
      </c>
      <c r="I87">
        <v>2</v>
      </c>
      <c r="J87" t="s">
        <v>52</v>
      </c>
      <c r="K87" s="13">
        <v>54.433333333333302</v>
      </c>
      <c r="L87" s="13">
        <v>14.26</v>
      </c>
      <c r="M87" t="s">
        <v>53</v>
      </c>
      <c r="N87" t="s">
        <v>13</v>
      </c>
    </row>
    <row r="88" spans="2:14" x14ac:dyDescent="0.25">
      <c r="B88">
        <v>24335</v>
      </c>
      <c r="C88" t="s">
        <v>69</v>
      </c>
      <c r="D88">
        <v>24</v>
      </c>
      <c r="E88">
        <v>54</v>
      </c>
      <c r="F88">
        <v>11.5</v>
      </c>
      <c r="G88">
        <v>14</v>
      </c>
      <c r="H88">
        <v>18.600000000000001</v>
      </c>
      <c r="I88">
        <v>2</v>
      </c>
      <c r="J88" t="s">
        <v>52</v>
      </c>
      <c r="K88" s="13">
        <v>54.191666666666698</v>
      </c>
      <c r="L88" s="13">
        <v>14.31</v>
      </c>
      <c r="M88" t="s">
        <v>53</v>
      </c>
      <c r="N88" t="s">
        <v>13</v>
      </c>
    </row>
    <row r="89" spans="2:14" x14ac:dyDescent="0.25">
      <c r="B89">
        <v>25004</v>
      </c>
      <c r="C89" t="s">
        <v>75</v>
      </c>
      <c r="D89">
        <v>25</v>
      </c>
      <c r="E89">
        <v>54</v>
      </c>
      <c r="F89">
        <v>52.7</v>
      </c>
      <c r="G89">
        <v>16</v>
      </c>
      <c r="H89">
        <v>38.6</v>
      </c>
      <c r="I89">
        <v>2</v>
      </c>
      <c r="J89" t="s">
        <v>70</v>
      </c>
      <c r="K89" s="13">
        <v>54.878333333333302</v>
      </c>
      <c r="L89" s="13">
        <v>16.643333333333299</v>
      </c>
      <c r="M89" t="s">
        <v>76</v>
      </c>
      <c r="N89" t="s">
        <v>15</v>
      </c>
    </row>
    <row r="90" spans="2:14" x14ac:dyDescent="0.25">
      <c r="B90">
        <v>25006</v>
      </c>
      <c r="C90" t="s">
        <v>77</v>
      </c>
      <c r="D90">
        <v>25</v>
      </c>
      <c r="E90">
        <v>54</v>
      </c>
      <c r="F90">
        <v>26</v>
      </c>
      <c r="G90">
        <v>15</v>
      </c>
      <c r="H90">
        <v>8.8000000000000007</v>
      </c>
      <c r="I90">
        <v>2</v>
      </c>
      <c r="J90" t="s">
        <v>70</v>
      </c>
      <c r="K90" s="13">
        <v>54.433333333333302</v>
      </c>
      <c r="L90" s="13">
        <v>15.1466666666667</v>
      </c>
      <c r="M90" t="s">
        <v>76</v>
      </c>
      <c r="N90" t="s">
        <v>15</v>
      </c>
    </row>
    <row r="91" spans="2:14" x14ac:dyDescent="0.25">
      <c r="B91">
        <v>25008</v>
      </c>
      <c r="C91" t="s">
        <v>77</v>
      </c>
      <c r="D91">
        <v>25</v>
      </c>
      <c r="E91">
        <v>54</v>
      </c>
      <c r="F91">
        <v>23</v>
      </c>
      <c r="G91">
        <v>15</v>
      </c>
      <c r="H91">
        <v>34</v>
      </c>
      <c r="I91">
        <v>2</v>
      </c>
      <c r="J91" t="s">
        <v>70</v>
      </c>
      <c r="K91" s="13">
        <v>54.383333333333297</v>
      </c>
      <c r="L91" s="13">
        <v>15.5666666666667</v>
      </c>
      <c r="M91" t="s">
        <v>76</v>
      </c>
      <c r="N91" t="s">
        <v>16</v>
      </c>
    </row>
    <row r="92" spans="2:14" x14ac:dyDescent="0.25">
      <c r="B92">
        <v>25009</v>
      </c>
      <c r="C92" t="s">
        <v>77</v>
      </c>
      <c r="D92">
        <v>25</v>
      </c>
      <c r="E92">
        <v>54</v>
      </c>
      <c r="F92">
        <v>22.9</v>
      </c>
      <c r="G92">
        <v>15</v>
      </c>
      <c r="H92">
        <v>47.3</v>
      </c>
      <c r="I92">
        <v>2</v>
      </c>
      <c r="J92" t="s">
        <v>70</v>
      </c>
      <c r="K92" s="13">
        <v>54.381666666666703</v>
      </c>
      <c r="L92" s="13">
        <v>15.7883333333333</v>
      </c>
      <c r="M92" t="s">
        <v>76</v>
      </c>
      <c r="N92" t="s">
        <v>16</v>
      </c>
    </row>
    <row r="93" spans="2:14" x14ac:dyDescent="0.25">
      <c r="B93">
        <v>25010</v>
      </c>
      <c r="C93" t="s">
        <v>78</v>
      </c>
      <c r="D93">
        <v>25</v>
      </c>
      <c r="E93">
        <v>54</v>
      </c>
      <c r="F93">
        <v>26.8</v>
      </c>
      <c r="G93">
        <v>16</v>
      </c>
      <c r="H93">
        <v>5.3</v>
      </c>
      <c r="I93">
        <v>2</v>
      </c>
      <c r="J93" t="s">
        <v>70</v>
      </c>
      <c r="K93" s="13">
        <v>54.446666666666701</v>
      </c>
      <c r="L93" s="13">
        <v>16.088333333333299</v>
      </c>
      <c r="M93" t="s">
        <v>76</v>
      </c>
      <c r="N93" t="s">
        <v>16</v>
      </c>
    </row>
    <row r="94" spans="2:14" x14ac:dyDescent="0.25">
      <c r="B94">
        <v>25011</v>
      </c>
      <c r="C94" t="s">
        <v>78</v>
      </c>
      <c r="D94">
        <v>25</v>
      </c>
      <c r="E94">
        <v>54</v>
      </c>
      <c r="F94">
        <v>24.7</v>
      </c>
      <c r="G94">
        <v>16</v>
      </c>
      <c r="H94">
        <v>3</v>
      </c>
      <c r="I94">
        <v>2</v>
      </c>
      <c r="J94" t="s">
        <v>70</v>
      </c>
      <c r="K94" s="13">
        <v>54.411666666666697</v>
      </c>
      <c r="L94" s="13">
        <v>16.05</v>
      </c>
      <c r="M94" t="s">
        <v>76</v>
      </c>
      <c r="N94" t="s">
        <v>16</v>
      </c>
    </row>
    <row r="95" spans="2:14" x14ac:dyDescent="0.25">
      <c r="B95">
        <v>25013</v>
      </c>
      <c r="C95" t="s">
        <v>75</v>
      </c>
      <c r="D95">
        <v>25</v>
      </c>
      <c r="E95">
        <v>54</v>
      </c>
      <c r="F95">
        <v>39</v>
      </c>
      <c r="G95">
        <v>16</v>
      </c>
      <c r="H95">
        <v>23.6</v>
      </c>
      <c r="I95">
        <v>2</v>
      </c>
      <c r="J95" t="s">
        <v>70</v>
      </c>
      <c r="K95" s="13">
        <v>54.65</v>
      </c>
      <c r="L95" s="13">
        <v>16.393333333333299</v>
      </c>
      <c r="M95" t="s">
        <v>76</v>
      </c>
      <c r="N95" t="s">
        <v>16</v>
      </c>
    </row>
    <row r="96" spans="2:14" x14ac:dyDescent="0.25">
      <c r="B96">
        <v>25014</v>
      </c>
      <c r="C96" t="s">
        <v>75</v>
      </c>
      <c r="D96">
        <v>25</v>
      </c>
      <c r="E96">
        <v>54</v>
      </c>
      <c r="F96">
        <v>41.6</v>
      </c>
      <c r="G96">
        <v>16</v>
      </c>
      <c r="H96">
        <v>38.700000000000003</v>
      </c>
      <c r="I96">
        <v>2</v>
      </c>
      <c r="J96" t="s">
        <v>70</v>
      </c>
      <c r="K96" s="13">
        <v>54.6933333333333</v>
      </c>
      <c r="L96" s="13">
        <v>16.645</v>
      </c>
      <c r="M96" t="s">
        <v>76</v>
      </c>
      <c r="N96" t="s">
        <v>16</v>
      </c>
    </row>
    <row r="97" spans="2:14" x14ac:dyDescent="0.25">
      <c r="B97">
        <v>25016</v>
      </c>
      <c r="C97" t="s">
        <v>75</v>
      </c>
      <c r="D97">
        <v>25</v>
      </c>
      <c r="E97">
        <v>54</v>
      </c>
      <c r="F97">
        <v>44.6</v>
      </c>
      <c r="G97">
        <v>16</v>
      </c>
      <c r="H97">
        <v>49</v>
      </c>
      <c r="I97">
        <v>2</v>
      </c>
      <c r="J97" t="s">
        <v>70</v>
      </c>
      <c r="K97" s="13">
        <v>54.743333333333297</v>
      </c>
      <c r="L97" s="13">
        <v>16.816666666666698</v>
      </c>
      <c r="M97" t="s">
        <v>76</v>
      </c>
      <c r="N97" t="s">
        <v>16</v>
      </c>
    </row>
    <row r="98" spans="2:14" x14ac:dyDescent="0.25">
      <c r="B98">
        <v>25017</v>
      </c>
      <c r="C98" t="s">
        <v>75</v>
      </c>
      <c r="D98">
        <v>25</v>
      </c>
      <c r="E98">
        <v>54</v>
      </c>
      <c r="F98">
        <v>44.2</v>
      </c>
      <c r="G98">
        <v>16</v>
      </c>
      <c r="H98">
        <v>52.3</v>
      </c>
      <c r="I98">
        <v>2</v>
      </c>
      <c r="J98" t="s">
        <v>70</v>
      </c>
      <c r="K98" s="13">
        <v>54.7366666666667</v>
      </c>
      <c r="L98" s="13">
        <v>16.871666666666702</v>
      </c>
      <c r="M98" t="s">
        <v>76</v>
      </c>
      <c r="N98" t="s">
        <v>16</v>
      </c>
    </row>
    <row r="99" spans="2:14" x14ac:dyDescent="0.25">
      <c r="B99">
        <v>25022</v>
      </c>
      <c r="C99" t="s">
        <v>79</v>
      </c>
      <c r="D99">
        <v>25</v>
      </c>
      <c r="E99">
        <v>54</v>
      </c>
      <c r="F99">
        <v>57.4</v>
      </c>
      <c r="G99">
        <v>17</v>
      </c>
      <c r="H99">
        <v>25</v>
      </c>
      <c r="I99">
        <v>2</v>
      </c>
      <c r="J99" t="s">
        <v>70</v>
      </c>
      <c r="K99" s="13">
        <v>54.956666666666699</v>
      </c>
      <c r="L99" s="13">
        <v>17.4166666666667</v>
      </c>
      <c r="M99" t="s">
        <v>76</v>
      </c>
      <c r="N99" t="s">
        <v>15</v>
      </c>
    </row>
    <row r="100" spans="2:14" x14ac:dyDescent="0.25">
      <c r="B100">
        <v>25024</v>
      </c>
      <c r="C100" t="s">
        <v>79</v>
      </c>
      <c r="D100">
        <v>25</v>
      </c>
      <c r="E100">
        <v>54</v>
      </c>
      <c r="F100">
        <v>51</v>
      </c>
      <c r="G100">
        <v>17</v>
      </c>
      <c r="H100">
        <v>28</v>
      </c>
      <c r="I100">
        <v>2</v>
      </c>
      <c r="J100" t="s">
        <v>70</v>
      </c>
      <c r="K100" s="13">
        <v>54.85</v>
      </c>
      <c r="L100" s="13">
        <v>17.466666666666701</v>
      </c>
      <c r="M100" t="s">
        <v>76</v>
      </c>
      <c r="N100" t="s">
        <v>16</v>
      </c>
    </row>
    <row r="101" spans="2:14" x14ac:dyDescent="0.25">
      <c r="B101">
        <v>25030</v>
      </c>
      <c r="C101" t="s">
        <v>80</v>
      </c>
      <c r="D101">
        <v>25</v>
      </c>
      <c r="E101">
        <v>55</v>
      </c>
      <c r="F101">
        <v>29.3</v>
      </c>
      <c r="G101">
        <v>17</v>
      </c>
      <c r="H101">
        <v>27.8</v>
      </c>
      <c r="I101">
        <v>3</v>
      </c>
      <c r="J101" t="s">
        <v>70</v>
      </c>
      <c r="K101" s="13">
        <v>55.488333333333301</v>
      </c>
      <c r="L101" s="13">
        <v>17.463333333333299</v>
      </c>
      <c r="M101" t="s">
        <v>76</v>
      </c>
      <c r="N101" t="s">
        <v>15</v>
      </c>
    </row>
    <row r="102" spans="2:14" x14ac:dyDescent="0.25">
      <c r="B102">
        <v>25041</v>
      </c>
      <c r="C102" t="s">
        <v>77</v>
      </c>
      <c r="D102">
        <v>25</v>
      </c>
      <c r="E102">
        <v>54</v>
      </c>
      <c r="F102">
        <v>24.9</v>
      </c>
      <c r="G102">
        <v>15</v>
      </c>
      <c r="H102">
        <v>41</v>
      </c>
      <c r="I102">
        <v>3</v>
      </c>
      <c r="J102" t="s">
        <v>70</v>
      </c>
      <c r="K102" s="13">
        <v>54.414999999999999</v>
      </c>
      <c r="L102" s="13">
        <v>15.6833333333333</v>
      </c>
      <c r="M102" t="s">
        <v>76</v>
      </c>
      <c r="N102" t="s">
        <v>16</v>
      </c>
    </row>
    <row r="103" spans="2:14" x14ac:dyDescent="0.25">
      <c r="B103">
        <v>25042</v>
      </c>
      <c r="C103" t="s">
        <v>77</v>
      </c>
      <c r="D103">
        <v>25</v>
      </c>
      <c r="E103">
        <v>54</v>
      </c>
      <c r="F103">
        <v>32</v>
      </c>
      <c r="G103">
        <v>16</v>
      </c>
      <c r="H103">
        <v>0</v>
      </c>
      <c r="I103">
        <v>3</v>
      </c>
      <c r="J103" t="s">
        <v>70</v>
      </c>
      <c r="K103" s="13">
        <v>54.533333333333303</v>
      </c>
      <c r="L103" s="13">
        <v>16</v>
      </c>
      <c r="M103" t="s">
        <v>76</v>
      </c>
      <c r="N103" t="s">
        <v>15</v>
      </c>
    </row>
    <row r="104" spans="2:14" x14ac:dyDescent="0.25">
      <c r="B104">
        <v>25046</v>
      </c>
      <c r="C104" t="s">
        <v>74</v>
      </c>
      <c r="D104">
        <v>25</v>
      </c>
      <c r="E104">
        <v>54</v>
      </c>
      <c r="F104">
        <v>33.4</v>
      </c>
      <c r="G104">
        <v>15</v>
      </c>
      <c r="H104">
        <v>26.4</v>
      </c>
      <c r="I104">
        <v>3</v>
      </c>
      <c r="J104" t="s">
        <v>70</v>
      </c>
      <c r="K104" s="13">
        <v>54.5566666666667</v>
      </c>
      <c r="L104" s="13">
        <v>15.44</v>
      </c>
      <c r="M104" t="s">
        <v>76</v>
      </c>
      <c r="N104" t="s">
        <v>15</v>
      </c>
    </row>
    <row r="105" spans="2:14" x14ac:dyDescent="0.25">
      <c r="B105">
        <v>25048</v>
      </c>
      <c r="C105" t="s">
        <v>74</v>
      </c>
      <c r="D105">
        <v>25</v>
      </c>
      <c r="E105">
        <v>54</v>
      </c>
      <c r="F105">
        <v>34.1</v>
      </c>
      <c r="G105">
        <v>15</v>
      </c>
      <c r="H105">
        <v>40.1</v>
      </c>
      <c r="I105">
        <v>4</v>
      </c>
      <c r="J105" t="s">
        <v>70</v>
      </c>
      <c r="K105" s="13">
        <v>54.5683333333333</v>
      </c>
      <c r="L105" s="13">
        <v>15.668333333333299</v>
      </c>
      <c r="M105" t="s">
        <v>76</v>
      </c>
      <c r="N105" t="s">
        <v>15</v>
      </c>
    </row>
    <row r="106" spans="2:14" x14ac:dyDescent="0.25">
      <c r="B106">
        <v>25049</v>
      </c>
      <c r="C106" t="s">
        <v>74</v>
      </c>
      <c r="D106">
        <v>25</v>
      </c>
      <c r="E106">
        <v>54</v>
      </c>
      <c r="F106">
        <v>32.5</v>
      </c>
      <c r="G106">
        <v>15</v>
      </c>
      <c r="H106">
        <v>46.1</v>
      </c>
      <c r="I106">
        <v>3</v>
      </c>
      <c r="J106" t="s">
        <v>70</v>
      </c>
      <c r="K106" s="13">
        <v>54.5416666666667</v>
      </c>
      <c r="L106" s="13">
        <v>15.768333333333301</v>
      </c>
      <c r="M106" t="s">
        <v>76</v>
      </c>
      <c r="N106" t="s">
        <v>15</v>
      </c>
    </row>
    <row r="107" spans="2:14" x14ac:dyDescent="0.25">
      <c r="B107">
        <v>25052</v>
      </c>
      <c r="C107" t="s">
        <v>75</v>
      </c>
      <c r="D107">
        <v>25</v>
      </c>
      <c r="E107">
        <v>54</v>
      </c>
      <c r="F107">
        <v>38.4</v>
      </c>
      <c r="G107">
        <v>16</v>
      </c>
      <c r="H107">
        <v>4.5</v>
      </c>
      <c r="I107">
        <v>3</v>
      </c>
      <c r="J107" t="s">
        <v>70</v>
      </c>
      <c r="K107" s="13">
        <v>54.64</v>
      </c>
      <c r="L107" s="13">
        <v>16.074999999999999</v>
      </c>
      <c r="M107" t="s">
        <v>76</v>
      </c>
      <c r="N107" t="s">
        <v>15</v>
      </c>
    </row>
    <row r="108" spans="2:14" x14ac:dyDescent="0.25">
      <c r="B108">
        <v>25053</v>
      </c>
      <c r="C108" t="s">
        <v>74</v>
      </c>
      <c r="D108">
        <v>25</v>
      </c>
      <c r="E108">
        <v>54</v>
      </c>
      <c r="F108">
        <v>48.1</v>
      </c>
      <c r="G108">
        <v>15</v>
      </c>
      <c r="H108">
        <v>0.8</v>
      </c>
      <c r="I108">
        <v>3</v>
      </c>
      <c r="J108" t="s">
        <v>57</v>
      </c>
      <c r="K108" s="13">
        <v>54.801666666666698</v>
      </c>
      <c r="L108" s="13">
        <v>15.0133333333333</v>
      </c>
      <c r="M108" t="s">
        <v>76</v>
      </c>
      <c r="N108" t="s">
        <v>15</v>
      </c>
    </row>
    <row r="109" spans="2:14" x14ac:dyDescent="0.25">
      <c r="B109">
        <v>25056</v>
      </c>
      <c r="C109" t="s">
        <v>74</v>
      </c>
      <c r="D109">
        <v>25</v>
      </c>
      <c r="E109">
        <v>54</v>
      </c>
      <c r="F109">
        <v>44.7</v>
      </c>
      <c r="G109">
        <v>15</v>
      </c>
      <c r="H109">
        <v>57</v>
      </c>
      <c r="I109">
        <v>3</v>
      </c>
      <c r="J109" t="s">
        <v>70</v>
      </c>
      <c r="K109" s="13">
        <v>54.744999999999997</v>
      </c>
      <c r="L109" s="13">
        <v>15.95</v>
      </c>
      <c r="M109" t="s">
        <v>76</v>
      </c>
      <c r="N109" t="s">
        <v>15</v>
      </c>
    </row>
    <row r="110" spans="2:14" x14ac:dyDescent="0.25">
      <c r="B110">
        <v>25060</v>
      </c>
      <c r="C110" t="s">
        <v>74</v>
      </c>
      <c r="D110">
        <v>25</v>
      </c>
      <c r="E110">
        <v>54</v>
      </c>
      <c r="F110">
        <v>50.3</v>
      </c>
      <c r="G110">
        <v>16</v>
      </c>
      <c r="H110">
        <v>3.1</v>
      </c>
      <c r="I110">
        <v>3</v>
      </c>
      <c r="J110" t="s">
        <v>70</v>
      </c>
      <c r="K110" s="13">
        <v>54.838333333333303</v>
      </c>
      <c r="L110" s="13">
        <v>16.051666666666701</v>
      </c>
      <c r="M110" t="s">
        <v>76</v>
      </c>
      <c r="N110" t="s">
        <v>15</v>
      </c>
    </row>
    <row r="111" spans="2:14" x14ac:dyDescent="0.25">
      <c r="B111">
        <v>25061</v>
      </c>
      <c r="C111" t="s">
        <v>75</v>
      </c>
      <c r="D111">
        <v>25</v>
      </c>
      <c r="E111">
        <v>54</v>
      </c>
      <c r="F111">
        <v>49.5</v>
      </c>
      <c r="G111">
        <v>16</v>
      </c>
      <c r="H111">
        <v>2.1</v>
      </c>
      <c r="I111">
        <v>3</v>
      </c>
      <c r="J111" t="s">
        <v>70</v>
      </c>
      <c r="K111" s="13">
        <v>54.825000000000003</v>
      </c>
      <c r="L111" s="13">
        <v>16.035</v>
      </c>
      <c r="M111" t="s">
        <v>76</v>
      </c>
      <c r="N111" t="s">
        <v>15</v>
      </c>
    </row>
    <row r="112" spans="2:14" x14ac:dyDescent="0.25">
      <c r="B112">
        <v>25065</v>
      </c>
      <c r="C112" t="s">
        <v>86</v>
      </c>
      <c r="D112">
        <v>25</v>
      </c>
      <c r="E112">
        <v>55</v>
      </c>
      <c r="F112">
        <v>3.6</v>
      </c>
      <c r="G112">
        <v>15</v>
      </c>
      <c r="H112">
        <v>20.100000000000001</v>
      </c>
      <c r="I112">
        <v>4</v>
      </c>
      <c r="J112" t="s">
        <v>57</v>
      </c>
      <c r="K112" s="13">
        <v>55.06</v>
      </c>
      <c r="L112" s="13">
        <v>15.335000000000001</v>
      </c>
      <c r="M112" t="s">
        <v>76</v>
      </c>
      <c r="N112" t="s">
        <v>15</v>
      </c>
    </row>
    <row r="113" spans="2:14" x14ac:dyDescent="0.25">
      <c r="B113">
        <v>25066</v>
      </c>
      <c r="C113" t="s">
        <v>87</v>
      </c>
      <c r="D113">
        <v>25</v>
      </c>
      <c r="E113">
        <v>55</v>
      </c>
      <c r="F113">
        <v>0</v>
      </c>
      <c r="G113">
        <v>16</v>
      </c>
      <c r="H113">
        <v>17</v>
      </c>
      <c r="I113">
        <v>3</v>
      </c>
      <c r="J113" t="s">
        <v>70</v>
      </c>
      <c r="K113" s="13">
        <v>55</v>
      </c>
      <c r="L113" s="13">
        <v>16.283333333333299</v>
      </c>
      <c r="M113" t="s">
        <v>76</v>
      </c>
      <c r="N113" t="s">
        <v>15</v>
      </c>
    </row>
    <row r="114" spans="2:14" x14ac:dyDescent="0.25">
      <c r="B114">
        <v>25067</v>
      </c>
      <c r="C114" t="s">
        <v>87</v>
      </c>
      <c r="D114">
        <v>25</v>
      </c>
      <c r="E114">
        <v>55</v>
      </c>
      <c r="F114">
        <v>2.6</v>
      </c>
      <c r="G114">
        <v>16</v>
      </c>
      <c r="H114">
        <v>24</v>
      </c>
      <c r="I114">
        <v>3</v>
      </c>
      <c r="J114" t="s">
        <v>70</v>
      </c>
      <c r="K114" s="13">
        <v>55.043333333333301</v>
      </c>
      <c r="L114" s="13">
        <v>16.399999999999999</v>
      </c>
      <c r="M114" t="s">
        <v>76</v>
      </c>
      <c r="N114" t="s">
        <v>15</v>
      </c>
    </row>
    <row r="115" spans="2:14" x14ac:dyDescent="0.25">
      <c r="B115">
        <v>25081</v>
      </c>
      <c r="C115" t="s">
        <v>87</v>
      </c>
      <c r="D115">
        <v>25</v>
      </c>
      <c r="E115">
        <v>55</v>
      </c>
      <c r="F115">
        <v>24.2</v>
      </c>
      <c r="G115">
        <v>16</v>
      </c>
      <c r="H115">
        <v>51</v>
      </c>
      <c r="I115">
        <v>3</v>
      </c>
      <c r="J115" t="s">
        <v>70</v>
      </c>
      <c r="K115" s="13">
        <v>55.4033333333333</v>
      </c>
      <c r="L115" s="13">
        <v>16.850000000000001</v>
      </c>
      <c r="M115" t="s">
        <v>76</v>
      </c>
      <c r="N115" t="s">
        <v>15</v>
      </c>
    </row>
    <row r="116" spans="2:14" x14ac:dyDescent="0.25">
      <c r="B116">
        <v>25136</v>
      </c>
      <c r="C116" t="s">
        <v>81</v>
      </c>
      <c r="D116">
        <v>25</v>
      </c>
      <c r="E116">
        <v>55</v>
      </c>
      <c r="F116">
        <v>46.6</v>
      </c>
      <c r="G116">
        <v>17</v>
      </c>
      <c r="H116">
        <v>42</v>
      </c>
      <c r="I116">
        <v>3</v>
      </c>
      <c r="J116" t="s">
        <v>67</v>
      </c>
      <c r="K116" s="13">
        <v>55.776666666666699</v>
      </c>
      <c r="L116" s="13">
        <v>17.7</v>
      </c>
      <c r="M116" t="s">
        <v>76</v>
      </c>
      <c r="N116" t="s">
        <v>17</v>
      </c>
    </row>
    <row r="117" spans="2:14" x14ac:dyDescent="0.25">
      <c r="B117">
        <v>25140</v>
      </c>
      <c r="C117" t="s">
        <v>83</v>
      </c>
      <c r="D117">
        <v>25</v>
      </c>
      <c r="E117">
        <v>55</v>
      </c>
      <c r="F117">
        <v>51.4</v>
      </c>
      <c r="G117">
        <v>15</v>
      </c>
      <c r="H117">
        <v>34.5</v>
      </c>
      <c r="I117">
        <v>3</v>
      </c>
      <c r="J117" t="s">
        <v>67</v>
      </c>
      <c r="K117" s="13">
        <v>55.856666666666698</v>
      </c>
      <c r="L117" s="13">
        <v>15.574999999999999</v>
      </c>
      <c r="M117" t="s">
        <v>76</v>
      </c>
      <c r="N117" t="s">
        <v>17</v>
      </c>
    </row>
    <row r="118" spans="2:14" x14ac:dyDescent="0.25">
      <c r="B118">
        <v>25161</v>
      </c>
      <c r="C118" t="s">
        <v>81</v>
      </c>
      <c r="D118">
        <v>25</v>
      </c>
      <c r="E118">
        <v>55</v>
      </c>
      <c r="F118">
        <v>53.3</v>
      </c>
      <c r="G118">
        <v>17</v>
      </c>
      <c r="H118">
        <v>43.6</v>
      </c>
      <c r="I118">
        <v>4</v>
      </c>
      <c r="J118" t="s">
        <v>67</v>
      </c>
      <c r="K118" s="13">
        <v>55.8883333333333</v>
      </c>
      <c r="L118" s="13">
        <v>17.726666666666699</v>
      </c>
      <c r="M118" t="s">
        <v>76</v>
      </c>
      <c r="N118" t="s">
        <v>17</v>
      </c>
    </row>
    <row r="119" spans="2:14" x14ac:dyDescent="0.25">
      <c r="B119">
        <v>25173</v>
      </c>
      <c r="C119" t="s">
        <v>74</v>
      </c>
      <c r="D119">
        <v>25</v>
      </c>
      <c r="E119">
        <v>54</v>
      </c>
      <c r="F119">
        <v>40.9</v>
      </c>
      <c r="G119">
        <v>15</v>
      </c>
      <c r="H119">
        <v>37.6</v>
      </c>
      <c r="I119">
        <v>4</v>
      </c>
      <c r="J119" t="s">
        <v>70</v>
      </c>
      <c r="K119" s="13">
        <v>54.6816666666667</v>
      </c>
      <c r="L119" s="13">
        <v>15.626666666666701</v>
      </c>
      <c r="M119" t="s">
        <v>76</v>
      </c>
      <c r="N119" t="s">
        <v>15</v>
      </c>
    </row>
    <row r="120" spans="2:14" x14ac:dyDescent="0.25">
      <c r="B120">
        <v>25195</v>
      </c>
      <c r="C120" t="s">
        <v>74</v>
      </c>
      <c r="D120">
        <v>25</v>
      </c>
      <c r="E120">
        <v>54</v>
      </c>
      <c r="F120">
        <v>53</v>
      </c>
      <c r="G120">
        <v>15</v>
      </c>
      <c r="H120">
        <v>51</v>
      </c>
      <c r="I120">
        <v>4</v>
      </c>
      <c r="J120" t="s">
        <v>57</v>
      </c>
      <c r="K120" s="13">
        <v>54.883333333333297</v>
      </c>
      <c r="L120" s="13">
        <v>15.85</v>
      </c>
      <c r="M120" t="s">
        <v>76</v>
      </c>
      <c r="N120" t="s">
        <v>15</v>
      </c>
    </row>
    <row r="121" spans="2:14" x14ac:dyDescent="0.25">
      <c r="B121">
        <v>25197</v>
      </c>
      <c r="C121" t="s">
        <v>86</v>
      </c>
      <c r="D121">
        <v>25</v>
      </c>
      <c r="E121">
        <v>55</v>
      </c>
      <c r="F121">
        <v>8</v>
      </c>
      <c r="G121">
        <v>15</v>
      </c>
      <c r="H121">
        <v>17</v>
      </c>
      <c r="I121">
        <v>4</v>
      </c>
      <c r="J121" t="s">
        <v>57</v>
      </c>
      <c r="K121" s="13">
        <v>55.133333333333297</v>
      </c>
      <c r="L121" s="13">
        <v>15.283333333333299</v>
      </c>
      <c r="M121" t="s">
        <v>76</v>
      </c>
      <c r="N121" t="s">
        <v>15</v>
      </c>
    </row>
    <row r="122" spans="2:14" x14ac:dyDescent="0.25">
      <c r="B122">
        <v>25212</v>
      </c>
      <c r="C122" t="s">
        <v>87</v>
      </c>
      <c r="D122">
        <v>25</v>
      </c>
      <c r="E122">
        <v>55</v>
      </c>
      <c r="F122">
        <v>3.3</v>
      </c>
      <c r="G122">
        <v>16</v>
      </c>
      <c r="H122">
        <v>18.2</v>
      </c>
      <c r="I122">
        <v>4</v>
      </c>
      <c r="J122" t="s">
        <v>70</v>
      </c>
      <c r="K122" s="13">
        <v>55.055</v>
      </c>
      <c r="L122" s="13">
        <v>16.303333333333299</v>
      </c>
      <c r="M122" t="s">
        <v>76</v>
      </c>
      <c r="N122" t="s">
        <v>15</v>
      </c>
    </row>
    <row r="123" spans="2:14" x14ac:dyDescent="0.25">
      <c r="B123">
        <v>25214</v>
      </c>
      <c r="C123" t="s">
        <v>87</v>
      </c>
      <c r="D123">
        <v>25</v>
      </c>
      <c r="E123">
        <v>55</v>
      </c>
      <c r="F123">
        <v>4.5</v>
      </c>
      <c r="G123">
        <v>16</v>
      </c>
      <c r="H123">
        <v>23.1</v>
      </c>
      <c r="I123">
        <v>4</v>
      </c>
      <c r="J123" t="s">
        <v>70</v>
      </c>
      <c r="K123" s="13">
        <v>55.075000000000003</v>
      </c>
      <c r="L123" s="13">
        <v>16.385000000000002</v>
      </c>
      <c r="M123" t="s">
        <v>76</v>
      </c>
      <c r="N123" t="s">
        <v>15</v>
      </c>
    </row>
    <row r="124" spans="2:14" x14ac:dyDescent="0.25">
      <c r="B124">
        <v>25219</v>
      </c>
      <c r="C124" t="s">
        <v>86</v>
      </c>
      <c r="D124">
        <v>25</v>
      </c>
      <c r="E124">
        <v>55</v>
      </c>
      <c r="F124">
        <v>19.3</v>
      </c>
      <c r="G124">
        <v>15</v>
      </c>
      <c r="H124">
        <v>2.4</v>
      </c>
      <c r="I124">
        <v>4</v>
      </c>
      <c r="J124" t="s">
        <v>57</v>
      </c>
      <c r="K124" s="13">
        <v>55.321666666666701</v>
      </c>
      <c r="L124" s="13">
        <v>15.04</v>
      </c>
      <c r="M124" t="s">
        <v>76</v>
      </c>
      <c r="N124" t="s">
        <v>15</v>
      </c>
    </row>
    <row r="125" spans="2:14" x14ac:dyDescent="0.25">
      <c r="B125">
        <v>25232</v>
      </c>
      <c r="C125" t="s">
        <v>80</v>
      </c>
      <c r="D125">
        <v>25</v>
      </c>
      <c r="E125">
        <v>55</v>
      </c>
      <c r="F125">
        <v>18.7</v>
      </c>
      <c r="G125">
        <v>17</v>
      </c>
      <c r="H125">
        <v>20</v>
      </c>
      <c r="I125">
        <v>4</v>
      </c>
      <c r="J125" t="s">
        <v>70</v>
      </c>
      <c r="K125" s="13">
        <v>55.311666666666703</v>
      </c>
      <c r="L125" s="13">
        <v>17.3333333333333</v>
      </c>
      <c r="M125" t="s">
        <v>76</v>
      </c>
      <c r="N125" t="s">
        <v>15</v>
      </c>
    </row>
    <row r="126" spans="2:14" x14ac:dyDescent="0.25">
      <c r="B126">
        <v>25241</v>
      </c>
      <c r="C126" t="s">
        <v>86</v>
      </c>
      <c r="D126">
        <v>25</v>
      </c>
      <c r="E126">
        <v>55</v>
      </c>
      <c r="F126">
        <v>20.9</v>
      </c>
      <c r="G126">
        <v>15</v>
      </c>
      <c r="H126">
        <v>22.3</v>
      </c>
      <c r="I126">
        <v>4</v>
      </c>
      <c r="J126" t="s">
        <v>57</v>
      </c>
      <c r="K126" s="13">
        <v>55.348333333333301</v>
      </c>
      <c r="L126" s="13">
        <v>15.3716666666667</v>
      </c>
      <c r="M126" t="s">
        <v>76</v>
      </c>
      <c r="N126" t="s">
        <v>15</v>
      </c>
    </row>
    <row r="127" spans="2:14" x14ac:dyDescent="0.25">
      <c r="B127">
        <v>25243</v>
      </c>
      <c r="C127" t="s">
        <v>87</v>
      </c>
      <c r="D127">
        <v>25</v>
      </c>
      <c r="E127">
        <v>55</v>
      </c>
      <c r="F127">
        <v>29</v>
      </c>
      <c r="G127">
        <v>16</v>
      </c>
      <c r="H127">
        <v>9</v>
      </c>
      <c r="I127">
        <v>4</v>
      </c>
      <c r="J127" t="s">
        <v>67</v>
      </c>
      <c r="K127" s="13">
        <v>55.483333333333299</v>
      </c>
      <c r="L127" s="13">
        <v>16.149999999999999</v>
      </c>
      <c r="M127" t="s">
        <v>76</v>
      </c>
      <c r="N127" t="s">
        <v>17</v>
      </c>
    </row>
    <row r="128" spans="2:14" x14ac:dyDescent="0.25">
      <c r="B128">
        <v>25246</v>
      </c>
      <c r="C128" t="s">
        <v>87</v>
      </c>
      <c r="D128">
        <v>25</v>
      </c>
      <c r="E128">
        <v>55</v>
      </c>
      <c r="F128">
        <v>21</v>
      </c>
      <c r="G128">
        <v>16</v>
      </c>
      <c r="H128">
        <v>57</v>
      </c>
      <c r="I128">
        <v>4</v>
      </c>
      <c r="J128" t="s">
        <v>70</v>
      </c>
      <c r="K128" s="13">
        <v>55.35</v>
      </c>
      <c r="L128" s="13">
        <v>16.95</v>
      </c>
      <c r="M128" t="s">
        <v>76</v>
      </c>
      <c r="N128" t="s">
        <v>15</v>
      </c>
    </row>
    <row r="129" spans="2:14" x14ac:dyDescent="0.25">
      <c r="B129">
        <v>25274</v>
      </c>
      <c r="C129" t="s">
        <v>83</v>
      </c>
      <c r="D129">
        <v>25</v>
      </c>
      <c r="E129">
        <v>55</v>
      </c>
      <c r="F129">
        <v>31.3</v>
      </c>
      <c r="G129">
        <v>15</v>
      </c>
      <c r="H129">
        <v>31.3</v>
      </c>
      <c r="I129">
        <v>5</v>
      </c>
      <c r="J129" t="s">
        <v>57</v>
      </c>
      <c r="K129" s="13">
        <v>55.521666666666697</v>
      </c>
      <c r="L129" s="13">
        <v>15.5216666666667</v>
      </c>
      <c r="M129" t="s">
        <v>76</v>
      </c>
      <c r="N129" t="s">
        <v>15</v>
      </c>
    </row>
    <row r="130" spans="2:14" x14ac:dyDescent="0.25">
      <c r="B130">
        <v>25286</v>
      </c>
      <c r="C130" t="s">
        <v>82</v>
      </c>
      <c r="D130">
        <v>25</v>
      </c>
      <c r="E130">
        <v>55</v>
      </c>
      <c r="F130">
        <v>34.9</v>
      </c>
      <c r="G130">
        <v>16</v>
      </c>
      <c r="H130">
        <v>26.1</v>
      </c>
      <c r="I130">
        <v>4</v>
      </c>
      <c r="J130" t="s">
        <v>67</v>
      </c>
      <c r="K130" s="13">
        <v>55.581666666666699</v>
      </c>
      <c r="L130" s="13">
        <v>16.434999999999999</v>
      </c>
      <c r="M130" t="s">
        <v>76</v>
      </c>
      <c r="N130" t="s">
        <v>17</v>
      </c>
    </row>
    <row r="131" spans="2:14" x14ac:dyDescent="0.25">
      <c r="B131">
        <v>25290</v>
      </c>
      <c r="C131" t="s">
        <v>81</v>
      </c>
      <c r="D131">
        <v>25</v>
      </c>
      <c r="E131">
        <v>55</v>
      </c>
      <c r="F131">
        <v>30</v>
      </c>
      <c r="G131">
        <v>17</v>
      </c>
      <c r="H131">
        <v>53.8</v>
      </c>
      <c r="I131">
        <v>4</v>
      </c>
      <c r="J131" t="s">
        <v>70</v>
      </c>
      <c r="K131" s="13">
        <v>55.5</v>
      </c>
      <c r="L131" s="13">
        <v>17.8966666666667</v>
      </c>
      <c r="M131" t="s">
        <v>76</v>
      </c>
      <c r="N131" t="s">
        <v>15</v>
      </c>
    </row>
    <row r="132" spans="2:14" x14ac:dyDescent="0.25">
      <c r="B132">
        <v>25300</v>
      </c>
      <c r="C132" t="s">
        <v>82</v>
      </c>
      <c r="D132">
        <v>25</v>
      </c>
      <c r="E132">
        <v>55</v>
      </c>
      <c r="F132">
        <v>43.2</v>
      </c>
      <c r="G132">
        <v>16</v>
      </c>
      <c r="H132">
        <v>1.3</v>
      </c>
      <c r="I132">
        <v>4</v>
      </c>
      <c r="J132" t="s">
        <v>67</v>
      </c>
      <c r="K132" s="13">
        <v>55.72</v>
      </c>
      <c r="L132" s="13">
        <v>16.0216666666667</v>
      </c>
      <c r="M132" t="s">
        <v>76</v>
      </c>
      <c r="N132" t="s">
        <v>17</v>
      </c>
    </row>
    <row r="133" spans="2:14" x14ac:dyDescent="0.25">
      <c r="B133">
        <v>25313</v>
      </c>
      <c r="C133" t="s">
        <v>84</v>
      </c>
      <c r="D133">
        <v>25</v>
      </c>
      <c r="E133">
        <v>56</v>
      </c>
      <c r="F133">
        <v>6.22</v>
      </c>
      <c r="G133">
        <v>17</v>
      </c>
      <c r="H133">
        <v>50.51</v>
      </c>
      <c r="I133">
        <v>4</v>
      </c>
      <c r="J133" t="s">
        <v>67</v>
      </c>
      <c r="K133" s="13">
        <v>56.103666666666697</v>
      </c>
      <c r="L133" s="13">
        <v>17.841833333333302</v>
      </c>
      <c r="M133" t="s">
        <v>76</v>
      </c>
      <c r="N133" t="s">
        <v>17</v>
      </c>
    </row>
    <row r="134" spans="2:14" x14ac:dyDescent="0.25">
      <c r="B134">
        <v>25315</v>
      </c>
      <c r="C134" t="s">
        <v>85</v>
      </c>
      <c r="D134">
        <v>25</v>
      </c>
      <c r="E134">
        <v>56</v>
      </c>
      <c r="F134">
        <v>26.8</v>
      </c>
      <c r="G134">
        <v>16</v>
      </c>
      <c r="H134">
        <v>58.5</v>
      </c>
      <c r="I134">
        <v>4</v>
      </c>
      <c r="J134" t="s">
        <v>67</v>
      </c>
      <c r="K134" s="13">
        <v>56.446666666666701</v>
      </c>
      <c r="L134" s="13">
        <v>16.975000000000001</v>
      </c>
      <c r="M134" t="s">
        <v>76</v>
      </c>
      <c r="N134" t="s">
        <v>17</v>
      </c>
    </row>
    <row r="135" spans="2:14" x14ac:dyDescent="0.25">
      <c r="B135">
        <v>25322</v>
      </c>
      <c r="C135" t="s">
        <v>86</v>
      </c>
      <c r="D135">
        <v>25</v>
      </c>
      <c r="E135">
        <v>55</v>
      </c>
      <c r="F135">
        <v>3.1</v>
      </c>
      <c r="G135">
        <v>15</v>
      </c>
      <c r="H135">
        <v>42.6</v>
      </c>
      <c r="I135">
        <v>5</v>
      </c>
      <c r="J135" t="s">
        <v>57</v>
      </c>
      <c r="K135" s="13">
        <v>55.051666666666698</v>
      </c>
      <c r="L135" s="13">
        <v>15.71</v>
      </c>
      <c r="M135" t="s">
        <v>76</v>
      </c>
      <c r="N135" t="s">
        <v>15</v>
      </c>
    </row>
    <row r="136" spans="2:14" x14ac:dyDescent="0.25">
      <c r="B136">
        <v>25326</v>
      </c>
      <c r="C136" t="s">
        <v>87</v>
      </c>
      <c r="D136">
        <v>25</v>
      </c>
      <c r="E136">
        <v>55</v>
      </c>
      <c r="F136">
        <v>8.1</v>
      </c>
      <c r="G136">
        <v>16</v>
      </c>
      <c r="H136">
        <v>3.6</v>
      </c>
      <c r="I136">
        <v>5</v>
      </c>
      <c r="J136" t="s">
        <v>70</v>
      </c>
      <c r="K136" s="13">
        <v>55.134999999999998</v>
      </c>
      <c r="L136" s="13">
        <v>16.059999999999999</v>
      </c>
      <c r="M136" t="s">
        <v>76</v>
      </c>
      <c r="N136" t="s">
        <v>15</v>
      </c>
    </row>
    <row r="137" spans="2:14" x14ac:dyDescent="0.25">
      <c r="B137">
        <v>25330</v>
      </c>
      <c r="C137" t="s">
        <v>86</v>
      </c>
      <c r="D137">
        <v>25</v>
      </c>
      <c r="E137">
        <v>55</v>
      </c>
      <c r="F137">
        <v>15.7</v>
      </c>
      <c r="G137">
        <v>15</v>
      </c>
      <c r="H137">
        <v>58.7</v>
      </c>
      <c r="I137">
        <v>5</v>
      </c>
      <c r="J137" t="s">
        <v>57</v>
      </c>
      <c r="K137" s="13">
        <v>55.261666666666699</v>
      </c>
      <c r="L137" s="13">
        <v>15.9783333333333</v>
      </c>
      <c r="M137" t="s">
        <v>76</v>
      </c>
      <c r="N137" t="s">
        <v>15</v>
      </c>
    </row>
    <row r="138" spans="2:14" x14ac:dyDescent="0.25">
      <c r="B138">
        <v>25331</v>
      </c>
      <c r="C138" t="s">
        <v>87</v>
      </c>
      <c r="D138">
        <v>25</v>
      </c>
      <c r="E138">
        <v>55</v>
      </c>
      <c r="F138">
        <v>16.100000000000001</v>
      </c>
      <c r="G138">
        <v>16</v>
      </c>
      <c r="H138">
        <v>3.9</v>
      </c>
      <c r="I138">
        <v>5</v>
      </c>
      <c r="J138" t="s">
        <v>57</v>
      </c>
      <c r="K138" s="13">
        <v>55.268333333333302</v>
      </c>
      <c r="L138" s="13">
        <v>16.065000000000001</v>
      </c>
      <c r="M138" t="s">
        <v>76</v>
      </c>
      <c r="N138" t="s">
        <v>15</v>
      </c>
    </row>
    <row r="139" spans="2:14" x14ac:dyDescent="0.25">
      <c r="B139">
        <v>25339</v>
      </c>
      <c r="C139" t="s">
        <v>80</v>
      </c>
      <c r="D139">
        <v>25</v>
      </c>
      <c r="E139">
        <v>55</v>
      </c>
      <c r="F139">
        <v>15.5</v>
      </c>
      <c r="G139">
        <v>17</v>
      </c>
      <c r="H139">
        <v>25.5</v>
      </c>
      <c r="I139">
        <v>5</v>
      </c>
      <c r="J139" t="s">
        <v>70</v>
      </c>
      <c r="K139" s="13">
        <v>55.258333333333297</v>
      </c>
      <c r="L139" s="13">
        <v>17.425000000000001</v>
      </c>
      <c r="M139" t="s">
        <v>76</v>
      </c>
      <c r="N139" t="s">
        <v>15</v>
      </c>
    </row>
    <row r="140" spans="2:14" x14ac:dyDescent="0.25">
      <c r="B140">
        <v>25342</v>
      </c>
      <c r="C140" t="s">
        <v>86</v>
      </c>
      <c r="D140">
        <v>25</v>
      </c>
      <c r="E140">
        <v>55</v>
      </c>
      <c r="F140">
        <v>26.7</v>
      </c>
      <c r="G140">
        <v>15</v>
      </c>
      <c r="H140">
        <v>32.5</v>
      </c>
      <c r="I140">
        <v>5</v>
      </c>
      <c r="J140" t="s">
        <v>57</v>
      </c>
      <c r="K140" s="13">
        <v>55.445</v>
      </c>
      <c r="L140" s="13">
        <v>15.5416666666667</v>
      </c>
      <c r="M140" t="s">
        <v>76</v>
      </c>
      <c r="N140" t="s">
        <v>15</v>
      </c>
    </row>
    <row r="141" spans="2:14" x14ac:dyDescent="0.25">
      <c r="B141">
        <v>25344</v>
      </c>
      <c r="C141" t="s">
        <v>86</v>
      </c>
      <c r="D141">
        <v>25</v>
      </c>
      <c r="E141">
        <v>55</v>
      </c>
      <c r="F141">
        <v>27.4</v>
      </c>
      <c r="G141">
        <v>15</v>
      </c>
      <c r="H141">
        <v>56.2</v>
      </c>
      <c r="I141">
        <v>5</v>
      </c>
      <c r="J141" t="s">
        <v>57</v>
      </c>
      <c r="K141" s="13">
        <v>55.456666666666699</v>
      </c>
      <c r="L141" s="13">
        <v>15.936666666666699</v>
      </c>
      <c r="M141" t="s">
        <v>76</v>
      </c>
      <c r="N141" t="s">
        <v>15</v>
      </c>
    </row>
    <row r="142" spans="2:14" x14ac:dyDescent="0.25">
      <c r="B142">
        <v>25359</v>
      </c>
      <c r="C142" t="s">
        <v>82</v>
      </c>
      <c r="D142">
        <v>25</v>
      </c>
      <c r="E142">
        <v>55</v>
      </c>
      <c r="F142">
        <v>48.5</v>
      </c>
      <c r="G142">
        <v>16</v>
      </c>
      <c r="H142">
        <v>31.9</v>
      </c>
      <c r="I142">
        <v>3</v>
      </c>
      <c r="J142" t="s">
        <v>67</v>
      </c>
      <c r="K142" s="13">
        <v>55.808333333333302</v>
      </c>
      <c r="L142" s="13">
        <v>16.531666666666698</v>
      </c>
      <c r="M142" t="s">
        <v>76</v>
      </c>
      <c r="N142" t="s">
        <v>17</v>
      </c>
    </row>
    <row r="143" spans="2:14" x14ac:dyDescent="0.25">
      <c r="B143">
        <v>25364</v>
      </c>
      <c r="C143" t="s">
        <v>79</v>
      </c>
      <c r="D143">
        <v>25</v>
      </c>
      <c r="E143">
        <v>54</v>
      </c>
      <c r="F143">
        <v>59.8</v>
      </c>
      <c r="G143">
        <v>17</v>
      </c>
      <c r="H143">
        <v>28</v>
      </c>
      <c r="I143">
        <v>2</v>
      </c>
      <c r="J143" t="s">
        <v>70</v>
      </c>
      <c r="K143" s="13">
        <v>54.996666666666698</v>
      </c>
      <c r="L143" s="13">
        <v>17.466666666666701</v>
      </c>
      <c r="M143" t="s">
        <v>76</v>
      </c>
      <c r="N143" t="s">
        <v>15</v>
      </c>
    </row>
    <row r="144" spans="2:14" x14ac:dyDescent="0.25">
      <c r="B144">
        <v>25389</v>
      </c>
      <c r="C144" t="s">
        <v>82</v>
      </c>
      <c r="D144">
        <v>25</v>
      </c>
      <c r="E144">
        <v>55</v>
      </c>
      <c r="F144">
        <v>35.409999999999997</v>
      </c>
      <c r="G144">
        <v>16</v>
      </c>
      <c r="H144">
        <v>39.65</v>
      </c>
      <c r="I144">
        <v>3</v>
      </c>
      <c r="J144" t="s">
        <v>67</v>
      </c>
      <c r="K144" s="13">
        <v>55.590166666666697</v>
      </c>
      <c r="L144" s="13">
        <v>16.660833333333301</v>
      </c>
      <c r="M144" t="s">
        <v>76</v>
      </c>
      <c r="N144" t="s">
        <v>17</v>
      </c>
    </row>
    <row r="145" spans="2:14" x14ac:dyDescent="0.25">
      <c r="B145">
        <v>25391</v>
      </c>
      <c r="C145" t="s">
        <v>88</v>
      </c>
      <c r="D145">
        <v>25</v>
      </c>
      <c r="E145">
        <v>55</v>
      </c>
      <c r="F145">
        <v>40.1</v>
      </c>
      <c r="G145">
        <v>14</v>
      </c>
      <c r="H145">
        <v>43.46</v>
      </c>
      <c r="I145">
        <v>3</v>
      </c>
      <c r="J145" t="s">
        <v>67</v>
      </c>
      <c r="K145" s="13">
        <v>55.668333333333301</v>
      </c>
      <c r="L145" s="13">
        <v>14.7243333333333</v>
      </c>
      <c r="M145" t="s">
        <v>76</v>
      </c>
      <c r="N145" t="s">
        <v>17</v>
      </c>
    </row>
    <row r="146" spans="2:14" x14ac:dyDescent="0.25">
      <c r="B146">
        <v>25401</v>
      </c>
      <c r="C146" t="s">
        <v>88</v>
      </c>
      <c r="D146">
        <v>25</v>
      </c>
      <c r="E146">
        <v>55</v>
      </c>
      <c r="F146">
        <v>42.15</v>
      </c>
      <c r="G146">
        <v>14</v>
      </c>
      <c r="H146">
        <v>22.21</v>
      </c>
      <c r="I146">
        <v>2</v>
      </c>
      <c r="J146" t="s">
        <v>67</v>
      </c>
      <c r="K146" s="13">
        <v>55.702500000000001</v>
      </c>
      <c r="L146" s="13">
        <v>14.3701666666667</v>
      </c>
      <c r="M146" t="s">
        <v>76</v>
      </c>
      <c r="N146" t="s">
        <v>17</v>
      </c>
    </row>
    <row r="147" spans="2:14" x14ac:dyDescent="0.25">
      <c r="B147">
        <v>25404</v>
      </c>
      <c r="C147" t="s">
        <v>83</v>
      </c>
      <c r="D147">
        <v>25</v>
      </c>
      <c r="E147">
        <v>55</v>
      </c>
      <c r="F147">
        <v>49.6</v>
      </c>
      <c r="G147">
        <v>15</v>
      </c>
      <c r="H147">
        <v>26.4</v>
      </c>
      <c r="I147">
        <v>3</v>
      </c>
      <c r="J147" t="s">
        <v>67</v>
      </c>
      <c r="K147" s="13">
        <v>55.826666666666704</v>
      </c>
      <c r="L147" s="13">
        <v>15.44</v>
      </c>
      <c r="M147" t="s">
        <v>76</v>
      </c>
      <c r="N147" t="s">
        <v>17</v>
      </c>
    </row>
    <row r="148" spans="2:14" x14ac:dyDescent="0.25">
      <c r="B148">
        <v>25409</v>
      </c>
      <c r="C148" t="s">
        <v>83</v>
      </c>
      <c r="D148">
        <v>25</v>
      </c>
      <c r="E148">
        <v>55</v>
      </c>
      <c r="F148">
        <v>47.9</v>
      </c>
      <c r="G148">
        <v>15</v>
      </c>
      <c r="H148">
        <v>57.8</v>
      </c>
      <c r="I148">
        <v>3</v>
      </c>
      <c r="J148" t="s">
        <v>67</v>
      </c>
      <c r="K148" s="13">
        <v>55.798333333333296</v>
      </c>
      <c r="L148" s="13">
        <v>15.963333333333299</v>
      </c>
      <c r="M148" t="s">
        <v>76</v>
      </c>
      <c r="N148" t="s">
        <v>17</v>
      </c>
    </row>
    <row r="149" spans="2:14" x14ac:dyDescent="0.25">
      <c r="B149">
        <v>25418</v>
      </c>
      <c r="C149" t="s">
        <v>88</v>
      </c>
      <c r="D149">
        <v>25</v>
      </c>
      <c r="E149">
        <v>55</v>
      </c>
      <c r="F149">
        <v>42.4</v>
      </c>
      <c r="G149">
        <v>14</v>
      </c>
      <c r="H149">
        <v>22.5</v>
      </c>
      <c r="I149">
        <v>2</v>
      </c>
      <c r="J149" t="s">
        <v>67</v>
      </c>
      <c r="K149" s="13">
        <v>55.706666666666699</v>
      </c>
      <c r="L149" s="13">
        <v>14.375</v>
      </c>
      <c r="M149" t="s">
        <v>76</v>
      </c>
      <c r="N149" t="s">
        <v>17</v>
      </c>
    </row>
    <row r="150" spans="2:14" x14ac:dyDescent="0.25">
      <c r="B150">
        <v>25419</v>
      </c>
      <c r="C150" t="s">
        <v>88</v>
      </c>
      <c r="D150">
        <v>25</v>
      </c>
      <c r="E150">
        <v>55</v>
      </c>
      <c r="F150">
        <v>41.5</v>
      </c>
      <c r="G150">
        <v>14</v>
      </c>
      <c r="H150">
        <v>22.35</v>
      </c>
      <c r="I150">
        <v>2</v>
      </c>
      <c r="J150" t="s">
        <v>67</v>
      </c>
      <c r="K150" s="13">
        <v>55.691666666666698</v>
      </c>
      <c r="L150" s="13">
        <v>14.3725</v>
      </c>
      <c r="M150" t="s">
        <v>76</v>
      </c>
      <c r="N150" t="s">
        <v>17</v>
      </c>
    </row>
    <row r="151" spans="2:14" x14ac:dyDescent="0.25">
      <c r="B151">
        <v>25426</v>
      </c>
      <c r="C151" t="s">
        <v>83</v>
      </c>
      <c r="D151">
        <v>25</v>
      </c>
      <c r="E151">
        <v>55</v>
      </c>
      <c r="F151">
        <v>49.1</v>
      </c>
      <c r="G151">
        <v>15</v>
      </c>
      <c r="H151">
        <v>15.6</v>
      </c>
      <c r="I151">
        <v>3</v>
      </c>
      <c r="J151" t="s">
        <v>67</v>
      </c>
      <c r="K151" s="13">
        <v>55.8183333333333</v>
      </c>
      <c r="L151" s="13">
        <v>15.26</v>
      </c>
      <c r="M151" t="s">
        <v>76</v>
      </c>
      <c r="N151" t="s">
        <v>17</v>
      </c>
    </row>
    <row r="152" spans="2:14" x14ac:dyDescent="0.25">
      <c r="B152">
        <v>25431</v>
      </c>
      <c r="C152" t="s">
        <v>82</v>
      </c>
      <c r="D152">
        <v>25</v>
      </c>
      <c r="E152">
        <v>55</v>
      </c>
      <c r="F152">
        <v>52.2</v>
      </c>
      <c r="G152">
        <v>16</v>
      </c>
      <c r="H152">
        <v>1.1000000000000001</v>
      </c>
      <c r="I152">
        <v>3</v>
      </c>
      <c r="J152" t="s">
        <v>67</v>
      </c>
      <c r="K152" s="13">
        <v>55.87</v>
      </c>
      <c r="L152" s="13">
        <v>16.018333333333299</v>
      </c>
      <c r="M152" t="s">
        <v>76</v>
      </c>
      <c r="N152" t="s">
        <v>17</v>
      </c>
    </row>
    <row r="153" spans="2:14" x14ac:dyDescent="0.25">
      <c r="B153">
        <v>25438</v>
      </c>
      <c r="C153" t="s">
        <v>88</v>
      </c>
      <c r="D153">
        <v>25</v>
      </c>
      <c r="E153">
        <v>55</v>
      </c>
      <c r="F153">
        <v>37.799999999999997</v>
      </c>
      <c r="G153">
        <v>14</v>
      </c>
      <c r="H153">
        <v>39.6</v>
      </c>
      <c r="I153">
        <v>4</v>
      </c>
      <c r="J153" t="s">
        <v>67</v>
      </c>
      <c r="K153" s="13">
        <v>55.63</v>
      </c>
      <c r="L153" s="13">
        <v>14.66</v>
      </c>
      <c r="M153" t="s">
        <v>76</v>
      </c>
      <c r="N153" t="s">
        <v>17</v>
      </c>
    </row>
    <row r="154" spans="2:14" x14ac:dyDescent="0.25">
      <c r="B154">
        <v>25446</v>
      </c>
      <c r="C154" t="s">
        <v>83</v>
      </c>
      <c r="D154">
        <v>25</v>
      </c>
      <c r="E154">
        <v>55</v>
      </c>
      <c r="F154">
        <v>32.68</v>
      </c>
      <c r="G154">
        <v>15</v>
      </c>
      <c r="H154">
        <v>15.36</v>
      </c>
      <c r="I154">
        <v>4</v>
      </c>
      <c r="J154" t="s">
        <v>57</v>
      </c>
      <c r="K154" s="13">
        <v>55.5446666666667</v>
      </c>
      <c r="L154" s="13">
        <v>15.256</v>
      </c>
      <c r="M154" t="s">
        <v>76</v>
      </c>
      <c r="N154" t="s">
        <v>15</v>
      </c>
    </row>
    <row r="155" spans="2:14" x14ac:dyDescent="0.25">
      <c r="B155">
        <v>25447</v>
      </c>
      <c r="C155" t="s">
        <v>83</v>
      </c>
      <c r="D155">
        <v>25</v>
      </c>
      <c r="E155">
        <v>55</v>
      </c>
      <c r="F155">
        <v>34.67</v>
      </c>
      <c r="G155">
        <v>15</v>
      </c>
      <c r="H155">
        <v>3.8</v>
      </c>
      <c r="I155">
        <v>5</v>
      </c>
      <c r="J155" t="s">
        <v>57</v>
      </c>
      <c r="K155" s="13">
        <v>55.577833333333302</v>
      </c>
      <c r="L155" s="13">
        <v>15.063333333333301</v>
      </c>
      <c r="M155" t="s">
        <v>76</v>
      </c>
      <c r="N155" t="s">
        <v>15</v>
      </c>
    </row>
    <row r="156" spans="2:14" x14ac:dyDescent="0.25">
      <c r="B156">
        <v>25449</v>
      </c>
      <c r="C156" t="s">
        <v>88</v>
      </c>
      <c r="D156">
        <v>25</v>
      </c>
      <c r="E156">
        <v>55</v>
      </c>
      <c r="F156">
        <v>27.6</v>
      </c>
      <c r="G156">
        <v>14</v>
      </c>
      <c r="H156">
        <v>43.8</v>
      </c>
      <c r="I156">
        <v>4</v>
      </c>
      <c r="J156" t="s">
        <v>57</v>
      </c>
      <c r="K156" s="13">
        <v>55.46</v>
      </c>
      <c r="L156" s="13">
        <v>14.73</v>
      </c>
      <c r="M156" t="s">
        <v>76</v>
      </c>
      <c r="N156" t="s">
        <v>15</v>
      </c>
    </row>
    <row r="157" spans="2:14" x14ac:dyDescent="0.25">
      <c r="B157">
        <v>25452</v>
      </c>
      <c r="C157" t="s">
        <v>86</v>
      </c>
      <c r="D157">
        <v>25</v>
      </c>
      <c r="E157">
        <v>55</v>
      </c>
      <c r="F157">
        <v>22.4</v>
      </c>
      <c r="G157">
        <v>15</v>
      </c>
      <c r="H157">
        <v>15.6</v>
      </c>
      <c r="I157">
        <v>5</v>
      </c>
      <c r="J157" t="s">
        <v>57</v>
      </c>
      <c r="K157" s="13">
        <v>55.373333333333299</v>
      </c>
      <c r="L157" s="13">
        <v>15.26</v>
      </c>
      <c r="M157" t="s">
        <v>76</v>
      </c>
      <c r="N157" t="s">
        <v>15</v>
      </c>
    </row>
    <row r="158" spans="2:14" x14ac:dyDescent="0.25">
      <c r="B158">
        <v>25455</v>
      </c>
      <c r="C158" t="s">
        <v>80</v>
      </c>
      <c r="D158">
        <v>25</v>
      </c>
      <c r="E158">
        <v>55</v>
      </c>
      <c r="F158">
        <v>27.4</v>
      </c>
      <c r="G158">
        <v>17</v>
      </c>
      <c r="H158">
        <v>17</v>
      </c>
      <c r="I158">
        <v>2</v>
      </c>
      <c r="J158" t="s">
        <v>70</v>
      </c>
      <c r="K158" s="13">
        <v>55.456666666666699</v>
      </c>
      <c r="L158" s="13">
        <v>17.283333333333299</v>
      </c>
      <c r="M158" t="s">
        <v>76</v>
      </c>
      <c r="N158" t="s">
        <v>15</v>
      </c>
    </row>
    <row r="159" spans="2:14" x14ac:dyDescent="0.25">
      <c r="B159">
        <v>25461</v>
      </c>
      <c r="C159" t="s">
        <v>84</v>
      </c>
      <c r="D159">
        <v>25</v>
      </c>
      <c r="E159">
        <v>56</v>
      </c>
      <c r="F159">
        <v>4.05</v>
      </c>
      <c r="G159">
        <v>17</v>
      </c>
      <c r="H159">
        <v>21.87</v>
      </c>
      <c r="I159">
        <v>3</v>
      </c>
      <c r="J159" t="s">
        <v>67</v>
      </c>
      <c r="K159" s="13">
        <v>56.067500000000003</v>
      </c>
      <c r="L159" s="13">
        <v>17.3645</v>
      </c>
      <c r="M159" t="s">
        <v>76</v>
      </c>
      <c r="N159" t="s">
        <v>17</v>
      </c>
    </row>
    <row r="160" spans="2:14" x14ac:dyDescent="0.25">
      <c r="B160">
        <v>25462</v>
      </c>
      <c r="C160" t="s">
        <v>89</v>
      </c>
      <c r="D160">
        <v>25</v>
      </c>
      <c r="E160">
        <v>55</v>
      </c>
      <c r="F160">
        <v>45.978999999999999</v>
      </c>
      <c r="G160">
        <v>16</v>
      </c>
      <c r="H160">
        <v>41.02</v>
      </c>
      <c r="I160">
        <v>3</v>
      </c>
      <c r="J160" t="s">
        <v>67</v>
      </c>
      <c r="K160" s="13">
        <v>55.766316666666697</v>
      </c>
      <c r="L160" s="13">
        <v>16.683666666666699</v>
      </c>
      <c r="M160" t="s">
        <v>76</v>
      </c>
      <c r="N160" t="s">
        <v>17</v>
      </c>
    </row>
    <row r="161" spans="2:14" x14ac:dyDescent="0.25">
      <c r="B161">
        <v>25463</v>
      </c>
      <c r="C161" t="s">
        <v>80</v>
      </c>
      <c r="D161">
        <v>25</v>
      </c>
      <c r="E161">
        <v>55</v>
      </c>
      <c r="F161">
        <v>14.2</v>
      </c>
      <c r="G161">
        <v>17</v>
      </c>
      <c r="H161">
        <v>18.2</v>
      </c>
      <c r="I161">
        <v>5</v>
      </c>
      <c r="J161" t="s">
        <v>70</v>
      </c>
      <c r="K161" s="13">
        <v>55.2366666666667</v>
      </c>
      <c r="L161" s="13">
        <v>17.303333333333299</v>
      </c>
      <c r="M161" t="s">
        <v>76</v>
      </c>
      <c r="N161" t="s">
        <v>15</v>
      </c>
    </row>
    <row r="162" spans="2:14" x14ac:dyDescent="0.25">
      <c r="B162">
        <v>25503</v>
      </c>
      <c r="C162" t="s">
        <v>75</v>
      </c>
      <c r="D162">
        <v>25</v>
      </c>
      <c r="E162">
        <v>55</v>
      </c>
      <c r="F162">
        <v>9.3580000000000005</v>
      </c>
      <c r="G162">
        <v>16</v>
      </c>
      <c r="H162">
        <v>3.988</v>
      </c>
      <c r="I162">
        <v>5</v>
      </c>
      <c r="J162" t="s">
        <v>70</v>
      </c>
      <c r="K162" s="13">
        <v>55.1559666666667</v>
      </c>
      <c r="L162" s="13">
        <v>16.066466666666699</v>
      </c>
      <c r="M162" t="s">
        <v>76</v>
      </c>
      <c r="N162" t="s">
        <v>15</v>
      </c>
    </row>
    <row r="163" spans="2:14" x14ac:dyDescent="0.25">
      <c r="B163">
        <v>25505</v>
      </c>
      <c r="C163" t="s">
        <v>82</v>
      </c>
      <c r="D163">
        <v>25</v>
      </c>
      <c r="E163">
        <v>55</v>
      </c>
      <c r="F163">
        <v>43.552</v>
      </c>
      <c r="G163">
        <v>16</v>
      </c>
      <c r="H163">
        <v>40.631999999999998</v>
      </c>
      <c r="I163">
        <v>3</v>
      </c>
      <c r="J163" t="s">
        <v>67</v>
      </c>
      <c r="K163" s="13">
        <v>55.725866666666697</v>
      </c>
      <c r="L163" s="13">
        <v>16.677199999999999</v>
      </c>
      <c r="M163" t="s">
        <v>76</v>
      </c>
      <c r="N163" t="s">
        <v>17</v>
      </c>
    </row>
    <row r="164" spans="2:14" x14ac:dyDescent="0.25">
      <c r="B164">
        <v>25506</v>
      </c>
      <c r="C164" t="s">
        <v>86</v>
      </c>
      <c r="D164">
        <v>25</v>
      </c>
      <c r="E164">
        <v>55</v>
      </c>
      <c r="F164">
        <v>28.074000000000002</v>
      </c>
      <c r="G164">
        <v>15</v>
      </c>
      <c r="H164">
        <v>57.014000000000003</v>
      </c>
      <c r="I164">
        <v>5</v>
      </c>
      <c r="J164" t="s">
        <v>57</v>
      </c>
      <c r="K164" s="13">
        <v>55.4679</v>
      </c>
      <c r="L164" s="13">
        <v>15.9502333333333</v>
      </c>
      <c r="M164" t="s">
        <v>76</v>
      </c>
      <c r="N164" t="s">
        <v>15</v>
      </c>
    </row>
    <row r="165" spans="2:14" x14ac:dyDescent="0.25">
      <c r="B165">
        <v>25508</v>
      </c>
      <c r="C165" t="s">
        <v>87</v>
      </c>
      <c r="D165">
        <v>25</v>
      </c>
      <c r="E165">
        <v>55</v>
      </c>
      <c r="F165">
        <v>18.02</v>
      </c>
      <c r="G165">
        <v>16</v>
      </c>
      <c r="H165">
        <v>1.1299999999999999</v>
      </c>
      <c r="I165">
        <v>5</v>
      </c>
      <c r="J165" t="s">
        <v>57</v>
      </c>
      <c r="K165" s="13">
        <v>55.300333333333299</v>
      </c>
      <c r="L165" s="13">
        <v>16.018833333333301</v>
      </c>
      <c r="M165" t="s">
        <v>76</v>
      </c>
      <c r="N165" t="s">
        <v>15</v>
      </c>
    </row>
    <row r="166" spans="2:14" x14ac:dyDescent="0.25">
      <c r="B166">
        <v>25509</v>
      </c>
      <c r="C166" t="s">
        <v>82</v>
      </c>
      <c r="D166">
        <v>25</v>
      </c>
      <c r="E166">
        <v>55</v>
      </c>
      <c r="F166">
        <v>43.78</v>
      </c>
      <c r="G166">
        <v>16</v>
      </c>
      <c r="H166">
        <v>41</v>
      </c>
      <c r="I166">
        <v>4</v>
      </c>
      <c r="J166" t="s">
        <v>67</v>
      </c>
      <c r="K166" s="13">
        <v>55.729666666666702</v>
      </c>
      <c r="L166" s="13">
        <v>16.683333333333302</v>
      </c>
      <c r="M166" t="s">
        <v>76</v>
      </c>
      <c r="N166" t="s">
        <v>17</v>
      </c>
    </row>
    <row r="167" spans="2:14" x14ac:dyDescent="0.25">
      <c r="B167">
        <v>25511</v>
      </c>
      <c r="C167" t="s">
        <v>82</v>
      </c>
      <c r="D167">
        <v>25</v>
      </c>
      <c r="E167">
        <v>55</v>
      </c>
      <c r="F167">
        <v>31.3</v>
      </c>
      <c r="G167">
        <v>16</v>
      </c>
      <c r="H167">
        <v>18.5</v>
      </c>
      <c r="I167">
        <v>4</v>
      </c>
      <c r="J167" t="s">
        <v>67</v>
      </c>
      <c r="K167" s="13">
        <v>55.521666666666697</v>
      </c>
      <c r="L167" s="13">
        <v>16.308333333333302</v>
      </c>
      <c r="M167" t="s">
        <v>76</v>
      </c>
      <c r="N167" t="s">
        <v>17</v>
      </c>
    </row>
    <row r="168" spans="2:14" x14ac:dyDescent="0.25">
      <c r="B168">
        <v>26001</v>
      </c>
      <c r="C168" t="s">
        <v>90</v>
      </c>
      <c r="D168">
        <v>26</v>
      </c>
      <c r="E168">
        <v>54</v>
      </c>
      <c r="F168">
        <v>22.9</v>
      </c>
      <c r="G168">
        <v>19</v>
      </c>
      <c r="H168">
        <v>14.4</v>
      </c>
      <c r="I168">
        <v>2</v>
      </c>
      <c r="J168" t="s">
        <v>70</v>
      </c>
      <c r="K168" s="13">
        <v>54.381666666666703</v>
      </c>
      <c r="L168" s="13">
        <v>19.239999999999998</v>
      </c>
      <c r="M168" t="s">
        <v>76</v>
      </c>
      <c r="N168" t="s">
        <v>16</v>
      </c>
    </row>
    <row r="169" spans="2:14" x14ac:dyDescent="0.25">
      <c r="B169">
        <v>26005</v>
      </c>
      <c r="C169" t="s">
        <v>91</v>
      </c>
      <c r="D169">
        <v>26</v>
      </c>
      <c r="E169">
        <v>54</v>
      </c>
      <c r="F169">
        <v>53.7</v>
      </c>
      <c r="G169">
        <v>18</v>
      </c>
      <c r="H169">
        <v>11</v>
      </c>
      <c r="I169">
        <v>2</v>
      </c>
      <c r="J169" t="s">
        <v>70</v>
      </c>
      <c r="K169" s="13">
        <v>54.895000000000003</v>
      </c>
      <c r="L169" s="13">
        <v>18.183333333333302</v>
      </c>
      <c r="M169" t="s">
        <v>76</v>
      </c>
      <c r="N169" t="s">
        <v>16</v>
      </c>
    </row>
    <row r="170" spans="2:14" x14ac:dyDescent="0.25">
      <c r="B170">
        <v>26007</v>
      </c>
      <c r="C170" t="s">
        <v>91</v>
      </c>
      <c r="D170">
        <v>26</v>
      </c>
      <c r="E170">
        <v>54</v>
      </c>
      <c r="F170">
        <v>51.5</v>
      </c>
      <c r="G170">
        <v>18</v>
      </c>
      <c r="H170">
        <v>34</v>
      </c>
      <c r="I170">
        <v>2</v>
      </c>
      <c r="J170" t="s">
        <v>70</v>
      </c>
      <c r="K170" s="13">
        <v>54.858333333333299</v>
      </c>
      <c r="L170" s="13">
        <v>18.566666666666698</v>
      </c>
      <c r="M170" t="s">
        <v>76</v>
      </c>
      <c r="N170" t="s">
        <v>16</v>
      </c>
    </row>
    <row r="171" spans="2:14" x14ac:dyDescent="0.25">
      <c r="B171">
        <v>26013</v>
      </c>
      <c r="C171" t="s">
        <v>92</v>
      </c>
      <c r="D171">
        <v>26</v>
      </c>
      <c r="E171">
        <v>56</v>
      </c>
      <c r="F171">
        <v>22</v>
      </c>
      <c r="G171">
        <v>18</v>
      </c>
      <c r="H171">
        <v>29</v>
      </c>
      <c r="I171">
        <v>2</v>
      </c>
      <c r="J171" t="s">
        <v>67</v>
      </c>
      <c r="K171" s="13">
        <v>56.366666666666703</v>
      </c>
      <c r="L171" s="13">
        <v>18.483333333333299</v>
      </c>
      <c r="M171" t="s">
        <v>76</v>
      </c>
      <c r="N171" t="s">
        <v>16</v>
      </c>
    </row>
    <row r="172" spans="2:14" x14ac:dyDescent="0.25">
      <c r="B172">
        <v>26019</v>
      </c>
      <c r="C172" t="s">
        <v>91</v>
      </c>
      <c r="D172">
        <v>26</v>
      </c>
      <c r="E172">
        <v>54</v>
      </c>
      <c r="F172">
        <v>53.2</v>
      </c>
      <c r="G172">
        <v>18</v>
      </c>
      <c r="H172">
        <v>38</v>
      </c>
      <c r="I172">
        <v>3</v>
      </c>
      <c r="J172" t="s">
        <v>70</v>
      </c>
      <c r="K172" s="13">
        <v>54.886666666666699</v>
      </c>
      <c r="L172" s="13">
        <v>18.633333333333301</v>
      </c>
      <c r="M172" t="s">
        <v>76</v>
      </c>
      <c r="N172" t="s">
        <v>16</v>
      </c>
    </row>
    <row r="173" spans="2:14" x14ac:dyDescent="0.25">
      <c r="B173">
        <v>26020</v>
      </c>
      <c r="C173" t="s">
        <v>91</v>
      </c>
      <c r="D173">
        <v>26</v>
      </c>
      <c r="E173">
        <v>54</v>
      </c>
      <c r="F173">
        <v>47.2</v>
      </c>
      <c r="G173">
        <v>18</v>
      </c>
      <c r="H173">
        <v>42.3</v>
      </c>
      <c r="I173">
        <v>3</v>
      </c>
      <c r="J173" t="s">
        <v>70</v>
      </c>
      <c r="K173" s="13">
        <v>54.786666666666697</v>
      </c>
      <c r="L173" s="13">
        <v>18.704999999999998</v>
      </c>
      <c r="M173" t="s">
        <v>76</v>
      </c>
      <c r="N173" t="s">
        <v>16</v>
      </c>
    </row>
    <row r="174" spans="2:14" x14ac:dyDescent="0.25">
      <c r="B174">
        <v>26027</v>
      </c>
      <c r="C174" t="s">
        <v>93</v>
      </c>
      <c r="D174">
        <v>26</v>
      </c>
      <c r="E174">
        <v>55</v>
      </c>
      <c r="F174">
        <v>47.4</v>
      </c>
      <c r="G174">
        <v>20</v>
      </c>
      <c r="H174">
        <v>23.2</v>
      </c>
      <c r="I174">
        <v>3</v>
      </c>
      <c r="J174" t="s">
        <v>94</v>
      </c>
      <c r="K174" s="13">
        <v>55.79</v>
      </c>
      <c r="L174" s="13">
        <v>20.386666666666699</v>
      </c>
      <c r="M174" t="s">
        <v>76</v>
      </c>
      <c r="N174" t="s">
        <v>20</v>
      </c>
    </row>
    <row r="175" spans="2:14" x14ac:dyDescent="0.25">
      <c r="B175">
        <v>26031</v>
      </c>
      <c r="C175" t="s">
        <v>96</v>
      </c>
      <c r="D175">
        <v>26</v>
      </c>
      <c r="E175">
        <v>56</v>
      </c>
      <c r="F175">
        <v>11.5</v>
      </c>
      <c r="G175">
        <v>19</v>
      </c>
      <c r="H175">
        <v>54.8</v>
      </c>
      <c r="I175">
        <v>4</v>
      </c>
      <c r="J175" t="s">
        <v>97</v>
      </c>
      <c r="K175" s="13">
        <v>56.191666666666698</v>
      </c>
      <c r="L175" s="13">
        <v>19.913333333333298</v>
      </c>
      <c r="M175" t="s">
        <v>76</v>
      </c>
      <c r="N175" t="s">
        <v>16</v>
      </c>
    </row>
    <row r="176" spans="2:14" x14ac:dyDescent="0.25">
      <c r="B176">
        <v>26045</v>
      </c>
      <c r="C176" t="s">
        <v>99</v>
      </c>
      <c r="D176">
        <v>26</v>
      </c>
      <c r="E176">
        <v>55</v>
      </c>
      <c r="F176">
        <v>16.7</v>
      </c>
      <c r="G176">
        <v>19</v>
      </c>
      <c r="H176">
        <v>5</v>
      </c>
      <c r="I176">
        <v>4</v>
      </c>
      <c r="J176" t="s">
        <v>70</v>
      </c>
      <c r="K176" s="13">
        <v>55.2783333333333</v>
      </c>
      <c r="L176" s="13">
        <v>19.0833333333333</v>
      </c>
      <c r="M176" t="s">
        <v>76</v>
      </c>
      <c r="N176" t="s">
        <v>16</v>
      </c>
    </row>
    <row r="177" spans="2:14" x14ac:dyDescent="0.25">
      <c r="B177">
        <v>26050</v>
      </c>
      <c r="C177" t="s">
        <v>95</v>
      </c>
      <c r="D177">
        <v>26</v>
      </c>
      <c r="E177">
        <v>55</v>
      </c>
      <c r="F177">
        <v>38.299999999999997</v>
      </c>
      <c r="G177">
        <v>18</v>
      </c>
      <c r="H177">
        <v>3.6</v>
      </c>
      <c r="I177">
        <v>4</v>
      </c>
      <c r="J177" t="s">
        <v>70</v>
      </c>
      <c r="K177" s="13">
        <v>55.6383333333333</v>
      </c>
      <c r="L177" s="13">
        <v>18.059999999999999</v>
      </c>
      <c r="M177" t="s">
        <v>76</v>
      </c>
      <c r="N177" t="s">
        <v>15</v>
      </c>
    </row>
    <row r="178" spans="2:14" x14ac:dyDescent="0.25">
      <c r="B178">
        <v>26053</v>
      </c>
      <c r="C178" t="s">
        <v>95</v>
      </c>
      <c r="D178">
        <v>26</v>
      </c>
      <c r="E178">
        <v>55</v>
      </c>
      <c r="F178">
        <v>42</v>
      </c>
      <c r="G178">
        <v>18</v>
      </c>
      <c r="H178">
        <v>0.7</v>
      </c>
      <c r="I178">
        <v>4</v>
      </c>
      <c r="J178" t="s">
        <v>70</v>
      </c>
      <c r="K178" s="13">
        <v>55.7</v>
      </c>
      <c r="L178" s="13">
        <v>18.011666666666699</v>
      </c>
      <c r="M178" t="s">
        <v>76</v>
      </c>
      <c r="N178" t="s">
        <v>15</v>
      </c>
    </row>
    <row r="179" spans="2:14" x14ac:dyDescent="0.25">
      <c r="B179">
        <v>26057</v>
      </c>
      <c r="C179" t="s">
        <v>93</v>
      </c>
      <c r="D179">
        <v>26</v>
      </c>
      <c r="E179">
        <v>55</v>
      </c>
      <c r="F179">
        <v>43.1</v>
      </c>
      <c r="G179">
        <v>19</v>
      </c>
      <c r="H179">
        <v>58</v>
      </c>
      <c r="I179">
        <v>4</v>
      </c>
      <c r="J179" t="s">
        <v>94</v>
      </c>
      <c r="K179" s="13">
        <v>55.718333333333298</v>
      </c>
      <c r="L179" s="13">
        <v>19.966666666666701</v>
      </c>
      <c r="M179" t="s">
        <v>76</v>
      </c>
      <c r="N179" t="s">
        <v>20</v>
      </c>
    </row>
    <row r="180" spans="2:14" x14ac:dyDescent="0.25">
      <c r="B180">
        <v>26060</v>
      </c>
      <c r="C180" t="s">
        <v>100</v>
      </c>
      <c r="D180">
        <v>26</v>
      </c>
      <c r="E180">
        <v>55</v>
      </c>
      <c r="F180">
        <v>59.2</v>
      </c>
      <c r="G180">
        <v>19</v>
      </c>
      <c r="H180">
        <v>19.3</v>
      </c>
      <c r="I180">
        <v>4</v>
      </c>
      <c r="J180" t="s">
        <v>94</v>
      </c>
      <c r="K180" s="13">
        <v>55.9866666666667</v>
      </c>
      <c r="L180" s="13">
        <v>19.321666666666701</v>
      </c>
      <c r="M180" t="s">
        <v>76</v>
      </c>
      <c r="N180" t="s">
        <v>16</v>
      </c>
    </row>
    <row r="181" spans="2:14" x14ac:dyDescent="0.25">
      <c r="B181">
        <v>26069</v>
      </c>
      <c r="C181" t="s">
        <v>92</v>
      </c>
      <c r="D181">
        <v>26</v>
      </c>
      <c r="E181">
        <v>56</v>
      </c>
      <c r="F181">
        <v>13.1</v>
      </c>
      <c r="G181">
        <v>18</v>
      </c>
      <c r="H181">
        <v>25.2</v>
      </c>
      <c r="I181">
        <v>4</v>
      </c>
      <c r="J181" t="s">
        <v>67</v>
      </c>
      <c r="K181" s="13">
        <v>56.218333333333298</v>
      </c>
      <c r="L181" s="13">
        <v>18.420000000000002</v>
      </c>
      <c r="M181" t="s">
        <v>76</v>
      </c>
      <c r="N181" t="s">
        <v>16</v>
      </c>
    </row>
    <row r="182" spans="2:14" x14ac:dyDescent="0.25">
      <c r="B182">
        <v>26071</v>
      </c>
      <c r="C182" t="s">
        <v>96</v>
      </c>
      <c r="D182">
        <v>26</v>
      </c>
      <c r="E182">
        <v>56</v>
      </c>
      <c r="F182">
        <v>13.7</v>
      </c>
      <c r="G182">
        <v>19</v>
      </c>
      <c r="H182">
        <v>30.3</v>
      </c>
      <c r="I182">
        <v>6</v>
      </c>
      <c r="J182" t="s">
        <v>97</v>
      </c>
      <c r="K182" s="13">
        <v>56.228333333333303</v>
      </c>
      <c r="L182" s="13">
        <v>19.504999999999999</v>
      </c>
      <c r="M182" t="s">
        <v>76</v>
      </c>
      <c r="N182" t="s">
        <v>16</v>
      </c>
    </row>
    <row r="183" spans="2:14" x14ac:dyDescent="0.25">
      <c r="B183">
        <v>26073</v>
      </c>
      <c r="C183" t="s">
        <v>96</v>
      </c>
      <c r="D183">
        <v>26</v>
      </c>
      <c r="E183">
        <v>56</v>
      </c>
      <c r="F183">
        <v>15</v>
      </c>
      <c r="G183">
        <v>19</v>
      </c>
      <c r="H183">
        <v>39</v>
      </c>
      <c r="I183">
        <v>4</v>
      </c>
      <c r="J183" t="s">
        <v>97</v>
      </c>
      <c r="K183" s="13">
        <v>56.25</v>
      </c>
      <c r="L183" s="13">
        <v>19.649999999999999</v>
      </c>
      <c r="M183" t="s">
        <v>76</v>
      </c>
      <c r="N183" t="s">
        <v>16</v>
      </c>
    </row>
    <row r="184" spans="2:14" x14ac:dyDescent="0.25">
      <c r="B184">
        <v>26076</v>
      </c>
      <c r="C184" t="s">
        <v>92</v>
      </c>
      <c r="D184">
        <v>26</v>
      </c>
      <c r="E184">
        <v>56</v>
      </c>
      <c r="F184">
        <v>26</v>
      </c>
      <c r="G184">
        <v>18</v>
      </c>
      <c r="H184">
        <v>39</v>
      </c>
      <c r="I184">
        <v>4</v>
      </c>
      <c r="J184" t="s">
        <v>67</v>
      </c>
      <c r="K184" s="13">
        <v>56.433333333333302</v>
      </c>
      <c r="L184" s="13">
        <v>18.649999999999999</v>
      </c>
      <c r="M184" t="s">
        <v>76</v>
      </c>
      <c r="N184" t="s">
        <v>16</v>
      </c>
    </row>
    <row r="185" spans="2:14" x14ac:dyDescent="0.25">
      <c r="B185">
        <v>26077</v>
      </c>
      <c r="C185" t="s">
        <v>92</v>
      </c>
      <c r="D185">
        <v>26</v>
      </c>
      <c r="E185">
        <v>56</v>
      </c>
      <c r="F185">
        <v>27</v>
      </c>
      <c r="G185">
        <v>18</v>
      </c>
      <c r="H185">
        <v>40</v>
      </c>
      <c r="I185">
        <v>4</v>
      </c>
      <c r="J185" t="s">
        <v>67</v>
      </c>
      <c r="K185" s="13">
        <v>56.45</v>
      </c>
      <c r="L185" s="13">
        <v>18.6666666666667</v>
      </c>
      <c r="M185" t="s">
        <v>76</v>
      </c>
      <c r="N185" t="s">
        <v>16</v>
      </c>
    </row>
    <row r="186" spans="2:14" x14ac:dyDescent="0.25">
      <c r="B186">
        <v>26078</v>
      </c>
      <c r="C186" t="s">
        <v>98</v>
      </c>
      <c r="D186">
        <v>26</v>
      </c>
      <c r="E186">
        <v>56</v>
      </c>
      <c r="F186">
        <v>21</v>
      </c>
      <c r="G186">
        <v>20</v>
      </c>
      <c r="H186">
        <v>2</v>
      </c>
      <c r="I186">
        <v>4</v>
      </c>
      <c r="J186" t="s">
        <v>97</v>
      </c>
      <c r="K186" s="13">
        <v>56.35</v>
      </c>
      <c r="L186" s="13">
        <v>20.033333333333299</v>
      </c>
      <c r="M186" t="s">
        <v>76</v>
      </c>
      <c r="N186" t="s">
        <v>16</v>
      </c>
    </row>
    <row r="187" spans="2:14" x14ac:dyDescent="0.25">
      <c r="B187">
        <v>26081</v>
      </c>
      <c r="C187" t="s">
        <v>98</v>
      </c>
      <c r="D187">
        <v>26</v>
      </c>
      <c r="E187">
        <v>56</v>
      </c>
      <c r="F187">
        <v>27</v>
      </c>
      <c r="G187">
        <v>20</v>
      </c>
      <c r="H187">
        <v>12</v>
      </c>
      <c r="I187">
        <v>5</v>
      </c>
      <c r="J187" t="s">
        <v>97</v>
      </c>
      <c r="K187" s="13">
        <v>56.45</v>
      </c>
      <c r="L187" s="13">
        <v>20.2</v>
      </c>
      <c r="M187" t="s">
        <v>76</v>
      </c>
      <c r="N187" t="s">
        <v>16</v>
      </c>
    </row>
    <row r="188" spans="2:14" x14ac:dyDescent="0.25">
      <c r="B188">
        <v>26091</v>
      </c>
      <c r="C188" t="s">
        <v>99</v>
      </c>
      <c r="D188">
        <v>26</v>
      </c>
      <c r="E188">
        <v>55</v>
      </c>
      <c r="F188">
        <v>7</v>
      </c>
      <c r="G188">
        <v>19</v>
      </c>
      <c r="H188">
        <v>5</v>
      </c>
      <c r="I188">
        <v>5</v>
      </c>
      <c r="J188" t="s">
        <v>70</v>
      </c>
      <c r="K188" s="13">
        <v>55.116666666666703</v>
      </c>
      <c r="L188" s="13">
        <v>19.0833333333333</v>
      </c>
      <c r="M188" t="s">
        <v>76</v>
      </c>
      <c r="N188" t="s">
        <v>16</v>
      </c>
    </row>
    <row r="189" spans="2:14" x14ac:dyDescent="0.25">
      <c r="B189">
        <v>26093</v>
      </c>
      <c r="C189" t="s">
        <v>89</v>
      </c>
      <c r="D189">
        <v>26</v>
      </c>
      <c r="E189">
        <v>55</v>
      </c>
      <c r="F189">
        <v>10.5</v>
      </c>
      <c r="G189">
        <v>18</v>
      </c>
      <c r="H189">
        <v>39</v>
      </c>
      <c r="I189">
        <v>5</v>
      </c>
      <c r="J189" t="s">
        <v>70</v>
      </c>
      <c r="K189" s="13">
        <v>55.174999999999997</v>
      </c>
      <c r="L189" s="13">
        <v>18.649999999999999</v>
      </c>
      <c r="M189" t="s">
        <v>76</v>
      </c>
      <c r="N189" t="s">
        <v>16</v>
      </c>
    </row>
    <row r="190" spans="2:14" x14ac:dyDescent="0.25">
      <c r="B190">
        <v>26094</v>
      </c>
      <c r="C190" t="s">
        <v>89</v>
      </c>
      <c r="D190">
        <v>26</v>
      </c>
      <c r="E190">
        <v>55</v>
      </c>
      <c r="F190">
        <v>11.8</v>
      </c>
      <c r="G190">
        <v>18</v>
      </c>
      <c r="H190">
        <v>57</v>
      </c>
      <c r="I190">
        <v>5</v>
      </c>
      <c r="J190" t="s">
        <v>70</v>
      </c>
      <c r="K190" s="13">
        <v>55.196666666666701</v>
      </c>
      <c r="L190" s="13">
        <v>18.95</v>
      </c>
      <c r="M190" t="s">
        <v>76</v>
      </c>
      <c r="N190" t="s">
        <v>16</v>
      </c>
    </row>
    <row r="191" spans="2:14" x14ac:dyDescent="0.25">
      <c r="B191">
        <v>26099</v>
      </c>
      <c r="C191" t="s">
        <v>89</v>
      </c>
      <c r="D191">
        <v>26</v>
      </c>
      <c r="E191">
        <v>55</v>
      </c>
      <c r="F191">
        <v>28.3</v>
      </c>
      <c r="G191">
        <v>18</v>
      </c>
      <c r="H191">
        <v>18.2</v>
      </c>
      <c r="I191">
        <v>5</v>
      </c>
      <c r="J191" t="s">
        <v>70</v>
      </c>
      <c r="K191" s="13">
        <v>55.4716666666667</v>
      </c>
      <c r="L191" s="13">
        <v>18.303333333333299</v>
      </c>
      <c r="M191" t="s">
        <v>76</v>
      </c>
      <c r="N191" t="s">
        <v>15</v>
      </c>
    </row>
    <row r="192" spans="2:14" x14ac:dyDescent="0.25">
      <c r="B192">
        <v>26105</v>
      </c>
      <c r="C192" t="s">
        <v>89</v>
      </c>
      <c r="D192">
        <v>26</v>
      </c>
      <c r="E192">
        <v>55</v>
      </c>
      <c r="F192">
        <v>21</v>
      </c>
      <c r="G192">
        <v>18</v>
      </c>
      <c r="H192">
        <v>47</v>
      </c>
      <c r="I192">
        <v>5</v>
      </c>
      <c r="J192" t="s">
        <v>70</v>
      </c>
      <c r="K192" s="13">
        <v>55.35</v>
      </c>
      <c r="L192" s="13">
        <v>18.783333333333299</v>
      </c>
      <c r="M192" t="s">
        <v>76</v>
      </c>
      <c r="N192" t="s">
        <v>15</v>
      </c>
    </row>
    <row r="193" spans="2:14" x14ac:dyDescent="0.25">
      <c r="B193">
        <v>26107</v>
      </c>
      <c r="C193" t="s">
        <v>99</v>
      </c>
      <c r="D193">
        <v>26</v>
      </c>
      <c r="E193">
        <v>55</v>
      </c>
      <c r="F193">
        <v>30.1</v>
      </c>
      <c r="G193">
        <v>18</v>
      </c>
      <c r="H193">
        <v>59.7</v>
      </c>
      <c r="I193">
        <v>5</v>
      </c>
      <c r="J193" t="s">
        <v>70</v>
      </c>
      <c r="K193" s="13">
        <v>55.501666666666701</v>
      </c>
      <c r="L193" s="13">
        <v>18.995000000000001</v>
      </c>
      <c r="M193" t="s">
        <v>76</v>
      </c>
      <c r="N193" t="s">
        <v>16</v>
      </c>
    </row>
    <row r="194" spans="2:14" x14ac:dyDescent="0.25">
      <c r="B194">
        <v>26110</v>
      </c>
      <c r="C194" t="s">
        <v>95</v>
      </c>
      <c r="D194">
        <v>26</v>
      </c>
      <c r="E194">
        <v>55</v>
      </c>
      <c r="F194">
        <v>35</v>
      </c>
      <c r="G194">
        <v>18</v>
      </c>
      <c r="H194">
        <v>23</v>
      </c>
      <c r="I194">
        <v>5</v>
      </c>
      <c r="J194" t="s">
        <v>70</v>
      </c>
      <c r="K194" s="13">
        <v>55.5833333333333</v>
      </c>
      <c r="L194" s="13">
        <v>18.383333333333301</v>
      </c>
      <c r="M194" t="s">
        <v>76</v>
      </c>
      <c r="N194" t="s">
        <v>15</v>
      </c>
    </row>
    <row r="195" spans="2:14" x14ac:dyDescent="0.25">
      <c r="B195">
        <v>26122</v>
      </c>
      <c r="C195" t="s">
        <v>100</v>
      </c>
      <c r="D195">
        <v>26</v>
      </c>
      <c r="E195">
        <v>56</v>
      </c>
      <c r="F195">
        <v>0.1</v>
      </c>
      <c r="G195">
        <v>19</v>
      </c>
      <c r="H195">
        <v>17.899999999999999</v>
      </c>
      <c r="I195">
        <v>5</v>
      </c>
      <c r="J195" t="s">
        <v>94</v>
      </c>
      <c r="K195" s="13">
        <v>56.001666666666701</v>
      </c>
      <c r="L195" s="13">
        <v>19.2983333333333</v>
      </c>
      <c r="M195" t="s">
        <v>76</v>
      </c>
      <c r="N195" t="s">
        <v>16</v>
      </c>
    </row>
    <row r="196" spans="2:14" x14ac:dyDescent="0.25">
      <c r="B196">
        <v>26124</v>
      </c>
      <c r="C196" t="s">
        <v>92</v>
      </c>
      <c r="D196">
        <v>26</v>
      </c>
      <c r="E196">
        <v>56</v>
      </c>
      <c r="F196">
        <v>17</v>
      </c>
      <c r="G196">
        <v>18</v>
      </c>
      <c r="H196">
        <v>32</v>
      </c>
      <c r="I196">
        <v>5</v>
      </c>
      <c r="J196" t="s">
        <v>67</v>
      </c>
      <c r="K196" s="13">
        <v>56.283333333333303</v>
      </c>
      <c r="L196" s="13">
        <v>18.533333333333299</v>
      </c>
      <c r="M196" t="s">
        <v>76</v>
      </c>
      <c r="N196" t="s">
        <v>16</v>
      </c>
    </row>
    <row r="197" spans="2:14" x14ac:dyDescent="0.25">
      <c r="B197">
        <v>26125</v>
      </c>
      <c r="C197" t="s">
        <v>101</v>
      </c>
      <c r="D197">
        <v>26</v>
      </c>
      <c r="E197">
        <v>56</v>
      </c>
      <c r="F197">
        <v>24.08</v>
      </c>
      <c r="G197">
        <v>18</v>
      </c>
      <c r="H197">
        <v>36.479999999999997</v>
      </c>
      <c r="I197">
        <v>5</v>
      </c>
      <c r="J197" t="s">
        <v>67</v>
      </c>
      <c r="K197" s="13">
        <v>56.401333333333298</v>
      </c>
      <c r="L197" s="13">
        <v>18.608000000000001</v>
      </c>
      <c r="M197" t="s">
        <v>76</v>
      </c>
      <c r="N197" t="s">
        <v>16</v>
      </c>
    </row>
    <row r="198" spans="2:14" x14ac:dyDescent="0.25">
      <c r="B198">
        <v>26131</v>
      </c>
      <c r="C198" t="s">
        <v>90</v>
      </c>
      <c r="D198">
        <v>26</v>
      </c>
      <c r="E198">
        <v>54</v>
      </c>
      <c r="F198">
        <v>24</v>
      </c>
      <c r="G198">
        <v>19</v>
      </c>
      <c r="H198">
        <v>2.4</v>
      </c>
      <c r="I198">
        <v>2</v>
      </c>
      <c r="J198" t="s">
        <v>70</v>
      </c>
      <c r="K198" s="13">
        <v>54.4</v>
      </c>
      <c r="L198" s="13">
        <v>19.04</v>
      </c>
      <c r="M198" t="s">
        <v>76</v>
      </c>
      <c r="N198" t="s">
        <v>16</v>
      </c>
    </row>
    <row r="199" spans="2:14" x14ac:dyDescent="0.25">
      <c r="B199">
        <v>26133</v>
      </c>
      <c r="C199" t="s">
        <v>91</v>
      </c>
      <c r="D199">
        <v>26</v>
      </c>
      <c r="E199">
        <v>54</v>
      </c>
      <c r="F199">
        <v>42.1</v>
      </c>
      <c r="G199">
        <v>18</v>
      </c>
      <c r="H199">
        <v>46.6</v>
      </c>
      <c r="I199">
        <v>3</v>
      </c>
      <c r="J199" t="s">
        <v>70</v>
      </c>
      <c r="K199" s="13">
        <v>54.701666666666704</v>
      </c>
      <c r="L199" s="13">
        <v>18.776666666666699</v>
      </c>
      <c r="M199" t="s">
        <v>76</v>
      </c>
      <c r="N199" t="s">
        <v>16</v>
      </c>
    </row>
    <row r="200" spans="2:14" x14ac:dyDescent="0.25">
      <c r="B200">
        <v>26138</v>
      </c>
      <c r="C200" t="s">
        <v>95</v>
      </c>
      <c r="D200">
        <v>26</v>
      </c>
      <c r="E200">
        <v>55</v>
      </c>
      <c r="F200">
        <v>52.8</v>
      </c>
      <c r="G200">
        <v>18</v>
      </c>
      <c r="H200">
        <v>49</v>
      </c>
      <c r="I200">
        <v>6</v>
      </c>
      <c r="J200" t="s">
        <v>70</v>
      </c>
      <c r="K200" s="13">
        <v>55.88</v>
      </c>
      <c r="L200" s="13">
        <v>18.816666666666698</v>
      </c>
      <c r="M200" t="s">
        <v>76</v>
      </c>
      <c r="N200" t="s">
        <v>16</v>
      </c>
    </row>
    <row r="201" spans="2:14" x14ac:dyDescent="0.25">
      <c r="B201">
        <v>26140</v>
      </c>
      <c r="C201" t="s">
        <v>92</v>
      </c>
      <c r="D201">
        <v>26</v>
      </c>
      <c r="E201">
        <v>56</v>
      </c>
      <c r="F201">
        <v>0.4</v>
      </c>
      <c r="G201">
        <v>18</v>
      </c>
      <c r="H201">
        <v>54.1</v>
      </c>
      <c r="I201">
        <v>6</v>
      </c>
      <c r="J201" t="s">
        <v>67</v>
      </c>
      <c r="K201" s="13">
        <v>56.006666666666703</v>
      </c>
      <c r="L201" s="13">
        <v>18.901666666666699</v>
      </c>
      <c r="M201" t="s">
        <v>76</v>
      </c>
      <c r="N201" t="s">
        <v>16</v>
      </c>
    </row>
    <row r="202" spans="2:14" x14ac:dyDescent="0.25">
      <c r="B202">
        <v>26141</v>
      </c>
      <c r="C202" t="s">
        <v>92</v>
      </c>
      <c r="D202">
        <v>26</v>
      </c>
      <c r="E202">
        <v>56</v>
      </c>
      <c r="F202">
        <v>19</v>
      </c>
      <c r="G202">
        <v>18</v>
      </c>
      <c r="H202">
        <v>40</v>
      </c>
      <c r="I202">
        <v>6</v>
      </c>
      <c r="J202" t="s">
        <v>67</v>
      </c>
      <c r="K202" s="13">
        <v>56.316666666666698</v>
      </c>
      <c r="L202" s="13">
        <v>18.6666666666667</v>
      </c>
      <c r="M202" t="s">
        <v>76</v>
      </c>
      <c r="N202" t="s">
        <v>16</v>
      </c>
    </row>
    <row r="203" spans="2:14" x14ac:dyDescent="0.25">
      <c r="B203">
        <v>26142</v>
      </c>
      <c r="C203" t="s">
        <v>96</v>
      </c>
      <c r="D203">
        <v>26</v>
      </c>
      <c r="E203">
        <v>56</v>
      </c>
      <c r="F203">
        <v>12</v>
      </c>
      <c r="G203">
        <v>19</v>
      </c>
      <c r="H203">
        <v>28</v>
      </c>
      <c r="I203">
        <v>6</v>
      </c>
      <c r="J203" t="s">
        <v>97</v>
      </c>
      <c r="K203" s="13">
        <v>56.2</v>
      </c>
      <c r="L203" s="13">
        <v>19.466666666666701</v>
      </c>
      <c r="M203" t="s">
        <v>76</v>
      </c>
      <c r="N203" t="s">
        <v>16</v>
      </c>
    </row>
    <row r="204" spans="2:14" x14ac:dyDescent="0.25">
      <c r="B204">
        <v>26144</v>
      </c>
      <c r="C204" t="s">
        <v>96</v>
      </c>
      <c r="D204">
        <v>26</v>
      </c>
      <c r="E204">
        <v>56</v>
      </c>
      <c r="F204">
        <v>22</v>
      </c>
      <c r="G204">
        <v>19</v>
      </c>
      <c r="H204">
        <v>29</v>
      </c>
      <c r="I204">
        <v>6</v>
      </c>
      <c r="J204" t="s">
        <v>97</v>
      </c>
      <c r="K204" s="13">
        <v>56.366666666666703</v>
      </c>
      <c r="L204" s="13">
        <v>19.483333333333299</v>
      </c>
      <c r="M204" t="s">
        <v>76</v>
      </c>
      <c r="N204" t="s">
        <v>16</v>
      </c>
    </row>
    <row r="205" spans="2:14" x14ac:dyDescent="0.25">
      <c r="B205">
        <v>26145</v>
      </c>
      <c r="C205" t="s">
        <v>96</v>
      </c>
      <c r="D205">
        <v>26</v>
      </c>
      <c r="E205">
        <v>56</v>
      </c>
      <c r="F205">
        <v>27.9</v>
      </c>
      <c r="G205">
        <v>19</v>
      </c>
      <c r="H205">
        <v>49.7</v>
      </c>
      <c r="I205">
        <v>6</v>
      </c>
      <c r="J205" t="s">
        <v>97</v>
      </c>
      <c r="K205" s="13">
        <v>56.465000000000003</v>
      </c>
      <c r="L205" s="13">
        <v>19.828333333333301</v>
      </c>
      <c r="M205" t="s">
        <v>76</v>
      </c>
      <c r="N205" t="s">
        <v>16</v>
      </c>
    </row>
    <row r="206" spans="2:14" x14ac:dyDescent="0.25">
      <c r="B206">
        <v>26161</v>
      </c>
      <c r="C206" t="s">
        <v>81</v>
      </c>
      <c r="D206">
        <v>26</v>
      </c>
      <c r="E206">
        <v>55</v>
      </c>
      <c r="F206">
        <v>28.8</v>
      </c>
      <c r="G206">
        <v>18</v>
      </c>
      <c r="H206">
        <v>18.100000000000001</v>
      </c>
      <c r="I206">
        <v>5</v>
      </c>
      <c r="J206" t="s">
        <v>70</v>
      </c>
      <c r="K206" s="13">
        <v>55.48</v>
      </c>
      <c r="L206" s="13">
        <v>18.301666666666701</v>
      </c>
      <c r="M206" t="s">
        <v>76</v>
      </c>
      <c r="N206" t="s">
        <v>15</v>
      </c>
    </row>
    <row r="207" spans="2:14" x14ac:dyDescent="0.25">
      <c r="B207">
        <v>26165</v>
      </c>
      <c r="C207" t="s">
        <v>89</v>
      </c>
      <c r="D207">
        <v>26</v>
      </c>
      <c r="E207">
        <v>55</v>
      </c>
      <c r="F207">
        <v>26</v>
      </c>
      <c r="G207">
        <v>18</v>
      </c>
      <c r="H207">
        <v>34</v>
      </c>
      <c r="I207">
        <v>5</v>
      </c>
      <c r="J207" t="s">
        <v>70</v>
      </c>
      <c r="K207" s="13">
        <v>55.433333333333302</v>
      </c>
      <c r="L207" s="13">
        <v>18.566666666666698</v>
      </c>
      <c r="M207" t="s">
        <v>76</v>
      </c>
      <c r="N207" t="s">
        <v>15</v>
      </c>
    </row>
    <row r="208" spans="2:14" x14ac:dyDescent="0.25">
      <c r="B208">
        <v>26170</v>
      </c>
      <c r="C208" t="s">
        <v>92</v>
      </c>
      <c r="D208">
        <v>26</v>
      </c>
      <c r="E208">
        <v>56</v>
      </c>
      <c r="F208">
        <v>9.8905600000000007</v>
      </c>
      <c r="G208">
        <v>18</v>
      </c>
      <c r="H208">
        <v>20.27</v>
      </c>
      <c r="I208">
        <v>4</v>
      </c>
      <c r="J208" t="s">
        <v>67</v>
      </c>
      <c r="K208" s="13">
        <v>56.164842666666701</v>
      </c>
      <c r="L208" s="13">
        <v>18.3378333333333</v>
      </c>
      <c r="M208" t="s">
        <v>76</v>
      </c>
      <c r="N208" t="s">
        <v>16</v>
      </c>
    </row>
    <row r="209" spans="2:14" x14ac:dyDescent="0.25">
      <c r="B209">
        <v>26172</v>
      </c>
      <c r="C209" t="s">
        <v>95</v>
      </c>
      <c r="D209">
        <v>26</v>
      </c>
      <c r="E209">
        <v>55</v>
      </c>
      <c r="F209">
        <v>31.8</v>
      </c>
      <c r="G209">
        <v>18</v>
      </c>
      <c r="H209">
        <v>10.7</v>
      </c>
      <c r="I209">
        <v>5</v>
      </c>
      <c r="J209" t="s">
        <v>70</v>
      </c>
      <c r="K209" s="13">
        <v>55.53</v>
      </c>
      <c r="L209" s="13">
        <v>18.178333333333299</v>
      </c>
      <c r="M209" t="s">
        <v>76</v>
      </c>
      <c r="N209" t="s">
        <v>15</v>
      </c>
    </row>
    <row r="210" spans="2:14" x14ac:dyDescent="0.25">
      <c r="B210">
        <v>26177</v>
      </c>
      <c r="C210" t="s">
        <v>91</v>
      </c>
      <c r="D210">
        <v>26</v>
      </c>
      <c r="E210">
        <v>54</v>
      </c>
      <c r="F210">
        <v>54</v>
      </c>
      <c r="G210">
        <v>18</v>
      </c>
      <c r="H210">
        <v>10</v>
      </c>
      <c r="I210">
        <v>2</v>
      </c>
      <c r="J210" t="s">
        <v>70</v>
      </c>
      <c r="K210" s="13">
        <v>54.9</v>
      </c>
      <c r="L210" s="13">
        <v>18.1666666666667</v>
      </c>
      <c r="M210" t="s">
        <v>76</v>
      </c>
      <c r="N210" t="s">
        <v>16</v>
      </c>
    </row>
    <row r="211" spans="2:14" x14ac:dyDescent="0.25">
      <c r="B211">
        <v>26182</v>
      </c>
      <c r="C211" t="s">
        <v>92</v>
      </c>
      <c r="D211">
        <v>26</v>
      </c>
      <c r="E211">
        <v>55</v>
      </c>
      <c r="F211">
        <v>2.8</v>
      </c>
      <c r="G211">
        <v>18</v>
      </c>
      <c r="H211">
        <v>18.7</v>
      </c>
      <c r="I211">
        <v>4</v>
      </c>
      <c r="J211" t="s">
        <v>70</v>
      </c>
      <c r="K211" s="13">
        <v>55.046666666666702</v>
      </c>
      <c r="L211" s="13">
        <v>18.311666666666699</v>
      </c>
      <c r="M211" t="s">
        <v>76</v>
      </c>
      <c r="N211" t="s">
        <v>16</v>
      </c>
    </row>
    <row r="212" spans="2:14" x14ac:dyDescent="0.25">
      <c r="B212">
        <v>26191</v>
      </c>
      <c r="C212" t="s">
        <v>100</v>
      </c>
      <c r="D212">
        <v>26</v>
      </c>
      <c r="E212">
        <v>54</v>
      </c>
      <c r="F212">
        <v>40.700000000000003</v>
      </c>
      <c r="G212">
        <v>19</v>
      </c>
      <c r="H212">
        <v>17.8</v>
      </c>
      <c r="I212">
        <v>5</v>
      </c>
      <c r="J212" t="s">
        <v>70</v>
      </c>
      <c r="K212" s="13">
        <v>54.678333333333299</v>
      </c>
      <c r="L212" s="13">
        <v>19.296666666666699</v>
      </c>
      <c r="M212" t="s">
        <v>76</v>
      </c>
      <c r="N212" t="s">
        <v>16</v>
      </c>
    </row>
    <row r="213" spans="2:14" x14ac:dyDescent="0.25">
      <c r="B213">
        <v>26199</v>
      </c>
      <c r="C213" t="s">
        <v>96</v>
      </c>
      <c r="D213">
        <v>26</v>
      </c>
      <c r="E213">
        <v>56</v>
      </c>
      <c r="F213">
        <v>22.8</v>
      </c>
      <c r="G213">
        <v>19</v>
      </c>
      <c r="H213">
        <v>42.4</v>
      </c>
      <c r="I213">
        <v>6</v>
      </c>
      <c r="J213" t="s">
        <v>97</v>
      </c>
      <c r="K213" s="13">
        <v>56.38</v>
      </c>
      <c r="L213" s="13">
        <v>19.706666666666699</v>
      </c>
      <c r="M213" t="s">
        <v>76</v>
      </c>
      <c r="N213" t="s">
        <v>16</v>
      </c>
    </row>
    <row r="214" spans="2:14" x14ac:dyDescent="0.25">
      <c r="B214">
        <v>26205</v>
      </c>
      <c r="C214" t="s">
        <v>93</v>
      </c>
      <c r="D214">
        <v>26</v>
      </c>
      <c r="E214">
        <v>55</v>
      </c>
      <c r="F214">
        <v>45.5</v>
      </c>
      <c r="G214">
        <v>20</v>
      </c>
      <c r="H214">
        <v>22.2</v>
      </c>
      <c r="I214">
        <v>3</v>
      </c>
      <c r="J214" t="s">
        <v>94</v>
      </c>
      <c r="K214" s="13">
        <v>55.758333333333297</v>
      </c>
      <c r="L214" s="13">
        <v>20.37</v>
      </c>
      <c r="M214" t="s">
        <v>76</v>
      </c>
      <c r="N214" t="s">
        <v>20</v>
      </c>
    </row>
    <row r="215" spans="2:14" x14ac:dyDescent="0.25">
      <c r="B215">
        <v>26206</v>
      </c>
      <c r="C215" t="s">
        <v>93</v>
      </c>
      <c r="D215">
        <v>26</v>
      </c>
      <c r="E215">
        <v>55</v>
      </c>
      <c r="F215">
        <v>45.8</v>
      </c>
      <c r="G215">
        <v>20</v>
      </c>
      <c r="H215">
        <v>20</v>
      </c>
      <c r="I215">
        <v>3</v>
      </c>
      <c r="J215" t="s">
        <v>94</v>
      </c>
      <c r="K215" s="13">
        <v>55.7633333333333</v>
      </c>
      <c r="L215" s="13">
        <v>20.3333333333333</v>
      </c>
      <c r="M215" t="s">
        <v>76</v>
      </c>
      <c r="N215" t="s">
        <v>20</v>
      </c>
    </row>
    <row r="216" spans="2:14" x14ac:dyDescent="0.25">
      <c r="B216">
        <v>26209</v>
      </c>
      <c r="C216" t="s">
        <v>96</v>
      </c>
      <c r="D216">
        <v>26</v>
      </c>
      <c r="E216">
        <v>56</v>
      </c>
      <c r="F216">
        <v>18</v>
      </c>
      <c r="G216">
        <v>19</v>
      </c>
      <c r="H216">
        <v>31.5</v>
      </c>
      <c r="I216">
        <v>6</v>
      </c>
      <c r="J216" t="s">
        <v>97</v>
      </c>
      <c r="K216" s="13">
        <v>56.3</v>
      </c>
      <c r="L216" s="13">
        <v>19.524999999999999</v>
      </c>
      <c r="M216" t="s">
        <v>76</v>
      </c>
      <c r="N216" t="s">
        <v>16</v>
      </c>
    </row>
    <row r="217" spans="2:14" x14ac:dyDescent="0.25">
      <c r="B217">
        <v>26211</v>
      </c>
      <c r="C217" t="s">
        <v>103</v>
      </c>
      <c r="D217">
        <v>26</v>
      </c>
      <c r="E217">
        <v>54</v>
      </c>
      <c r="F217">
        <v>30.6</v>
      </c>
      <c r="G217">
        <v>19</v>
      </c>
      <c r="H217">
        <v>21</v>
      </c>
      <c r="I217">
        <v>4</v>
      </c>
      <c r="J217" t="s">
        <v>70</v>
      </c>
      <c r="K217" s="13">
        <v>54.51</v>
      </c>
      <c r="L217" s="13">
        <v>19.350000000000001</v>
      </c>
      <c r="M217" t="s">
        <v>76</v>
      </c>
      <c r="N217" t="s">
        <v>16</v>
      </c>
    </row>
    <row r="218" spans="2:14" x14ac:dyDescent="0.25">
      <c r="B218">
        <v>26216</v>
      </c>
      <c r="C218" t="s">
        <v>90</v>
      </c>
      <c r="D218">
        <v>26</v>
      </c>
      <c r="E218">
        <v>54</v>
      </c>
      <c r="F218">
        <v>23.9</v>
      </c>
      <c r="G218">
        <v>19</v>
      </c>
      <c r="H218">
        <v>16.3</v>
      </c>
      <c r="I218">
        <v>2</v>
      </c>
      <c r="J218" t="s">
        <v>70</v>
      </c>
      <c r="K218" s="13">
        <v>54.398333333333298</v>
      </c>
      <c r="L218" s="13">
        <v>19.2716666666667</v>
      </c>
      <c r="M218" t="s">
        <v>76</v>
      </c>
      <c r="N218" t="s">
        <v>16</v>
      </c>
    </row>
    <row r="219" spans="2:14" x14ac:dyDescent="0.25">
      <c r="B219">
        <v>26219</v>
      </c>
      <c r="C219" t="s">
        <v>102</v>
      </c>
      <c r="D219">
        <v>26</v>
      </c>
      <c r="E219">
        <v>54</v>
      </c>
      <c r="F219">
        <v>23.5</v>
      </c>
      <c r="G219">
        <v>18</v>
      </c>
      <c r="H219">
        <v>58.5</v>
      </c>
      <c r="I219">
        <v>2</v>
      </c>
      <c r="J219" t="s">
        <v>70</v>
      </c>
      <c r="K219" s="13">
        <v>54.391666666666701</v>
      </c>
      <c r="L219" s="13">
        <v>18.975000000000001</v>
      </c>
      <c r="M219" t="s">
        <v>76</v>
      </c>
      <c r="N219" t="s">
        <v>16</v>
      </c>
    </row>
    <row r="220" spans="2:14" x14ac:dyDescent="0.25">
      <c r="B220">
        <v>26220</v>
      </c>
      <c r="C220" t="s">
        <v>90</v>
      </c>
      <c r="D220">
        <v>26</v>
      </c>
      <c r="E220">
        <v>54</v>
      </c>
      <c r="F220">
        <v>25.1</v>
      </c>
      <c r="G220">
        <v>19</v>
      </c>
      <c r="H220">
        <v>5.0999999999999996</v>
      </c>
      <c r="I220">
        <v>3</v>
      </c>
      <c r="J220" t="s">
        <v>70</v>
      </c>
      <c r="K220" s="13">
        <v>54.418333333333301</v>
      </c>
      <c r="L220" s="13">
        <v>19.085000000000001</v>
      </c>
      <c r="M220" t="s">
        <v>76</v>
      </c>
      <c r="N220" t="s">
        <v>16</v>
      </c>
    </row>
    <row r="221" spans="2:14" x14ac:dyDescent="0.25">
      <c r="B221">
        <v>26221</v>
      </c>
      <c r="C221" t="s">
        <v>95</v>
      </c>
      <c r="D221">
        <v>26</v>
      </c>
      <c r="E221">
        <v>55</v>
      </c>
      <c r="F221">
        <v>55.2</v>
      </c>
      <c r="G221">
        <v>18</v>
      </c>
      <c r="H221">
        <v>35.21</v>
      </c>
      <c r="I221">
        <v>6</v>
      </c>
      <c r="J221" t="s">
        <v>67</v>
      </c>
      <c r="K221" s="13">
        <v>55.92</v>
      </c>
      <c r="L221" s="13">
        <v>18.586833333333299</v>
      </c>
      <c r="M221" t="s">
        <v>76</v>
      </c>
      <c r="N221" t="s">
        <v>16</v>
      </c>
    </row>
    <row r="222" spans="2:14" x14ac:dyDescent="0.25">
      <c r="B222">
        <v>26224</v>
      </c>
      <c r="C222" t="s">
        <v>92</v>
      </c>
      <c r="D222">
        <v>26</v>
      </c>
      <c r="E222">
        <v>56</v>
      </c>
      <c r="F222">
        <v>22.01</v>
      </c>
      <c r="G222">
        <v>18</v>
      </c>
      <c r="H222">
        <v>26.8</v>
      </c>
      <c r="I222">
        <v>2</v>
      </c>
      <c r="J222" t="s">
        <v>67</v>
      </c>
      <c r="K222" s="13">
        <v>56.366833333333297</v>
      </c>
      <c r="L222" s="13">
        <v>18.446666666666701</v>
      </c>
      <c r="M222" t="s">
        <v>76</v>
      </c>
      <c r="N222" t="s">
        <v>16</v>
      </c>
    </row>
    <row r="223" spans="2:14" x14ac:dyDescent="0.25">
      <c r="B223">
        <v>26257</v>
      </c>
      <c r="C223" t="s">
        <v>103</v>
      </c>
      <c r="D223">
        <v>26</v>
      </c>
      <c r="E223">
        <v>54</v>
      </c>
      <c r="F223">
        <v>55.5</v>
      </c>
      <c r="G223">
        <v>19</v>
      </c>
      <c r="H223">
        <v>3</v>
      </c>
      <c r="I223">
        <v>6</v>
      </c>
      <c r="J223" t="s">
        <v>70</v>
      </c>
      <c r="K223" s="13">
        <v>54.924999999999997</v>
      </c>
      <c r="L223" s="13">
        <v>19.05</v>
      </c>
      <c r="M223" t="s">
        <v>76</v>
      </c>
      <c r="N223" t="s">
        <v>16</v>
      </c>
    </row>
    <row r="224" spans="2:14" x14ac:dyDescent="0.25">
      <c r="B224">
        <v>26258</v>
      </c>
      <c r="C224" t="s">
        <v>90</v>
      </c>
      <c r="D224">
        <v>26</v>
      </c>
      <c r="E224">
        <v>54</v>
      </c>
      <c r="F224">
        <v>26.9</v>
      </c>
      <c r="G224">
        <v>19</v>
      </c>
      <c r="H224">
        <v>18</v>
      </c>
      <c r="I224">
        <v>4</v>
      </c>
      <c r="J224" t="s">
        <v>70</v>
      </c>
      <c r="K224" s="13">
        <v>54.448333333333302</v>
      </c>
      <c r="L224" s="13">
        <v>19.3</v>
      </c>
      <c r="M224" t="s">
        <v>76</v>
      </c>
      <c r="N224" t="s">
        <v>16</v>
      </c>
    </row>
    <row r="225" spans="2:14" x14ac:dyDescent="0.25">
      <c r="B225">
        <v>26259</v>
      </c>
      <c r="C225" t="s">
        <v>96</v>
      </c>
      <c r="D225">
        <v>26</v>
      </c>
      <c r="E225">
        <v>56</v>
      </c>
      <c r="F225">
        <v>22</v>
      </c>
      <c r="G225">
        <v>19</v>
      </c>
      <c r="H225">
        <v>52</v>
      </c>
      <c r="I225">
        <v>5</v>
      </c>
      <c r="J225" t="s">
        <v>97</v>
      </c>
      <c r="K225" s="13">
        <v>56.366666666666703</v>
      </c>
      <c r="L225" s="13">
        <v>19.866666666666699</v>
      </c>
      <c r="M225" t="s">
        <v>76</v>
      </c>
      <c r="N225" t="s">
        <v>16</v>
      </c>
    </row>
    <row r="226" spans="2:14" x14ac:dyDescent="0.25">
      <c r="B226">
        <v>26263</v>
      </c>
      <c r="C226" t="s">
        <v>102</v>
      </c>
      <c r="D226">
        <v>26</v>
      </c>
      <c r="E226">
        <v>54</v>
      </c>
      <c r="F226">
        <v>23.7</v>
      </c>
      <c r="G226">
        <v>18</v>
      </c>
      <c r="H226">
        <v>59.5</v>
      </c>
      <c r="I226">
        <v>2</v>
      </c>
      <c r="J226" t="s">
        <v>70</v>
      </c>
      <c r="K226" s="13">
        <v>54.395000000000003</v>
      </c>
      <c r="L226" s="13">
        <v>18.991666666666699</v>
      </c>
      <c r="M226" t="s">
        <v>76</v>
      </c>
      <c r="N226" t="s">
        <v>16</v>
      </c>
    </row>
    <row r="227" spans="2:14" x14ac:dyDescent="0.25">
      <c r="B227">
        <v>26264</v>
      </c>
      <c r="C227" t="s">
        <v>90</v>
      </c>
      <c r="D227">
        <v>26</v>
      </c>
      <c r="E227">
        <v>54</v>
      </c>
      <c r="F227">
        <v>25.2</v>
      </c>
      <c r="G227">
        <v>19</v>
      </c>
      <c r="H227">
        <v>2.1</v>
      </c>
      <c r="I227">
        <v>3</v>
      </c>
      <c r="J227" t="s">
        <v>70</v>
      </c>
      <c r="K227" s="13">
        <v>54.42</v>
      </c>
      <c r="L227" s="13">
        <v>19.035</v>
      </c>
      <c r="M227" t="s">
        <v>76</v>
      </c>
      <c r="N227" t="s">
        <v>16</v>
      </c>
    </row>
    <row r="228" spans="2:14" x14ac:dyDescent="0.25">
      <c r="B228">
        <v>26265</v>
      </c>
      <c r="C228" t="s">
        <v>90</v>
      </c>
      <c r="D228">
        <v>26</v>
      </c>
      <c r="E228">
        <v>54</v>
      </c>
      <c r="F228">
        <v>26</v>
      </c>
      <c r="G228">
        <v>19</v>
      </c>
      <c r="H228">
        <v>6</v>
      </c>
      <c r="I228">
        <v>3</v>
      </c>
      <c r="J228" t="s">
        <v>70</v>
      </c>
      <c r="K228" s="13">
        <v>54.433333333333302</v>
      </c>
      <c r="L228" s="13">
        <v>19.100000000000001</v>
      </c>
      <c r="M228" t="s">
        <v>76</v>
      </c>
      <c r="N228" t="s">
        <v>16</v>
      </c>
    </row>
    <row r="229" spans="2:14" x14ac:dyDescent="0.25">
      <c r="B229">
        <v>26266</v>
      </c>
      <c r="C229" t="s">
        <v>91</v>
      </c>
      <c r="D229">
        <v>26</v>
      </c>
      <c r="E229">
        <v>54</v>
      </c>
      <c r="F229">
        <v>48.2</v>
      </c>
      <c r="G229">
        <v>18</v>
      </c>
      <c r="H229">
        <v>32.9</v>
      </c>
      <c r="I229">
        <v>2</v>
      </c>
      <c r="J229" t="s">
        <v>70</v>
      </c>
      <c r="K229" s="13">
        <v>54.803333333333299</v>
      </c>
      <c r="L229" s="13">
        <v>18.5483333333333</v>
      </c>
      <c r="M229" t="s">
        <v>76</v>
      </c>
      <c r="N229" t="s">
        <v>16</v>
      </c>
    </row>
    <row r="230" spans="2:14" x14ac:dyDescent="0.25">
      <c r="B230">
        <v>26267</v>
      </c>
      <c r="C230" t="s">
        <v>91</v>
      </c>
      <c r="D230">
        <v>26</v>
      </c>
      <c r="E230">
        <v>54</v>
      </c>
      <c r="F230">
        <v>54.6</v>
      </c>
      <c r="G230">
        <v>18</v>
      </c>
      <c r="H230">
        <v>36.1</v>
      </c>
      <c r="I230">
        <v>3</v>
      </c>
      <c r="J230" t="s">
        <v>70</v>
      </c>
      <c r="K230" s="13">
        <v>54.91</v>
      </c>
      <c r="L230" s="13">
        <v>18.601666666666699</v>
      </c>
      <c r="M230" t="s">
        <v>76</v>
      </c>
      <c r="N230" t="s">
        <v>16</v>
      </c>
    </row>
    <row r="231" spans="2:14" x14ac:dyDescent="0.25">
      <c r="B231">
        <v>26268</v>
      </c>
      <c r="C231" t="s">
        <v>91</v>
      </c>
      <c r="D231">
        <v>26</v>
      </c>
      <c r="E231">
        <v>54</v>
      </c>
      <c r="F231">
        <v>59.3</v>
      </c>
      <c r="G231">
        <v>18</v>
      </c>
      <c r="H231">
        <v>31.7</v>
      </c>
      <c r="I231">
        <v>4</v>
      </c>
      <c r="J231" t="s">
        <v>70</v>
      </c>
      <c r="K231" s="13">
        <v>54.988333333333301</v>
      </c>
      <c r="L231" s="13">
        <v>18.5283333333333</v>
      </c>
      <c r="M231" t="s">
        <v>76</v>
      </c>
      <c r="N231" t="s">
        <v>16</v>
      </c>
    </row>
    <row r="232" spans="2:14" x14ac:dyDescent="0.25">
      <c r="B232">
        <v>26269</v>
      </c>
      <c r="C232" t="s">
        <v>103</v>
      </c>
      <c r="D232">
        <v>26</v>
      </c>
      <c r="E232">
        <v>54</v>
      </c>
      <c r="F232">
        <v>36.700000000000003</v>
      </c>
      <c r="G232">
        <v>19</v>
      </c>
      <c r="H232">
        <v>9.1999999999999993</v>
      </c>
      <c r="I232">
        <v>5</v>
      </c>
      <c r="J232" t="s">
        <v>70</v>
      </c>
      <c r="K232" s="13">
        <v>54.6116666666667</v>
      </c>
      <c r="L232" s="13">
        <v>19.1533333333333</v>
      </c>
      <c r="M232" t="s">
        <v>76</v>
      </c>
      <c r="N232" t="s">
        <v>16</v>
      </c>
    </row>
    <row r="233" spans="2:14" x14ac:dyDescent="0.25">
      <c r="B233">
        <v>26273</v>
      </c>
      <c r="C233" t="s">
        <v>89</v>
      </c>
      <c r="D233">
        <v>26</v>
      </c>
      <c r="E233">
        <v>55</v>
      </c>
      <c r="F233">
        <v>7.9</v>
      </c>
      <c r="G233">
        <v>18</v>
      </c>
      <c r="H233">
        <v>43.4</v>
      </c>
      <c r="I233">
        <v>5</v>
      </c>
      <c r="J233" t="s">
        <v>70</v>
      </c>
      <c r="K233" s="13">
        <v>55.131666666666703</v>
      </c>
      <c r="L233" s="13">
        <v>18.723333333333301</v>
      </c>
      <c r="M233" t="s">
        <v>76</v>
      </c>
      <c r="N233" t="s">
        <v>16</v>
      </c>
    </row>
    <row r="234" spans="2:14" x14ac:dyDescent="0.25">
      <c r="B234">
        <v>26274</v>
      </c>
      <c r="C234" t="s">
        <v>91</v>
      </c>
      <c r="D234">
        <v>26</v>
      </c>
      <c r="E234">
        <v>54</v>
      </c>
      <c r="F234">
        <v>53.8</v>
      </c>
      <c r="G234">
        <v>18</v>
      </c>
      <c r="H234">
        <v>10.199999999999999</v>
      </c>
      <c r="I234">
        <v>2</v>
      </c>
      <c r="J234" t="s">
        <v>70</v>
      </c>
      <c r="K234" s="13">
        <v>54.896666666666697</v>
      </c>
      <c r="L234" s="13">
        <v>18.170000000000002</v>
      </c>
      <c r="M234" t="s">
        <v>76</v>
      </c>
      <c r="N234" t="s">
        <v>16</v>
      </c>
    </row>
    <row r="235" spans="2:14" x14ac:dyDescent="0.25">
      <c r="B235">
        <v>26278</v>
      </c>
      <c r="C235" t="s">
        <v>91</v>
      </c>
      <c r="D235">
        <v>26</v>
      </c>
      <c r="E235">
        <v>54</v>
      </c>
      <c r="F235">
        <v>59</v>
      </c>
      <c r="G235">
        <v>18</v>
      </c>
      <c r="H235">
        <v>46.2</v>
      </c>
      <c r="I235">
        <v>5</v>
      </c>
      <c r="J235" t="s">
        <v>70</v>
      </c>
      <c r="K235" s="13">
        <v>54.983333333333299</v>
      </c>
      <c r="L235" s="13">
        <v>18.77</v>
      </c>
      <c r="M235" t="s">
        <v>76</v>
      </c>
      <c r="N235" t="s">
        <v>16</v>
      </c>
    </row>
    <row r="236" spans="2:14" x14ac:dyDescent="0.25">
      <c r="B236">
        <v>26279</v>
      </c>
      <c r="C236" t="s">
        <v>91</v>
      </c>
      <c r="D236">
        <v>26</v>
      </c>
      <c r="E236">
        <v>54</v>
      </c>
      <c r="F236">
        <v>32.799999999999997</v>
      </c>
      <c r="G236">
        <v>18</v>
      </c>
      <c r="H236">
        <v>56.6</v>
      </c>
      <c r="I236">
        <v>4</v>
      </c>
      <c r="J236" t="s">
        <v>70</v>
      </c>
      <c r="K236" s="13">
        <v>54.546666666666702</v>
      </c>
      <c r="L236" s="13">
        <v>18.9433333333333</v>
      </c>
      <c r="M236" t="s">
        <v>76</v>
      </c>
      <c r="N236" t="s">
        <v>16</v>
      </c>
    </row>
    <row r="237" spans="2:14" x14ac:dyDescent="0.25">
      <c r="B237">
        <v>26280</v>
      </c>
      <c r="C237" t="s">
        <v>91</v>
      </c>
      <c r="D237">
        <v>26</v>
      </c>
      <c r="E237">
        <v>54</v>
      </c>
      <c r="F237">
        <v>29.6</v>
      </c>
      <c r="G237">
        <v>18</v>
      </c>
      <c r="H237">
        <v>53.4</v>
      </c>
      <c r="I237">
        <v>4</v>
      </c>
      <c r="J237" t="s">
        <v>70</v>
      </c>
      <c r="K237" s="13">
        <v>54.493333333333297</v>
      </c>
      <c r="L237" s="13">
        <v>18.89</v>
      </c>
      <c r="M237" t="s">
        <v>76</v>
      </c>
      <c r="N237" t="s">
        <v>16</v>
      </c>
    </row>
    <row r="238" spans="2:14" x14ac:dyDescent="0.25">
      <c r="B238">
        <v>26281</v>
      </c>
      <c r="C238" t="s">
        <v>90</v>
      </c>
      <c r="D238">
        <v>26</v>
      </c>
      <c r="E238">
        <v>54</v>
      </c>
      <c r="F238">
        <v>26.3</v>
      </c>
      <c r="G238">
        <v>19</v>
      </c>
      <c r="H238">
        <v>4</v>
      </c>
      <c r="I238">
        <v>3</v>
      </c>
      <c r="J238" t="s">
        <v>70</v>
      </c>
      <c r="K238" s="13">
        <v>54.438333333333297</v>
      </c>
      <c r="L238" s="13">
        <v>19.066666666666698</v>
      </c>
      <c r="M238" t="s">
        <v>76</v>
      </c>
      <c r="N238" t="s">
        <v>16</v>
      </c>
    </row>
    <row r="239" spans="2:14" x14ac:dyDescent="0.25">
      <c r="B239">
        <v>26282</v>
      </c>
      <c r="C239" t="s">
        <v>90</v>
      </c>
      <c r="D239">
        <v>26</v>
      </c>
      <c r="E239">
        <v>54</v>
      </c>
      <c r="F239">
        <v>25.3</v>
      </c>
      <c r="G239">
        <v>19</v>
      </c>
      <c r="H239">
        <v>3.9</v>
      </c>
      <c r="I239">
        <v>3</v>
      </c>
      <c r="J239" t="s">
        <v>70</v>
      </c>
      <c r="K239" s="13">
        <v>54.421666666666702</v>
      </c>
      <c r="L239" s="13">
        <v>19.065000000000001</v>
      </c>
      <c r="M239" t="s">
        <v>76</v>
      </c>
      <c r="N239" t="s">
        <v>16</v>
      </c>
    </row>
    <row r="240" spans="2:14" x14ac:dyDescent="0.25">
      <c r="B240">
        <v>26289</v>
      </c>
      <c r="C240" t="s">
        <v>90</v>
      </c>
      <c r="D240">
        <v>26</v>
      </c>
      <c r="E240">
        <v>54</v>
      </c>
      <c r="F240">
        <v>26.1</v>
      </c>
      <c r="G240">
        <v>19</v>
      </c>
      <c r="H240">
        <v>6.4</v>
      </c>
      <c r="I240">
        <v>3</v>
      </c>
      <c r="J240" t="s">
        <v>70</v>
      </c>
      <c r="K240" s="13">
        <v>54.435000000000002</v>
      </c>
      <c r="L240" s="13">
        <v>19.106666666666701</v>
      </c>
      <c r="M240" t="s">
        <v>76</v>
      </c>
      <c r="N240" t="s">
        <v>16</v>
      </c>
    </row>
    <row r="241" spans="2:14" x14ac:dyDescent="0.25">
      <c r="B241">
        <v>27003</v>
      </c>
      <c r="C241" t="s">
        <v>104</v>
      </c>
      <c r="D241">
        <v>27</v>
      </c>
      <c r="E241">
        <v>57</v>
      </c>
      <c r="F241">
        <v>24.8</v>
      </c>
      <c r="G241">
        <v>17</v>
      </c>
      <c r="H241">
        <v>1.5</v>
      </c>
      <c r="I241">
        <v>3</v>
      </c>
      <c r="J241" t="s">
        <v>67</v>
      </c>
      <c r="K241" s="13">
        <v>57.413333333333298</v>
      </c>
      <c r="L241" s="13">
        <v>17.024999999999999</v>
      </c>
      <c r="M241" t="s">
        <v>76</v>
      </c>
      <c r="N241" t="s">
        <v>17</v>
      </c>
    </row>
    <row r="242" spans="2:14" x14ac:dyDescent="0.25">
      <c r="B242">
        <v>27005</v>
      </c>
      <c r="C242" t="s">
        <v>133</v>
      </c>
      <c r="D242">
        <v>27</v>
      </c>
      <c r="E242">
        <v>56</v>
      </c>
      <c r="F242">
        <v>57.6</v>
      </c>
      <c r="G242">
        <v>17</v>
      </c>
      <c r="H242">
        <v>10.8</v>
      </c>
      <c r="I242">
        <v>5</v>
      </c>
      <c r="J242" t="s">
        <v>67</v>
      </c>
      <c r="K242" s="13">
        <v>56.96</v>
      </c>
      <c r="L242" s="13">
        <v>17.18</v>
      </c>
      <c r="M242" t="s">
        <v>76</v>
      </c>
      <c r="N242" t="s">
        <v>17</v>
      </c>
    </row>
    <row r="243" spans="2:14" x14ac:dyDescent="0.25">
      <c r="B243">
        <v>27007</v>
      </c>
      <c r="C243" t="s">
        <v>104</v>
      </c>
      <c r="D243">
        <v>27</v>
      </c>
      <c r="E243">
        <v>56</v>
      </c>
      <c r="F243">
        <v>59.35</v>
      </c>
      <c r="G243">
        <v>17</v>
      </c>
      <c r="H243">
        <v>56.63</v>
      </c>
      <c r="I243">
        <v>4</v>
      </c>
      <c r="J243" t="s">
        <v>67</v>
      </c>
      <c r="K243" s="13">
        <v>56.989166666666698</v>
      </c>
      <c r="L243" s="13">
        <v>17.943833333333298</v>
      </c>
      <c r="M243" t="s">
        <v>76</v>
      </c>
      <c r="N243" t="s">
        <v>17</v>
      </c>
    </row>
    <row r="244" spans="2:14" x14ac:dyDescent="0.25">
      <c r="B244">
        <v>27009</v>
      </c>
      <c r="C244" t="s">
        <v>104</v>
      </c>
      <c r="D244">
        <v>27</v>
      </c>
      <c r="E244">
        <v>57</v>
      </c>
      <c r="F244">
        <v>4</v>
      </c>
      <c r="G244">
        <v>17</v>
      </c>
      <c r="H244">
        <v>54</v>
      </c>
      <c r="I244">
        <v>4</v>
      </c>
      <c r="J244" t="s">
        <v>67</v>
      </c>
      <c r="K244" s="13">
        <v>57.066666666666698</v>
      </c>
      <c r="L244" s="13">
        <v>17.899999999999999</v>
      </c>
      <c r="M244" t="s">
        <v>76</v>
      </c>
      <c r="N244" t="s">
        <v>17</v>
      </c>
    </row>
    <row r="245" spans="2:14" x14ac:dyDescent="0.25">
      <c r="B245">
        <v>27011</v>
      </c>
      <c r="C245" t="s">
        <v>104</v>
      </c>
      <c r="D245">
        <v>27</v>
      </c>
      <c r="E245">
        <v>57</v>
      </c>
      <c r="F245">
        <v>27.5</v>
      </c>
      <c r="G245">
        <v>17</v>
      </c>
      <c r="H245">
        <v>32.799999999999997</v>
      </c>
      <c r="I245">
        <v>5</v>
      </c>
      <c r="J245" t="s">
        <v>67</v>
      </c>
      <c r="K245" s="13">
        <v>57.4583333333333</v>
      </c>
      <c r="L245" s="13">
        <v>17.546666666666699</v>
      </c>
      <c r="M245" t="s">
        <v>76</v>
      </c>
      <c r="N245" t="s">
        <v>17</v>
      </c>
    </row>
    <row r="246" spans="2:14" x14ac:dyDescent="0.25">
      <c r="B246">
        <v>27017</v>
      </c>
      <c r="C246" t="s">
        <v>104</v>
      </c>
      <c r="D246">
        <v>27</v>
      </c>
      <c r="E246">
        <v>57</v>
      </c>
      <c r="F246">
        <v>30</v>
      </c>
      <c r="G246">
        <v>17</v>
      </c>
      <c r="H246">
        <v>43</v>
      </c>
      <c r="I246">
        <v>5</v>
      </c>
      <c r="J246" t="s">
        <v>67</v>
      </c>
      <c r="K246" s="13">
        <v>57.5</v>
      </c>
      <c r="L246" s="13">
        <v>17.716666666666701</v>
      </c>
      <c r="M246" t="s">
        <v>76</v>
      </c>
      <c r="N246" t="s">
        <v>17</v>
      </c>
    </row>
    <row r="247" spans="2:14" x14ac:dyDescent="0.25">
      <c r="B247">
        <v>27019</v>
      </c>
      <c r="C247" t="s">
        <v>105</v>
      </c>
      <c r="D247">
        <v>27</v>
      </c>
      <c r="E247">
        <v>57</v>
      </c>
      <c r="F247">
        <v>42.8</v>
      </c>
      <c r="G247">
        <v>18</v>
      </c>
      <c r="H247">
        <v>16.2</v>
      </c>
      <c r="I247">
        <v>5</v>
      </c>
      <c r="J247" t="s">
        <v>67</v>
      </c>
      <c r="K247" s="13">
        <v>57.713333333333303</v>
      </c>
      <c r="L247" s="13">
        <v>18.27</v>
      </c>
      <c r="M247" t="s">
        <v>76</v>
      </c>
      <c r="N247" t="s">
        <v>17</v>
      </c>
    </row>
    <row r="248" spans="2:14" x14ac:dyDescent="0.25">
      <c r="B248">
        <v>27020</v>
      </c>
      <c r="C248" t="s">
        <v>134</v>
      </c>
      <c r="D248">
        <v>27</v>
      </c>
      <c r="E248">
        <v>57</v>
      </c>
      <c r="F248">
        <v>21.9</v>
      </c>
      <c r="G248">
        <v>16</v>
      </c>
      <c r="H248">
        <v>55.1</v>
      </c>
      <c r="I248">
        <v>3</v>
      </c>
      <c r="J248" t="s">
        <v>67</v>
      </c>
      <c r="K248" s="13">
        <v>57.365000000000002</v>
      </c>
      <c r="L248" s="13">
        <v>16.918333333333301</v>
      </c>
      <c r="M248" t="s">
        <v>76</v>
      </c>
      <c r="N248" t="s">
        <v>17</v>
      </c>
    </row>
    <row r="249" spans="2:14" x14ac:dyDescent="0.25">
      <c r="B249">
        <v>27022</v>
      </c>
      <c r="C249" t="s">
        <v>106</v>
      </c>
      <c r="D249">
        <v>27</v>
      </c>
      <c r="E249">
        <v>56</v>
      </c>
      <c r="F249">
        <v>42.2</v>
      </c>
      <c r="G249">
        <v>16</v>
      </c>
      <c r="H249">
        <v>59.1</v>
      </c>
      <c r="I249">
        <v>4</v>
      </c>
      <c r="J249" t="s">
        <v>67</v>
      </c>
      <c r="K249" s="13">
        <v>56.703333333333298</v>
      </c>
      <c r="L249" s="13">
        <v>16.984999999999999</v>
      </c>
      <c r="M249" t="s">
        <v>76</v>
      </c>
      <c r="N249" t="s">
        <v>17</v>
      </c>
    </row>
    <row r="250" spans="2:14" x14ac:dyDescent="0.25">
      <c r="B250">
        <v>27029</v>
      </c>
      <c r="C250" t="s">
        <v>104</v>
      </c>
      <c r="D250">
        <v>27</v>
      </c>
      <c r="E250">
        <v>57</v>
      </c>
      <c r="F250">
        <v>18.13</v>
      </c>
      <c r="G250">
        <v>17</v>
      </c>
      <c r="H250">
        <v>24.98</v>
      </c>
      <c r="I250">
        <v>4</v>
      </c>
      <c r="J250" t="s">
        <v>67</v>
      </c>
      <c r="K250" s="13">
        <v>57.3021666666667</v>
      </c>
      <c r="L250" s="13">
        <v>17.416333333333299</v>
      </c>
      <c r="M250" t="s">
        <v>76</v>
      </c>
      <c r="N250" t="s">
        <v>17</v>
      </c>
    </row>
    <row r="251" spans="2:14" x14ac:dyDescent="0.25">
      <c r="B251">
        <v>28002</v>
      </c>
      <c r="C251" t="s">
        <v>109</v>
      </c>
      <c r="D251">
        <v>28</v>
      </c>
      <c r="E251">
        <v>56</v>
      </c>
      <c r="F251">
        <v>36.5</v>
      </c>
      <c r="G251">
        <v>20</v>
      </c>
      <c r="H251">
        <v>41.3</v>
      </c>
      <c r="I251">
        <v>3</v>
      </c>
      <c r="J251" t="s">
        <v>97</v>
      </c>
      <c r="K251" s="13">
        <v>56.608333333333299</v>
      </c>
      <c r="L251" s="13">
        <v>20.688333333333301</v>
      </c>
      <c r="M251" t="s">
        <v>76</v>
      </c>
      <c r="N251" t="s">
        <v>18</v>
      </c>
    </row>
    <row r="252" spans="2:14" x14ac:dyDescent="0.25">
      <c r="B252">
        <v>28009</v>
      </c>
      <c r="C252" t="s">
        <v>108</v>
      </c>
      <c r="D252">
        <v>28</v>
      </c>
      <c r="E252">
        <v>57</v>
      </c>
      <c r="F252">
        <v>24.2</v>
      </c>
      <c r="G252">
        <v>21</v>
      </c>
      <c r="H252">
        <v>20.7</v>
      </c>
      <c r="I252">
        <v>2</v>
      </c>
      <c r="J252" t="s">
        <v>97</v>
      </c>
      <c r="K252" s="13">
        <v>57.4033333333333</v>
      </c>
      <c r="L252" s="13">
        <v>21.344999999999999</v>
      </c>
      <c r="M252" t="s">
        <v>76</v>
      </c>
      <c r="N252" t="s">
        <v>18</v>
      </c>
    </row>
    <row r="253" spans="2:14" x14ac:dyDescent="0.25">
      <c r="B253">
        <v>28016</v>
      </c>
      <c r="C253" t="s">
        <v>111</v>
      </c>
      <c r="D253">
        <v>28</v>
      </c>
      <c r="E253">
        <v>57</v>
      </c>
      <c r="F253">
        <v>10</v>
      </c>
      <c r="G253">
        <v>18</v>
      </c>
      <c r="H253">
        <v>51</v>
      </c>
      <c r="I253">
        <v>3</v>
      </c>
      <c r="J253" t="s">
        <v>67</v>
      </c>
      <c r="K253" s="13">
        <v>57.1666666666667</v>
      </c>
      <c r="L253" s="13">
        <v>18.850000000000001</v>
      </c>
      <c r="M253" t="s">
        <v>76</v>
      </c>
      <c r="N253" t="s">
        <v>17</v>
      </c>
    </row>
    <row r="254" spans="2:14" x14ac:dyDescent="0.25">
      <c r="B254">
        <v>28017</v>
      </c>
      <c r="C254" t="s">
        <v>107</v>
      </c>
      <c r="D254">
        <v>28</v>
      </c>
      <c r="E254">
        <v>57</v>
      </c>
      <c r="F254">
        <v>13.5</v>
      </c>
      <c r="G254">
        <v>20</v>
      </c>
      <c r="H254">
        <v>44.8</v>
      </c>
      <c r="I254">
        <v>3</v>
      </c>
      <c r="J254" t="s">
        <v>97</v>
      </c>
      <c r="K254" s="13">
        <v>57.225000000000001</v>
      </c>
      <c r="L254" s="13">
        <v>20.746666666666702</v>
      </c>
      <c r="M254" t="s">
        <v>76</v>
      </c>
      <c r="N254" t="s">
        <v>18</v>
      </c>
    </row>
    <row r="255" spans="2:14" x14ac:dyDescent="0.25">
      <c r="B255">
        <v>28023</v>
      </c>
      <c r="C255" t="s">
        <v>108</v>
      </c>
      <c r="D255">
        <v>28</v>
      </c>
      <c r="E255">
        <v>57</v>
      </c>
      <c r="F255">
        <v>25.7</v>
      </c>
      <c r="G255">
        <v>21</v>
      </c>
      <c r="H255">
        <v>16.600000000000001</v>
      </c>
      <c r="I255">
        <v>4</v>
      </c>
      <c r="J255" t="s">
        <v>97</v>
      </c>
      <c r="K255" s="13">
        <v>57.428333333333299</v>
      </c>
      <c r="L255" s="13">
        <v>21.276666666666699</v>
      </c>
      <c r="M255" t="s">
        <v>76</v>
      </c>
      <c r="N255" t="s">
        <v>18</v>
      </c>
    </row>
    <row r="256" spans="2:14" x14ac:dyDescent="0.25">
      <c r="B256">
        <v>28039</v>
      </c>
      <c r="C256" t="s">
        <v>107</v>
      </c>
      <c r="D256">
        <v>28</v>
      </c>
      <c r="E256">
        <v>57</v>
      </c>
      <c r="F256">
        <v>1.9</v>
      </c>
      <c r="G256">
        <v>20</v>
      </c>
      <c r="H256">
        <v>32.200000000000003</v>
      </c>
      <c r="I256">
        <v>5</v>
      </c>
      <c r="J256" t="s">
        <v>97</v>
      </c>
      <c r="K256" s="13">
        <v>57.031666666666702</v>
      </c>
      <c r="L256" s="13">
        <v>20.536666666666701</v>
      </c>
      <c r="M256" t="s">
        <v>76</v>
      </c>
      <c r="N256" t="s">
        <v>18</v>
      </c>
    </row>
    <row r="257" spans="2:14" x14ac:dyDescent="0.25">
      <c r="B257">
        <v>28049</v>
      </c>
      <c r="C257" t="s">
        <v>108</v>
      </c>
      <c r="D257">
        <v>28</v>
      </c>
      <c r="E257">
        <v>57</v>
      </c>
      <c r="F257">
        <v>13.5</v>
      </c>
      <c r="G257">
        <v>21</v>
      </c>
      <c r="H257">
        <v>2.2000000000000002</v>
      </c>
      <c r="I257">
        <v>3</v>
      </c>
      <c r="J257" t="s">
        <v>97</v>
      </c>
      <c r="K257" s="13">
        <v>57.225000000000001</v>
      </c>
      <c r="L257" s="13">
        <v>21.036666666666701</v>
      </c>
      <c r="M257" t="s">
        <v>76</v>
      </c>
      <c r="N257" t="s">
        <v>18</v>
      </c>
    </row>
    <row r="258" spans="2:14" x14ac:dyDescent="0.25">
      <c r="B258">
        <v>28051</v>
      </c>
      <c r="C258" t="s">
        <v>111</v>
      </c>
      <c r="D258">
        <v>28</v>
      </c>
      <c r="E258">
        <v>57</v>
      </c>
      <c r="F258">
        <v>21.2</v>
      </c>
      <c r="G258">
        <v>19</v>
      </c>
      <c r="H258">
        <v>9.1999999999999993</v>
      </c>
      <c r="I258">
        <v>4</v>
      </c>
      <c r="J258" t="s">
        <v>67</v>
      </c>
      <c r="K258" s="13">
        <v>57.353333333333303</v>
      </c>
      <c r="L258" s="13">
        <v>19.1533333333333</v>
      </c>
      <c r="M258" t="s">
        <v>76</v>
      </c>
      <c r="N258" t="s">
        <v>17</v>
      </c>
    </row>
    <row r="259" spans="2:14" x14ac:dyDescent="0.25">
      <c r="B259">
        <v>28053</v>
      </c>
      <c r="C259" t="s">
        <v>110</v>
      </c>
      <c r="D259">
        <v>28</v>
      </c>
      <c r="E259">
        <v>57</v>
      </c>
      <c r="F259">
        <v>32.1</v>
      </c>
      <c r="G259">
        <v>19</v>
      </c>
      <c r="H259">
        <v>17.5</v>
      </c>
      <c r="I259">
        <v>4</v>
      </c>
      <c r="J259" t="s">
        <v>67</v>
      </c>
      <c r="K259" s="13">
        <v>57.534999999999997</v>
      </c>
      <c r="L259" s="13">
        <v>19.2916666666667</v>
      </c>
      <c r="M259" t="s">
        <v>76</v>
      </c>
      <c r="N259" t="s">
        <v>17</v>
      </c>
    </row>
    <row r="260" spans="2:14" x14ac:dyDescent="0.25">
      <c r="B260">
        <v>28063</v>
      </c>
      <c r="C260" t="s">
        <v>109</v>
      </c>
      <c r="D260">
        <v>28</v>
      </c>
      <c r="E260">
        <v>56</v>
      </c>
      <c r="F260">
        <v>31.9</v>
      </c>
      <c r="G260">
        <v>20</v>
      </c>
      <c r="H260">
        <v>14.9</v>
      </c>
      <c r="I260">
        <v>5</v>
      </c>
      <c r="J260" t="s">
        <v>97</v>
      </c>
      <c r="K260" s="13">
        <v>56.531666666666702</v>
      </c>
      <c r="L260" s="13">
        <v>20.248333333333299</v>
      </c>
      <c r="M260" t="s">
        <v>76</v>
      </c>
      <c r="N260" t="s">
        <v>18</v>
      </c>
    </row>
    <row r="261" spans="2:14" x14ac:dyDescent="0.25">
      <c r="B261">
        <v>28067</v>
      </c>
      <c r="C261" t="s">
        <v>111</v>
      </c>
      <c r="D261">
        <v>28</v>
      </c>
      <c r="E261">
        <v>57</v>
      </c>
      <c r="F261">
        <v>6.5</v>
      </c>
      <c r="G261">
        <v>18</v>
      </c>
      <c r="H261">
        <v>57.1</v>
      </c>
      <c r="I261">
        <v>5</v>
      </c>
      <c r="J261" t="s">
        <v>67</v>
      </c>
      <c r="K261" s="13">
        <v>57.108333333333299</v>
      </c>
      <c r="L261" s="13">
        <v>18.9516666666667</v>
      </c>
      <c r="M261" t="s">
        <v>76</v>
      </c>
      <c r="N261" t="s">
        <v>17</v>
      </c>
    </row>
    <row r="262" spans="2:14" x14ac:dyDescent="0.25">
      <c r="B262">
        <v>28071</v>
      </c>
      <c r="C262" t="s">
        <v>111</v>
      </c>
      <c r="D262">
        <v>28</v>
      </c>
      <c r="E262">
        <v>57</v>
      </c>
      <c r="F262">
        <v>10</v>
      </c>
      <c r="G262">
        <v>19</v>
      </c>
      <c r="H262">
        <v>1.4</v>
      </c>
      <c r="I262">
        <v>5</v>
      </c>
      <c r="J262" t="s">
        <v>67</v>
      </c>
      <c r="K262" s="13">
        <v>57.1666666666667</v>
      </c>
      <c r="L262" s="13">
        <v>19.023333333333301</v>
      </c>
      <c r="M262" t="s">
        <v>76</v>
      </c>
      <c r="N262" t="s">
        <v>17</v>
      </c>
    </row>
    <row r="263" spans="2:14" x14ac:dyDescent="0.25">
      <c r="B263">
        <v>28074</v>
      </c>
      <c r="C263" t="s">
        <v>107</v>
      </c>
      <c r="D263">
        <v>28</v>
      </c>
      <c r="E263">
        <v>57</v>
      </c>
      <c r="F263">
        <v>10.5</v>
      </c>
      <c r="G263">
        <v>20</v>
      </c>
      <c r="H263">
        <v>35.200000000000003</v>
      </c>
      <c r="I263">
        <v>5</v>
      </c>
      <c r="J263" t="s">
        <v>97</v>
      </c>
      <c r="K263" s="13">
        <v>57.174999999999997</v>
      </c>
      <c r="L263" s="13">
        <v>20.586666666666702</v>
      </c>
      <c r="M263" t="s">
        <v>76</v>
      </c>
      <c r="N263" t="s">
        <v>18</v>
      </c>
    </row>
    <row r="264" spans="2:14" x14ac:dyDescent="0.25">
      <c r="B264">
        <v>28077</v>
      </c>
      <c r="C264" t="s">
        <v>135</v>
      </c>
      <c r="D264">
        <v>28</v>
      </c>
      <c r="E264">
        <v>58</v>
      </c>
      <c r="F264">
        <v>3</v>
      </c>
      <c r="G264">
        <v>21</v>
      </c>
      <c r="H264">
        <v>1</v>
      </c>
      <c r="I264">
        <v>4</v>
      </c>
      <c r="J264" t="s">
        <v>136</v>
      </c>
      <c r="K264" s="13">
        <v>58.05</v>
      </c>
      <c r="L264" s="13">
        <v>21.016666666666701</v>
      </c>
      <c r="M264" t="s">
        <v>76</v>
      </c>
      <c r="N264" t="s">
        <v>18</v>
      </c>
    </row>
    <row r="265" spans="2:14" x14ac:dyDescent="0.25">
      <c r="B265">
        <v>28078</v>
      </c>
      <c r="C265" t="s">
        <v>112</v>
      </c>
      <c r="D265">
        <v>28</v>
      </c>
      <c r="E265">
        <v>58</v>
      </c>
      <c r="F265">
        <v>3.4</v>
      </c>
      <c r="G265">
        <v>19</v>
      </c>
      <c r="H265">
        <v>27.9</v>
      </c>
      <c r="I265">
        <v>5</v>
      </c>
      <c r="J265" t="s">
        <v>67</v>
      </c>
      <c r="K265" s="13">
        <v>58.0566666666667</v>
      </c>
      <c r="L265" s="13">
        <v>19.465</v>
      </c>
      <c r="M265" t="s">
        <v>76</v>
      </c>
      <c r="N265" t="s">
        <v>17</v>
      </c>
    </row>
    <row r="266" spans="2:14" x14ac:dyDescent="0.25">
      <c r="B266">
        <v>28084</v>
      </c>
      <c r="C266" t="s">
        <v>109</v>
      </c>
      <c r="D266">
        <v>28</v>
      </c>
      <c r="E266">
        <v>56</v>
      </c>
      <c r="F266">
        <v>36</v>
      </c>
      <c r="G266">
        <v>20</v>
      </c>
      <c r="H266">
        <v>20.3</v>
      </c>
      <c r="I266">
        <v>5</v>
      </c>
      <c r="J266" t="s">
        <v>97</v>
      </c>
      <c r="K266" s="13">
        <v>56.6</v>
      </c>
      <c r="L266" s="13">
        <v>20.338333333333299</v>
      </c>
      <c r="M266" t="s">
        <v>76</v>
      </c>
      <c r="N266" t="s">
        <v>18</v>
      </c>
    </row>
    <row r="267" spans="2:14" x14ac:dyDescent="0.25">
      <c r="B267">
        <v>28085</v>
      </c>
      <c r="C267" t="s">
        <v>107</v>
      </c>
      <c r="D267">
        <v>28</v>
      </c>
      <c r="E267">
        <v>57</v>
      </c>
      <c r="F267">
        <v>18.3</v>
      </c>
      <c r="G267">
        <v>20</v>
      </c>
      <c r="H267">
        <v>17.5</v>
      </c>
      <c r="I267">
        <v>6</v>
      </c>
      <c r="J267" t="s">
        <v>97</v>
      </c>
      <c r="K267" s="13">
        <v>57.305</v>
      </c>
      <c r="L267" s="13">
        <v>20.2916666666667</v>
      </c>
      <c r="M267" t="s">
        <v>76</v>
      </c>
      <c r="N267" t="s">
        <v>18</v>
      </c>
    </row>
    <row r="268" spans="2:14" x14ac:dyDescent="0.25">
      <c r="B268">
        <v>28088</v>
      </c>
      <c r="C268" t="s">
        <v>107</v>
      </c>
      <c r="D268">
        <v>28</v>
      </c>
      <c r="E268">
        <v>57</v>
      </c>
      <c r="F268">
        <v>26.7</v>
      </c>
      <c r="G268">
        <v>20</v>
      </c>
      <c r="H268">
        <v>34.200000000000003</v>
      </c>
      <c r="I268">
        <v>6</v>
      </c>
      <c r="J268" t="s">
        <v>97</v>
      </c>
      <c r="K268" s="13">
        <v>57.445</v>
      </c>
      <c r="L268" s="13">
        <v>20.57</v>
      </c>
      <c r="M268" t="s">
        <v>76</v>
      </c>
      <c r="N268" t="s">
        <v>18</v>
      </c>
    </row>
    <row r="269" spans="2:14" x14ac:dyDescent="0.25">
      <c r="B269">
        <v>28090</v>
      </c>
      <c r="C269" t="s">
        <v>113</v>
      </c>
      <c r="D269">
        <v>28</v>
      </c>
      <c r="E269">
        <v>57</v>
      </c>
      <c r="F269">
        <v>45.9</v>
      </c>
      <c r="G269">
        <v>20</v>
      </c>
      <c r="H269">
        <v>42.4</v>
      </c>
      <c r="I269">
        <v>6</v>
      </c>
      <c r="J269" t="s">
        <v>97</v>
      </c>
      <c r="K269" s="13">
        <v>57.765000000000001</v>
      </c>
      <c r="L269" s="13">
        <v>20.706666666666699</v>
      </c>
      <c r="M269" t="s">
        <v>76</v>
      </c>
      <c r="N269" t="s">
        <v>18</v>
      </c>
    </row>
    <row r="270" spans="2:14" x14ac:dyDescent="0.25">
      <c r="B270">
        <v>28092</v>
      </c>
      <c r="C270" t="s">
        <v>107</v>
      </c>
      <c r="D270">
        <v>28</v>
      </c>
      <c r="E270">
        <v>57</v>
      </c>
      <c r="F270">
        <v>20.399999999999999</v>
      </c>
      <c r="G270">
        <v>20</v>
      </c>
      <c r="H270">
        <v>35.6</v>
      </c>
      <c r="I270">
        <v>5</v>
      </c>
      <c r="J270" t="s">
        <v>97</v>
      </c>
      <c r="K270" s="13">
        <v>57.34</v>
      </c>
      <c r="L270" s="13">
        <v>20.593333333333302</v>
      </c>
      <c r="M270" t="s">
        <v>76</v>
      </c>
      <c r="N270" t="s">
        <v>18</v>
      </c>
    </row>
    <row r="271" spans="2:14" x14ac:dyDescent="0.25">
      <c r="B271">
        <v>28093</v>
      </c>
      <c r="C271" t="s">
        <v>108</v>
      </c>
      <c r="D271">
        <v>28</v>
      </c>
      <c r="E271">
        <v>57</v>
      </c>
      <c r="F271">
        <v>29.3</v>
      </c>
      <c r="G271">
        <v>21</v>
      </c>
      <c r="H271">
        <v>26.2</v>
      </c>
      <c r="I271">
        <v>2</v>
      </c>
      <c r="J271" t="s">
        <v>97</v>
      </c>
      <c r="K271" s="13">
        <v>57.488333333333301</v>
      </c>
      <c r="L271" s="13">
        <v>21.436666666666699</v>
      </c>
      <c r="M271" t="s">
        <v>76</v>
      </c>
      <c r="N271" t="s">
        <v>18</v>
      </c>
    </row>
    <row r="272" spans="2:14" x14ac:dyDescent="0.25">
      <c r="B272">
        <v>28094</v>
      </c>
      <c r="C272" t="s">
        <v>109</v>
      </c>
      <c r="D272">
        <v>28</v>
      </c>
      <c r="E272">
        <v>56</v>
      </c>
      <c r="F272">
        <v>56.4</v>
      </c>
      <c r="G272">
        <v>20</v>
      </c>
      <c r="H272">
        <v>23</v>
      </c>
      <c r="I272">
        <v>5</v>
      </c>
      <c r="J272" t="s">
        <v>97</v>
      </c>
      <c r="K272" s="13">
        <v>56.94</v>
      </c>
      <c r="L272" s="13">
        <v>20.383333333333301</v>
      </c>
      <c r="M272" t="s">
        <v>76</v>
      </c>
      <c r="N272" t="s">
        <v>18</v>
      </c>
    </row>
    <row r="273" spans="2:14" x14ac:dyDescent="0.25">
      <c r="B273">
        <v>28096</v>
      </c>
      <c r="C273" t="s">
        <v>111</v>
      </c>
      <c r="D273">
        <v>28</v>
      </c>
      <c r="E273">
        <v>57</v>
      </c>
      <c r="F273">
        <v>9.6</v>
      </c>
      <c r="G273">
        <v>18</v>
      </c>
      <c r="H273">
        <v>48.5</v>
      </c>
      <c r="I273">
        <v>3</v>
      </c>
      <c r="J273" t="s">
        <v>67</v>
      </c>
      <c r="K273" s="13">
        <v>57.16</v>
      </c>
      <c r="L273" s="13">
        <v>18.808333333333302</v>
      </c>
      <c r="M273" t="s">
        <v>76</v>
      </c>
      <c r="N273" t="s">
        <v>17</v>
      </c>
    </row>
    <row r="274" spans="2:14" x14ac:dyDescent="0.25">
      <c r="B274">
        <v>28097</v>
      </c>
      <c r="C274" t="s">
        <v>110</v>
      </c>
      <c r="D274">
        <v>28</v>
      </c>
      <c r="E274">
        <v>57</v>
      </c>
      <c r="F274">
        <v>52.5</v>
      </c>
      <c r="G274">
        <v>19</v>
      </c>
      <c r="H274">
        <v>25.6</v>
      </c>
      <c r="I274">
        <v>3</v>
      </c>
      <c r="J274" t="s">
        <v>67</v>
      </c>
      <c r="K274" s="13">
        <v>57.875</v>
      </c>
      <c r="L274" s="13">
        <v>19.426666666666701</v>
      </c>
      <c r="M274" t="s">
        <v>76</v>
      </c>
      <c r="N274" t="s">
        <v>17</v>
      </c>
    </row>
    <row r="275" spans="2:14" x14ac:dyDescent="0.25">
      <c r="B275">
        <v>28098</v>
      </c>
      <c r="C275" t="s">
        <v>111</v>
      </c>
      <c r="D275">
        <v>28</v>
      </c>
      <c r="E275">
        <v>57</v>
      </c>
      <c r="F275">
        <v>20.2</v>
      </c>
      <c r="G275">
        <v>19</v>
      </c>
      <c r="H275">
        <v>8.1</v>
      </c>
      <c r="I275">
        <v>5</v>
      </c>
      <c r="J275" t="s">
        <v>67</v>
      </c>
      <c r="K275" s="13">
        <v>57.336666666666702</v>
      </c>
      <c r="L275" s="13">
        <v>19.135000000000002</v>
      </c>
      <c r="M275" t="s">
        <v>76</v>
      </c>
      <c r="N275" t="s">
        <v>17</v>
      </c>
    </row>
    <row r="276" spans="2:14" x14ac:dyDescent="0.25">
      <c r="B276">
        <v>28099</v>
      </c>
      <c r="C276" t="s">
        <v>110</v>
      </c>
      <c r="D276">
        <v>28</v>
      </c>
      <c r="E276">
        <v>57</v>
      </c>
      <c r="F276">
        <v>48.8</v>
      </c>
      <c r="G276">
        <v>19</v>
      </c>
      <c r="H276">
        <v>32</v>
      </c>
      <c r="I276">
        <v>5</v>
      </c>
      <c r="J276" t="s">
        <v>67</v>
      </c>
      <c r="K276" s="13">
        <v>57.813333333333297</v>
      </c>
      <c r="L276" s="13">
        <v>19.533333333333299</v>
      </c>
      <c r="M276" t="s">
        <v>76</v>
      </c>
      <c r="N276" t="s">
        <v>17</v>
      </c>
    </row>
    <row r="277" spans="2:14" x14ac:dyDescent="0.25">
      <c r="B277">
        <v>28112</v>
      </c>
      <c r="C277" t="s">
        <v>114</v>
      </c>
      <c r="D277">
        <v>28</v>
      </c>
      <c r="E277">
        <v>57</v>
      </c>
      <c r="F277">
        <v>53</v>
      </c>
      <c r="G277">
        <v>21</v>
      </c>
      <c r="H277">
        <v>18.5</v>
      </c>
      <c r="I277">
        <v>4</v>
      </c>
      <c r="J277" t="s">
        <v>136</v>
      </c>
      <c r="K277" s="13">
        <v>57.883333333333297</v>
      </c>
      <c r="L277" s="13">
        <v>21.308333333333302</v>
      </c>
      <c r="M277" t="s">
        <v>76</v>
      </c>
      <c r="N277" t="s">
        <v>18</v>
      </c>
    </row>
    <row r="278" spans="2:14" x14ac:dyDescent="0.25">
      <c r="B278">
        <v>28136</v>
      </c>
      <c r="C278" t="s">
        <v>108</v>
      </c>
      <c r="D278">
        <v>28</v>
      </c>
      <c r="E278">
        <v>57</v>
      </c>
      <c r="F278">
        <v>1.86</v>
      </c>
      <c r="G278">
        <v>21</v>
      </c>
      <c r="H278">
        <v>5.66</v>
      </c>
      <c r="I278">
        <v>2</v>
      </c>
      <c r="J278" t="s">
        <v>97</v>
      </c>
      <c r="K278" s="13">
        <v>57.030999999999999</v>
      </c>
      <c r="L278" s="13">
        <v>21.094333333333299</v>
      </c>
      <c r="M278" t="s">
        <v>76</v>
      </c>
      <c r="N278" t="s">
        <v>18</v>
      </c>
    </row>
    <row r="279" spans="2:14" x14ac:dyDescent="0.25">
      <c r="B279">
        <v>28138</v>
      </c>
      <c r="C279" t="s">
        <v>108</v>
      </c>
      <c r="D279">
        <v>28</v>
      </c>
      <c r="E279">
        <v>57</v>
      </c>
      <c r="F279">
        <v>4.05</v>
      </c>
      <c r="G279">
        <v>21</v>
      </c>
      <c r="H279">
        <v>7.77</v>
      </c>
      <c r="I279">
        <v>2</v>
      </c>
      <c r="J279" t="s">
        <v>97</v>
      </c>
      <c r="K279" s="13">
        <v>57.067500000000003</v>
      </c>
      <c r="L279" s="13">
        <v>21.1295</v>
      </c>
      <c r="M279" t="s">
        <v>76</v>
      </c>
      <c r="N279" t="s">
        <v>18</v>
      </c>
    </row>
    <row r="280" spans="2:14" x14ac:dyDescent="0.25">
      <c r="B280">
        <v>28157</v>
      </c>
      <c r="C280" t="s">
        <v>109</v>
      </c>
      <c r="D280">
        <v>28</v>
      </c>
      <c r="E280">
        <v>56</v>
      </c>
      <c r="F280">
        <v>39.380000000000003</v>
      </c>
      <c r="G280">
        <v>20</v>
      </c>
      <c r="H280">
        <v>45.92</v>
      </c>
      <c r="I280">
        <v>2</v>
      </c>
      <c r="J280" t="s">
        <v>97</v>
      </c>
      <c r="K280" s="13">
        <v>56.656333333333301</v>
      </c>
      <c r="L280" s="13">
        <v>20.765333333333299</v>
      </c>
      <c r="M280" t="s">
        <v>76</v>
      </c>
      <c r="N280" t="s">
        <v>18</v>
      </c>
    </row>
    <row r="281" spans="2:14" x14ac:dyDescent="0.25">
      <c r="B281">
        <v>28161</v>
      </c>
      <c r="C281" t="s">
        <v>109</v>
      </c>
      <c r="D281">
        <v>28</v>
      </c>
      <c r="E281">
        <v>56</v>
      </c>
      <c r="F281">
        <v>38.1</v>
      </c>
      <c r="G281">
        <v>20</v>
      </c>
      <c r="H281">
        <v>43.9</v>
      </c>
      <c r="I281">
        <v>2</v>
      </c>
      <c r="J281" t="s">
        <v>97</v>
      </c>
      <c r="K281" s="13">
        <v>56.634999999999998</v>
      </c>
      <c r="L281" s="13">
        <v>20.731666666666701</v>
      </c>
      <c r="M281" t="s">
        <v>76</v>
      </c>
      <c r="N281" t="s">
        <v>18</v>
      </c>
    </row>
    <row r="282" spans="2:14" x14ac:dyDescent="0.25">
      <c r="B282">
        <v>28190</v>
      </c>
      <c r="C282" t="s">
        <v>113</v>
      </c>
      <c r="D282">
        <v>28</v>
      </c>
      <c r="E282">
        <v>57</v>
      </c>
      <c r="F282">
        <v>58.9</v>
      </c>
      <c r="G282">
        <v>20</v>
      </c>
      <c r="H282">
        <v>58.43</v>
      </c>
      <c r="I282">
        <v>5</v>
      </c>
      <c r="J282" t="s">
        <v>136</v>
      </c>
      <c r="K282" s="13">
        <v>57.981666666666698</v>
      </c>
      <c r="L282" s="13">
        <v>20.9738333333333</v>
      </c>
      <c r="M282" t="s">
        <v>76</v>
      </c>
      <c r="N282" t="s">
        <v>18</v>
      </c>
    </row>
    <row r="283" spans="2:14" x14ac:dyDescent="0.25">
      <c r="B283">
        <v>24008</v>
      </c>
      <c r="C283" t="s">
        <v>68</v>
      </c>
      <c r="D283">
        <v>24</v>
      </c>
      <c r="E283">
        <v>54</v>
      </c>
      <c r="F283">
        <v>30.01</v>
      </c>
      <c r="G283">
        <v>13</v>
      </c>
      <c r="H283">
        <v>58.73</v>
      </c>
      <c r="I283">
        <v>2</v>
      </c>
      <c r="J283" t="s">
        <v>52</v>
      </c>
      <c r="K283" s="13">
        <v>54.500166666666701</v>
      </c>
      <c r="L283" s="13">
        <v>13.9788333333333</v>
      </c>
      <c r="M283" t="s">
        <v>53</v>
      </c>
      <c r="N283" t="s">
        <v>13</v>
      </c>
    </row>
    <row r="284" spans="2:14" x14ac:dyDescent="0.25">
      <c r="B284">
        <v>24009</v>
      </c>
      <c r="C284" t="s">
        <v>68</v>
      </c>
      <c r="D284">
        <v>24</v>
      </c>
      <c r="E284">
        <v>54</v>
      </c>
      <c r="F284">
        <v>31.54</v>
      </c>
      <c r="G284">
        <v>13</v>
      </c>
      <c r="H284">
        <v>57.76</v>
      </c>
      <c r="I284">
        <v>2</v>
      </c>
      <c r="J284" t="s">
        <v>52</v>
      </c>
      <c r="K284" s="13">
        <v>54.525666666666702</v>
      </c>
      <c r="L284" s="13">
        <v>13.962666666666699</v>
      </c>
      <c r="M284" t="s">
        <v>53</v>
      </c>
      <c r="N284" t="s">
        <v>13</v>
      </c>
    </row>
    <row r="285" spans="2:14" x14ac:dyDescent="0.25">
      <c r="B285">
        <v>24021</v>
      </c>
      <c r="C285" t="s">
        <v>68</v>
      </c>
      <c r="D285">
        <v>24</v>
      </c>
      <c r="E285">
        <v>54</v>
      </c>
      <c r="F285">
        <v>29.57</v>
      </c>
      <c r="G285">
        <v>13</v>
      </c>
      <c r="H285">
        <v>43.66</v>
      </c>
      <c r="I285">
        <v>2</v>
      </c>
      <c r="J285" t="s">
        <v>52</v>
      </c>
      <c r="K285" s="13">
        <v>54.492833333333301</v>
      </c>
      <c r="L285" s="13">
        <v>13.7276666666667</v>
      </c>
      <c r="M285" t="s">
        <v>53</v>
      </c>
      <c r="N285" t="s">
        <v>13</v>
      </c>
    </row>
    <row r="286" spans="2:14" x14ac:dyDescent="0.25">
      <c r="B286">
        <v>24280</v>
      </c>
      <c r="C286" t="s">
        <v>65</v>
      </c>
      <c r="D286">
        <v>24</v>
      </c>
      <c r="E286">
        <v>54</v>
      </c>
      <c r="F286">
        <v>41.32</v>
      </c>
      <c r="G286">
        <v>12</v>
      </c>
      <c r="H286">
        <v>11.83</v>
      </c>
      <c r="I286">
        <v>2</v>
      </c>
      <c r="J286" t="s">
        <v>57</v>
      </c>
      <c r="K286" s="13">
        <v>54.688666666666698</v>
      </c>
      <c r="L286" s="13">
        <v>12.1971666666667</v>
      </c>
      <c r="M286" t="s">
        <v>53</v>
      </c>
      <c r="N286" t="s">
        <v>13</v>
      </c>
    </row>
    <row r="287" spans="2:14" x14ac:dyDescent="0.25">
      <c r="B287">
        <v>24281</v>
      </c>
      <c r="C287" t="s">
        <v>65</v>
      </c>
      <c r="D287">
        <v>24</v>
      </c>
      <c r="E287">
        <v>54</v>
      </c>
      <c r="F287">
        <v>50.68</v>
      </c>
      <c r="G287">
        <v>12</v>
      </c>
      <c r="H287">
        <v>40.729999999999997</v>
      </c>
      <c r="I287">
        <v>2</v>
      </c>
      <c r="J287" t="s">
        <v>57</v>
      </c>
      <c r="K287" s="13">
        <v>54.844666666666697</v>
      </c>
      <c r="L287" s="13">
        <v>12.6788333333333</v>
      </c>
      <c r="M287" t="s">
        <v>53</v>
      </c>
      <c r="N287" t="s">
        <v>13</v>
      </c>
    </row>
    <row r="288" spans="2:14" x14ac:dyDescent="0.25">
      <c r="B288">
        <v>25380</v>
      </c>
      <c r="C288" t="s">
        <v>82</v>
      </c>
      <c r="D288">
        <v>25</v>
      </c>
      <c r="E288">
        <v>55</v>
      </c>
      <c r="F288">
        <v>38.5</v>
      </c>
      <c r="G288">
        <v>17</v>
      </c>
      <c r="H288">
        <v>37.799999999999997</v>
      </c>
      <c r="I288">
        <v>3</v>
      </c>
      <c r="J288" t="s">
        <v>70</v>
      </c>
      <c r="K288" s="13">
        <v>55.641666666666701</v>
      </c>
      <c r="L288" s="13">
        <v>17.63</v>
      </c>
      <c r="M288" t="s">
        <v>76</v>
      </c>
      <c r="N288" t="s">
        <v>15</v>
      </c>
    </row>
    <row r="289" spans="2:14" x14ac:dyDescent="0.25">
      <c r="B289">
        <v>25403</v>
      </c>
      <c r="C289" t="s">
        <v>82</v>
      </c>
      <c r="D289">
        <v>25</v>
      </c>
      <c r="E289">
        <v>55</v>
      </c>
      <c r="F289">
        <v>51.93</v>
      </c>
      <c r="G289">
        <v>16</v>
      </c>
      <c r="H289">
        <v>26.14</v>
      </c>
      <c r="I289">
        <v>3</v>
      </c>
      <c r="J289" t="s">
        <v>67</v>
      </c>
      <c r="K289" s="13">
        <v>55.865499999999997</v>
      </c>
      <c r="L289" s="13">
        <v>16.435666666666702</v>
      </c>
      <c r="M289" t="s">
        <v>76</v>
      </c>
      <c r="N289" t="s">
        <v>17</v>
      </c>
    </row>
    <row r="290" spans="2:14" x14ac:dyDescent="0.25">
      <c r="B290">
        <v>25416</v>
      </c>
      <c r="C290" t="s">
        <v>88</v>
      </c>
      <c r="D290">
        <v>25</v>
      </c>
      <c r="E290">
        <v>55</v>
      </c>
      <c r="F290">
        <v>41.56</v>
      </c>
      <c r="G290">
        <v>14</v>
      </c>
      <c r="H290">
        <v>22.75</v>
      </c>
      <c r="I290">
        <v>3</v>
      </c>
      <c r="J290" t="s">
        <v>67</v>
      </c>
      <c r="K290" s="13">
        <v>55.692666666666703</v>
      </c>
      <c r="L290" s="13">
        <v>14.3791666666667</v>
      </c>
      <c r="M290" t="s">
        <v>76</v>
      </c>
      <c r="N290" t="s">
        <v>17</v>
      </c>
    </row>
    <row r="291" spans="2:14" x14ac:dyDescent="0.25">
      <c r="B291">
        <v>25421</v>
      </c>
      <c r="C291" t="s">
        <v>88</v>
      </c>
      <c r="D291">
        <v>25</v>
      </c>
      <c r="E291">
        <v>55</v>
      </c>
      <c r="F291">
        <v>41.2</v>
      </c>
      <c r="G291">
        <v>14</v>
      </c>
      <c r="H291">
        <v>27.3</v>
      </c>
      <c r="I291">
        <v>3</v>
      </c>
      <c r="J291" t="s">
        <v>67</v>
      </c>
      <c r="K291" s="13">
        <v>55.686666666666703</v>
      </c>
      <c r="L291" s="13">
        <v>14.455</v>
      </c>
      <c r="M291" t="s">
        <v>76</v>
      </c>
      <c r="N291" t="s">
        <v>17</v>
      </c>
    </row>
    <row r="292" spans="2:14" x14ac:dyDescent="0.25">
      <c r="B292">
        <v>26086</v>
      </c>
      <c r="C292" t="s">
        <v>91</v>
      </c>
      <c r="D292">
        <v>26</v>
      </c>
      <c r="E292">
        <v>54</v>
      </c>
      <c r="F292">
        <v>58.5</v>
      </c>
      <c r="G292">
        <v>18</v>
      </c>
      <c r="H292">
        <v>48</v>
      </c>
      <c r="I292">
        <v>5</v>
      </c>
      <c r="J292" t="s">
        <v>70</v>
      </c>
      <c r="K292" s="13">
        <v>54.975000000000001</v>
      </c>
      <c r="L292" s="13">
        <v>18.8</v>
      </c>
      <c r="M292" t="s">
        <v>76</v>
      </c>
      <c r="N292" t="s">
        <v>16</v>
      </c>
    </row>
    <row r="293" spans="2:14" x14ac:dyDescent="0.25">
      <c r="B293">
        <v>26160</v>
      </c>
      <c r="C293" t="s">
        <v>98</v>
      </c>
      <c r="D293">
        <v>26</v>
      </c>
      <c r="E293">
        <v>56</v>
      </c>
      <c r="F293">
        <v>28.864999999999998</v>
      </c>
      <c r="G293">
        <v>20</v>
      </c>
      <c r="H293">
        <v>7.94</v>
      </c>
      <c r="I293">
        <v>5</v>
      </c>
      <c r="J293" t="s">
        <v>97</v>
      </c>
      <c r="K293" s="13">
        <v>56.481083333333302</v>
      </c>
      <c r="L293" s="13">
        <v>20.1323333333333</v>
      </c>
      <c r="M293" t="s">
        <v>76</v>
      </c>
      <c r="N293" t="s">
        <v>16</v>
      </c>
    </row>
    <row r="294" spans="2:14" x14ac:dyDescent="0.25">
      <c r="B294">
        <v>26164</v>
      </c>
      <c r="C294" t="s">
        <v>95</v>
      </c>
      <c r="D294">
        <v>26</v>
      </c>
      <c r="E294">
        <v>55</v>
      </c>
      <c r="F294">
        <v>31.7</v>
      </c>
      <c r="G294">
        <v>18</v>
      </c>
      <c r="H294">
        <v>33</v>
      </c>
      <c r="I294">
        <v>5</v>
      </c>
      <c r="J294" t="s">
        <v>70</v>
      </c>
      <c r="K294" s="13">
        <v>55.5283333333333</v>
      </c>
      <c r="L294" s="13">
        <v>18.55</v>
      </c>
      <c r="M294" t="s">
        <v>76</v>
      </c>
      <c r="N294" t="s">
        <v>15</v>
      </c>
    </row>
    <row r="295" spans="2:14" x14ac:dyDescent="0.25">
      <c r="B295">
        <v>26287</v>
      </c>
      <c r="C295" t="s">
        <v>103</v>
      </c>
      <c r="D295">
        <v>26</v>
      </c>
      <c r="E295">
        <v>54</v>
      </c>
      <c r="F295">
        <v>36.700000000000003</v>
      </c>
      <c r="G295">
        <v>19</v>
      </c>
      <c r="H295">
        <v>2.1</v>
      </c>
      <c r="I295">
        <v>5</v>
      </c>
      <c r="J295" t="s">
        <v>70</v>
      </c>
      <c r="K295" s="13">
        <v>54.6116666666667</v>
      </c>
      <c r="L295" s="13">
        <v>19.035</v>
      </c>
      <c r="M295" t="s">
        <v>76</v>
      </c>
      <c r="N295" t="s">
        <v>16</v>
      </c>
    </row>
    <row r="296" spans="2:14" x14ac:dyDescent="0.25">
      <c r="B296">
        <v>28011</v>
      </c>
      <c r="C296" t="s">
        <v>109</v>
      </c>
      <c r="D296">
        <v>28</v>
      </c>
      <c r="E296">
        <v>56</v>
      </c>
      <c r="F296">
        <v>37.799999999999997</v>
      </c>
      <c r="G296">
        <v>20</v>
      </c>
      <c r="H296">
        <v>38</v>
      </c>
      <c r="I296">
        <v>3</v>
      </c>
      <c r="J296" t="s">
        <v>97</v>
      </c>
      <c r="K296" s="13">
        <v>56.63</v>
      </c>
      <c r="L296" s="13">
        <v>20.633333333333301</v>
      </c>
      <c r="M296" t="s">
        <v>76</v>
      </c>
      <c r="N296" t="s">
        <v>18</v>
      </c>
    </row>
    <row r="297" spans="2:14" x14ac:dyDescent="0.25">
      <c r="B297">
        <v>28160</v>
      </c>
      <c r="C297" t="s">
        <v>109</v>
      </c>
      <c r="D297">
        <v>28</v>
      </c>
      <c r="E297">
        <v>56</v>
      </c>
      <c r="F297">
        <v>36.49</v>
      </c>
      <c r="G297">
        <v>20</v>
      </c>
      <c r="H297">
        <v>41.28</v>
      </c>
      <c r="I297">
        <v>3</v>
      </c>
      <c r="J297" t="s">
        <v>97</v>
      </c>
      <c r="K297" s="13">
        <v>56.608166666666698</v>
      </c>
      <c r="L297" s="13">
        <v>20.687999999999999</v>
      </c>
      <c r="M297" t="s">
        <v>76</v>
      </c>
      <c r="N297" t="s">
        <v>18</v>
      </c>
    </row>
    <row r="298" spans="2:14" x14ac:dyDescent="0.25">
      <c r="B298">
        <v>28173</v>
      </c>
      <c r="C298" t="s">
        <v>109</v>
      </c>
      <c r="D298">
        <v>28</v>
      </c>
      <c r="E298">
        <v>56</v>
      </c>
      <c r="F298">
        <v>38.85</v>
      </c>
      <c r="G298">
        <v>20</v>
      </c>
      <c r="H298">
        <v>36.28</v>
      </c>
      <c r="I298">
        <v>3</v>
      </c>
      <c r="J298" t="s">
        <v>97</v>
      </c>
      <c r="K298" s="13">
        <v>56.647500000000001</v>
      </c>
      <c r="L298" s="13">
        <v>20.604666666666699</v>
      </c>
      <c r="M298" t="s">
        <v>76</v>
      </c>
      <c r="N298" t="s">
        <v>18</v>
      </c>
    </row>
    <row r="299" spans="2:14" x14ac:dyDescent="0.25">
      <c r="K299" s="13"/>
      <c r="L299" s="13"/>
    </row>
    <row r="300" spans="2:14" x14ac:dyDescent="0.25">
      <c r="K300" s="13"/>
      <c r="L300" s="13"/>
    </row>
    <row r="301" spans="2:14" x14ac:dyDescent="0.25">
      <c r="K301" s="13"/>
      <c r="L301" s="13"/>
    </row>
    <row r="302" spans="2:14" x14ac:dyDescent="0.25">
      <c r="K302" s="13"/>
      <c r="L302" s="13"/>
    </row>
    <row r="303" spans="2:14" x14ac:dyDescent="0.25">
      <c r="K303" s="13"/>
      <c r="L303" s="13"/>
    </row>
    <row r="304" spans="2:14" x14ac:dyDescent="0.25">
      <c r="K304" s="13"/>
      <c r="L304" s="13"/>
    </row>
  </sheetData>
  <sortState ref="B2:N302">
    <sortCondition ref="N2:N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 sheet</vt:lpstr>
      <vt:lpstr>PlannedStations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2021-09-30T12:35:26Z</dcterms:modified>
</cp:coreProperties>
</file>