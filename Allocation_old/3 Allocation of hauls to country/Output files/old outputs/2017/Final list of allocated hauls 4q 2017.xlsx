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205" yWindow="45" windowWidth="15270" windowHeight="9840"/>
  </bookViews>
  <sheets>
    <sheet name="allocated hauls pr country" sheetId="1" r:id="rId1"/>
  </sheets>
  <definedNames>
    <definedName name="_xlnm._FilterDatabase" localSheetId="0" hidden="1">'allocated hauls pr country'!$A$1:$U$280</definedName>
  </definedNames>
  <calcPr calcId="145621" calcOnSave="0"/>
  <fileRecoveryPr repairLoad="1"/>
</workbook>
</file>

<file path=xl/calcChain.xml><?xml version="1.0" encoding="utf-8"?>
<calcChain xmlns="http://schemas.openxmlformats.org/spreadsheetml/2006/main">
  <c r="U279" i="1" l="1"/>
  <c r="M7" i="1"/>
  <c r="V2" i="1"/>
  <c r="M12" i="1"/>
  <c r="M3" i="1"/>
  <c r="M4" i="1"/>
  <c r="M5" i="1"/>
  <c r="M6" i="1"/>
  <c r="M8" i="1"/>
  <c r="M9" i="1"/>
  <c r="M10" i="1"/>
  <c r="M11" i="1"/>
  <c r="M13" i="1"/>
  <c r="M14" i="1"/>
  <c r="M15" i="1"/>
  <c r="M16" i="1"/>
  <c r="M17" i="1"/>
  <c r="M18" i="1"/>
  <c r="M2" i="1"/>
  <c r="M19" i="1" l="1"/>
  <c r="M101" i="1" l="1"/>
  <c r="M102" i="1"/>
  <c r="M103" i="1"/>
  <c r="M104" i="1"/>
  <c r="M105" i="1"/>
  <c r="M20" i="1"/>
  <c r="M106" i="1"/>
  <c r="M107" i="1"/>
  <c r="M21" i="1"/>
  <c r="M22" i="1"/>
  <c r="M25" i="1"/>
  <c r="M26" i="1"/>
  <c r="M28" i="1"/>
  <c r="M29" i="1"/>
  <c r="M30" i="1"/>
  <c r="M31" i="1"/>
  <c r="M32" i="1"/>
  <c r="M33" i="1"/>
  <c r="M34" i="1"/>
  <c r="M35" i="1"/>
  <c r="M36" i="1"/>
  <c r="M37" i="1"/>
  <c r="M38" i="1"/>
  <c r="M108" i="1"/>
  <c r="M39" i="1"/>
  <c r="M40" i="1"/>
  <c r="M41" i="1"/>
  <c r="M42" i="1"/>
  <c r="M43" i="1"/>
  <c r="M44" i="1"/>
  <c r="M112" i="1"/>
  <c r="M113" i="1"/>
  <c r="M114" i="1"/>
  <c r="M115" i="1"/>
  <c r="M190" i="1"/>
  <c r="M116" i="1"/>
  <c r="M117" i="1"/>
  <c r="M118" i="1"/>
  <c r="M46" i="1"/>
  <c r="M119" i="1"/>
  <c r="M120" i="1"/>
  <c r="M121" i="1"/>
  <c r="M123" i="1"/>
  <c r="M125" i="1"/>
  <c r="M126" i="1"/>
  <c r="M129" i="1"/>
  <c r="M131" i="1"/>
  <c r="M133" i="1"/>
  <c r="M135" i="1"/>
  <c r="M136" i="1"/>
  <c r="M138" i="1"/>
  <c r="M139" i="1"/>
  <c r="M140" i="1"/>
  <c r="M142" i="1"/>
  <c r="M143" i="1"/>
  <c r="M145" i="1"/>
  <c r="M147" i="1"/>
  <c r="M150" i="1"/>
  <c r="M154" i="1"/>
  <c r="M155" i="1"/>
  <c r="M156" i="1"/>
  <c r="M157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47" i="1"/>
  <c r="M205" i="1"/>
  <c r="M206" i="1"/>
  <c r="M207" i="1"/>
  <c r="M208" i="1"/>
  <c r="M210" i="1"/>
  <c r="M211" i="1"/>
  <c r="M213" i="1"/>
  <c r="M214" i="1"/>
  <c r="M215" i="1"/>
  <c r="M216" i="1"/>
  <c r="M217" i="1"/>
  <c r="M218" i="1"/>
  <c r="M219" i="1"/>
  <c r="M221" i="1"/>
  <c r="M48" i="1"/>
  <c r="M49" i="1"/>
  <c r="M50" i="1"/>
  <c r="M51" i="1"/>
  <c r="M52" i="1"/>
  <c r="M53" i="1"/>
  <c r="M54" i="1"/>
  <c r="M55" i="1"/>
  <c r="M56" i="1"/>
  <c r="M222" i="1"/>
  <c r="M223" i="1"/>
  <c r="M57" i="1"/>
  <c r="M58" i="1"/>
  <c r="M225" i="1"/>
  <c r="M59" i="1"/>
  <c r="M60" i="1"/>
  <c r="M61" i="1"/>
  <c r="M249" i="1"/>
  <c r="M62" i="1"/>
  <c r="M63" i="1"/>
  <c r="M64" i="1"/>
  <c r="M65" i="1"/>
  <c r="M66" i="1"/>
  <c r="M67" i="1"/>
  <c r="M68" i="1"/>
  <c r="M228" i="1"/>
  <c r="M69" i="1"/>
  <c r="M70" i="1"/>
  <c r="M71" i="1"/>
  <c r="M229" i="1"/>
  <c r="M72" i="1"/>
  <c r="M73" i="1"/>
  <c r="M74" i="1"/>
  <c r="M75" i="1"/>
  <c r="M250" i="1"/>
  <c r="M251" i="1"/>
  <c r="M76" i="1"/>
  <c r="M252" i="1"/>
  <c r="M253" i="1"/>
  <c r="M254" i="1"/>
  <c r="M80" i="1"/>
  <c r="M255" i="1"/>
  <c r="M81" i="1"/>
  <c r="M82" i="1"/>
  <c r="M83" i="1"/>
  <c r="M84" i="1"/>
  <c r="M85" i="1"/>
  <c r="M230" i="1"/>
  <c r="M256" i="1"/>
  <c r="M257" i="1"/>
  <c r="M86" i="1"/>
  <c r="M87" i="1"/>
  <c r="M88" i="1"/>
  <c r="M89" i="1"/>
  <c r="M90" i="1"/>
  <c r="M158" i="1"/>
  <c r="M232" i="1"/>
  <c r="M183" i="1"/>
  <c r="M159" i="1"/>
  <c r="M91" i="1"/>
  <c r="M233" i="1"/>
  <c r="M185" i="1"/>
  <c r="M234" i="1"/>
  <c r="M164" i="1"/>
  <c r="M235" i="1"/>
  <c r="M236" i="1"/>
  <c r="M186" i="1"/>
  <c r="M237" i="1"/>
  <c r="M92" i="1"/>
  <c r="M166" i="1"/>
  <c r="M187" i="1"/>
  <c r="M167" i="1"/>
  <c r="M238" i="1"/>
  <c r="M239" i="1"/>
  <c r="M240" i="1"/>
  <c r="M168" i="1"/>
  <c r="M169" i="1"/>
  <c r="M258" i="1"/>
  <c r="M93" i="1"/>
  <c r="M94" i="1"/>
  <c r="M241" i="1"/>
  <c r="M242" i="1"/>
  <c r="M243" i="1"/>
  <c r="M244" i="1"/>
  <c r="M245" i="1"/>
  <c r="M246" i="1"/>
  <c r="M95" i="1"/>
  <c r="M247" i="1"/>
  <c r="M248" i="1"/>
  <c r="M259" i="1"/>
  <c r="M260" i="1"/>
  <c r="M261" i="1"/>
  <c r="M262" i="1"/>
  <c r="M263" i="1"/>
  <c r="M264" i="1"/>
  <c r="M265" i="1"/>
  <c r="M266" i="1"/>
  <c r="M268" i="1"/>
  <c r="M170" i="1"/>
  <c r="M96" i="1"/>
  <c r="M172" i="1"/>
  <c r="M173" i="1"/>
  <c r="M269" i="1"/>
  <c r="M97" i="1"/>
  <c r="M174" i="1"/>
  <c r="M270" i="1"/>
  <c r="M98" i="1"/>
  <c r="M271" i="1"/>
  <c r="M272" i="1"/>
  <c r="M273" i="1"/>
  <c r="M175" i="1"/>
  <c r="M176" i="1"/>
  <c r="M177" i="1"/>
  <c r="M178" i="1"/>
  <c r="M179" i="1"/>
  <c r="M180" i="1"/>
  <c r="M181" i="1"/>
  <c r="M182" i="1"/>
  <c r="M274" i="1"/>
  <c r="M99" i="1"/>
  <c r="M275" i="1"/>
  <c r="M276" i="1"/>
  <c r="M277" i="1"/>
  <c r="M278" i="1"/>
  <c r="M100" i="1"/>
  <c r="M122" i="1"/>
  <c r="M124" i="1"/>
  <c r="M127" i="1"/>
  <c r="M128" i="1"/>
  <c r="M130" i="1"/>
  <c r="M132" i="1"/>
  <c r="M134" i="1"/>
  <c r="M137" i="1"/>
  <c r="M141" i="1"/>
  <c r="M144" i="1"/>
  <c r="M146" i="1"/>
  <c r="M148" i="1"/>
  <c r="M149" i="1"/>
  <c r="M151" i="1"/>
  <c r="M152" i="1"/>
  <c r="M153" i="1"/>
  <c r="M109" i="1"/>
  <c r="M110" i="1"/>
  <c r="M111" i="1"/>
  <c r="M209" i="1"/>
  <c r="M220" i="1"/>
  <c r="M77" i="1"/>
  <c r="M78" i="1"/>
  <c r="M79" i="1"/>
  <c r="M267" i="1"/>
  <c r="M171" i="1"/>
  <c r="M23" i="1"/>
  <c r="M24" i="1"/>
  <c r="M27" i="1"/>
  <c r="M45" i="1"/>
  <c r="M189" i="1"/>
  <c r="M191" i="1"/>
  <c r="M212" i="1"/>
  <c r="M224" i="1"/>
  <c r="M226" i="1"/>
  <c r="M227" i="1"/>
  <c r="M231" i="1"/>
  <c r="M184" i="1"/>
  <c r="M188" i="1"/>
  <c r="M160" i="1"/>
  <c r="M161" i="1"/>
  <c r="M162" i="1"/>
  <c r="M163" i="1"/>
  <c r="M165" i="1"/>
  <c r="V102" i="1"/>
  <c r="V103" i="1"/>
  <c r="V104" i="1"/>
  <c r="V105" i="1"/>
  <c r="V20" i="1"/>
  <c r="V106" i="1"/>
  <c r="V107" i="1"/>
  <c r="V21" i="1"/>
  <c r="V22" i="1"/>
  <c r="V25" i="1"/>
  <c r="V26" i="1"/>
  <c r="V28" i="1"/>
  <c r="V29" i="1"/>
  <c r="V30" i="1"/>
  <c r="V31" i="1"/>
  <c r="V32" i="1"/>
  <c r="V33" i="1"/>
  <c r="V34" i="1"/>
  <c r="V35" i="1"/>
  <c r="V36" i="1"/>
  <c r="V37" i="1"/>
  <c r="V38" i="1"/>
  <c r="V108" i="1"/>
  <c r="V39" i="1"/>
  <c r="V40" i="1"/>
  <c r="V41" i="1"/>
  <c r="V42" i="1"/>
  <c r="V43" i="1"/>
  <c r="V44" i="1"/>
  <c r="V112" i="1"/>
  <c r="V113" i="1"/>
  <c r="V114" i="1"/>
  <c r="V115" i="1"/>
  <c r="V190" i="1"/>
  <c r="V116" i="1"/>
  <c r="V117" i="1"/>
  <c r="V118" i="1"/>
  <c r="V46" i="1"/>
  <c r="V119" i="1"/>
  <c r="V120" i="1"/>
  <c r="V121" i="1"/>
  <c r="V123" i="1"/>
  <c r="V125" i="1"/>
  <c r="V126" i="1"/>
  <c r="V129" i="1"/>
  <c r="V131" i="1"/>
  <c r="V133" i="1"/>
  <c r="V135" i="1"/>
  <c r="V136" i="1"/>
  <c r="V138" i="1"/>
  <c r="V139" i="1"/>
  <c r="V140" i="1"/>
  <c r="V142" i="1"/>
  <c r="V143" i="1"/>
  <c r="V145" i="1"/>
  <c r="V147" i="1"/>
  <c r="V150" i="1"/>
  <c r="V154" i="1"/>
  <c r="V155" i="1"/>
  <c r="V156" i="1"/>
  <c r="V157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47" i="1"/>
  <c r="V205" i="1"/>
  <c r="V206" i="1"/>
  <c r="V207" i="1"/>
  <c r="V208" i="1"/>
  <c r="V210" i="1"/>
  <c r="V211" i="1"/>
  <c r="V213" i="1"/>
  <c r="V214" i="1"/>
  <c r="V215" i="1"/>
  <c r="V216" i="1"/>
  <c r="V217" i="1"/>
  <c r="V218" i="1"/>
  <c r="V219" i="1"/>
  <c r="V221" i="1"/>
  <c r="V48" i="1"/>
  <c r="V49" i="1"/>
  <c r="V50" i="1"/>
  <c r="V51" i="1"/>
  <c r="V52" i="1"/>
  <c r="V53" i="1"/>
  <c r="V54" i="1"/>
  <c r="V55" i="1"/>
  <c r="V56" i="1"/>
  <c r="V222" i="1"/>
  <c r="V223" i="1"/>
  <c r="V57" i="1"/>
  <c r="V58" i="1"/>
  <c r="V225" i="1"/>
  <c r="V59" i="1"/>
  <c r="V60" i="1"/>
  <c r="V61" i="1"/>
  <c r="V249" i="1"/>
  <c r="V62" i="1"/>
  <c r="V63" i="1"/>
  <c r="V64" i="1"/>
  <c r="V65" i="1"/>
  <c r="V66" i="1"/>
  <c r="V67" i="1"/>
  <c r="V68" i="1"/>
  <c r="V228" i="1"/>
  <c r="V69" i="1"/>
  <c r="V70" i="1"/>
  <c r="V71" i="1"/>
  <c r="V229" i="1"/>
  <c r="V72" i="1"/>
  <c r="V73" i="1"/>
  <c r="V74" i="1"/>
  <c r="V75" i="1"/>
  <c r="V250" i="1"/>
  <c r="V251" i="1"/>
  <c r="V76" i="1"/>
  <c r="V252" i="1"/>
  <c r="V253" i="1"/>
  <c r="V254" i="1"/>
  <c r="V80" i="1"/>
  <c r="V255" i="1"/>
  <c r="V81" i="1"/>
  <c r="V82" i="1"/>
  <c r="V83" i="1"/>
  <c r="V84" i="1"/>
  <c r="V85" i="1"/>
  <c r="V230" i="1"/>
  <c r="V256" i="1"/>
  <c r="V257" i="1"/>
  <c r="V86" i="1"/>
  <c r="V87" i="1"/>
  <c r="V88" i="1"/>
  <c r="V89" i="1"/>
  <c r="V90" i="1"/>
  <c r="V158" i="1"/>
  <c r="V232" i="1"/>
  <c r="V3" i="1"/>
  <c r="V4" i="1"/>
  <c r="V183" i="1"/>
  <c r="V159" i="1"/>
  <c r="V91" i="1"/>
  <c r="V5" i="1"/>
  <c r="V6" i="1"/>
  <c r="V7" i="1"/>
  <c r="V233" i="1"/>
  <c r="V185" i="1"/>
  <c r="V234" i="1"/>
  <c r="V164" i="1"/>
  <c r="V8" i="1"/>
  <c r="V235" i="1"/>
  <c r="V9" i="1"/>
  <c r="V10" i="1"/>
  <c r="V11" i="1"/>
  <c r="V236" i="1"/>
  <c r="V12" i="1"/>
  <c r="V13" i="1"/>
  <c r="V14" i="1"/>
  <c r="V186" i="1"/>
  <c r="V237" i="1"/>
  <c r="V92" i="1"/>
  <c r="V166" i="1"/>
  <c r="V15" i="1"/>
  <c r="V16" i="1"/>
  <c r="V17" i="1"/>
  <c r="V187" i="1"/>
  <c r="V167" i="1"/>
  <c r="V238" i="1"/>
  <c r="V239" i="1"/>
  <c r="V240" i="1"/>
  <c r="V168" i="1"/>
  <c r="V169" i="1"/>
  <c r="V258" i="1"/>
  <c r="V93" i="1"/>
  <c r="V94" i="1"/>
  <c r="V241" i="1"/>
  <c r="V242" i="1"/>
  <c r="V243" i="1"/>
  <c r="V244" i="1"/>
  <c r="V245" i="1"/>
  <c r="V246" i="1"/>
  <c r="V95" i="1"/>
  <c r="V247" i="1"/>
  <c r="V248" i="1"/>
  <c r="V18" i="1"/>
  <c r="V259" i="1"/>
  <c r="V260" i="1"/>
  <c r="V261" i="1"/>
  <c r="V262" i="1"/>
  <c r="V263" i="1"/>
  <c r="V264" i="1"/>
  <c r="V265" i="1"/>
  <c r="V266" i="1"/>
  <c r="V268" i="1"/>
  <c r="V170" i="1"/>
  <c r="V96" i="1"/>
  <c r="V172" i="1"/>
  <c r="V173" i="1"/>
  <c r="V269" i="1"/>
  <c r="V97" i="1"/>
  <c r="V174" i="1"/>
  <c r="V270" i="1"/>
  <c r="V98" i="1"/>
  <c r="V271" i="1"/>
  <c r="V272" i="1"/>
  <c r="V273" i="1"/>
  <c r="V175" i="1"/>
  <c r="V176" i="1"/>
  <c r="V177" i="1"/>
  <c r="V178" i="1"/>
  <c r="V179" i="1"/>
  <c r="V180" i="1"/>
  <c r="V181" i="1"/>
  <c r="V182" i="1"/>
  <c r="V274" i="1"/>
  <c r="V99" i="1"/>
  <c r="V275" i="1"/>
  <c r="V276" i="1"/>
  <c r="V277" i="1"/>
  <c r="V278" i="1"/>
  <c r="V100" i="1"/>
  <c r="V122" i="1"/>
  <c r="V124" i="1"/>
  <c r="V127" i="1"/>
  <c r="V128" i="1"/>
  <c r="V130" i="1"/>
  <c r="V132" i="1"/>
  <c r="V134" i="1"/>
  <c r="V137" i="1"/>
  <c r="V141" i="1"/>
  <c r="V144" i="1"/>
  <c r="V146" i="1"/>
  <c r="V148" i="1"/>
  <c r="V149" i="1"/>
  <c r="V151" i="1"/>
  <c r="V152" i="1"/>
  <c r="V153" i="1"/>
  <c r="V19" i="1"/>
  <c r="V109" i="1"/>
  <c r="V110" i="1"/>
  <c r="V111" i="1"/>
  <c r="V209" i="1"/>
  <c r="V220" i="1"/>
  <c r="V77" i="1"/>
  <c r="V78" i="1"/>
  <c r="V79" i="1"/>
  <c r="V267" i="1"/>
  <c r="V171" i="1"/>
  <c r="V23" i="1"/>
  <c r="V24" i="1"/>
  <c r="V27" i="1"/>
  <c r="V45" i="1"/>
  <c r="V189" i="1"/>
  <c r="V191" i="1"/>
  <c r="V212" i="1"/>
  <c r="V224" i="1"/>
  <c r="V226" i="1"/>
  <c r="V227" i="1"/>
  <c r="V231" i="1"/>
  <c r="V184" i="1"/>
  <c r="V188" i="1"/>
  <c r="V160" i="1"/>
  <c r="V161" i="1"/>
  <c r="V162" i="1"/>
  <c r="V163" i="1"/>
  <c r="V165" i="1"/>
  <c r="V101" i="1"/>
  <c r="O279" i="1"/>
  <c r="O281" i="1" s="1"/>
  <c r="P279" i="1"/>
  <c r="P281" i="1" s="1"/>
  <c r="Q279" i="1"/>
  <c r="Q281" i="1" s="1"/>
  <c r="R279" i="1"/>
  <c r="R281" i="1" s="1"/>
  <c r="S279" i="1"/>
  <c r="S281" i="1" s="1"/>
  <c r="T279" i="1"/>
  <c r="T281" i="1" s="1"/>
  <c r="N279" i="1"/>
  <c r="U281" i="1"/>
  <c r="W280" i="1"/>
  <c r="W279" i="1" l="1"/>
  <c r="W281" i="1" s="1"/>
  <c r="N281" i="1"/>
</calcChain>
</file>

<file path=xl/sharedStrings.xml><?xml version="1.0" encoding="utf-8"?>
<sst xmlns="http://schemas.openxmlformats.org/spreadsheetml/2006/main" count="855" uniqueCount="91">
  <si>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</si>
  <si>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</si>
  <si>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</si>
  <si>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</si>
  <si>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</si>
  <si>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</si>
  <si>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</si>
  <si>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</si>
  <si>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</si>
  <si>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</si>
  <si>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</si>
  <si>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</si>
  <si>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37G1</t>
  </si>
  <si>
    <t>GFR</t>
  </si>
  <si>
    <t>21-24</t>
  </si>
  <si>
    <t>37G0</t>
  </si>
  <si>
    <t>DEN</t>
  </si>
  <si>
    <t>38G0</t>
  </si>
  <si>
    <t>38G1</t>
  </si>
  <si>
    <t>39F9</t>
  </si>
  <si>
    <t>39G1</t>
  </si>
  <si>
    <t>40G0</t>
  </si>
  <si>
    <t>41G0</t>
  </si>
  <si>
    <t>39G0</t>
  </si>
  <si>
    <t>38F9</t>
  </si>
  <si>
    <t>37G2</t>
  </si>
  <si>
    <t>38G2</t>
  </si>
  <si>
    <t>37G4</t>
  </si>
  <si>
    <t>POL</t>
  </si>
  <si>
    <t>38G3</t>
  </si>
  <si>
    <t>38G4</t>
  </si>
  <si>
    <t>grey</t>
  </si>
  <si>
    <t>39G2</t>
  </si>
  <si>
    <t>39G4</t>
  </si>
  <si>
    <t>SWE</t>
  </si>
  <si>
    <t>39G3</t>
  </si>
  <si>
    <t>38G6</t>
  </si>
  <si>
    <t>25-32</t>
  </si>
  <si>
    <t>37G5</t>
  </si>
  <si>
    <t>37G6</t>
  </si>
  <si>
    <t>38G7</t>
  </si>
  <si>
    <t>39G7</t>
  </si>
  <si>
    <t>41G7</t>
  </si>
  <si>
    <t>38G5</t>
  </si>
  <si>
    <t>39G6</t>
  </si>
  <si>
    <t>40G5</t>
  </si>
  <si>
    <t>40G6</t>
  </si>
  <si>
    <t>40G7</t>
  </si>
  <si>
    <t>39G5</t>
  </si>
  <si>
    <t>40G4</t>
  </si>
  <si>
    <t>41H0</t>
  </si>
  <si>
    <t>LAT</t>
  </si>
  <si>
    <t>38G9</t>
  </si>
  <si>
    <t>39H0</t>
  </si>
  <si>
    <t>RUS</t>
  </si>
  <si>
    <t>40H0</t>
  </si>
  <si>
    <t>LTU</t>
  </si>
  <si>
    <t>41G9</t>
  </si>
  <si>
    <t>41G8</t>
  </si>
  <si>
    <t>39G9</t>
  </si>
  <si>
    <t>40G8</t>
  </si>
  <si>
    <t>38G8</t>
  </si>
  <si>
    <t>39G8</t>
  </si>
  <si>
    <t>40G9</t>
  </si>
  <si>
    <t>37G8</t>
  </si>
  <si>
    <t>43G6</t>
  </si>
  <si>
    <t>43G7</t>
  </si>
  <si>
    <t>42G6</t>
  </si>
  <si>
    <t>44G7</t>
  </si>
  <si>
    <t>44G8</t>
  </si>
  <si>
    <t>42H0</t>
  </si>
  <si>
    <t>43H1</t>
  </si>
  <si>
    <t>43H0</t>
  </si>
  <si>
    <t>44G9</t>
  </si>
  <si>
    <t>45H1</t>
  </si>
  <si>
    <t>EST</t>
  </si>
  <si>
    <t>45G9</t>
  </si>
  <si>
    <t>43G9</t>
  </si>
  <si>
    <t>43G8</t>
  </si>
  <si>
    <t>44H1</t>
  </si>
  <si>
    <t>Denmark</t>
  </si>
  <si>
    <t>Sweden</t>
  </si>
  <si>
    <t>Poland</t>
  </si>
  <si>
    <t>Latvia</t>
  </si>
  <si>
    <t>Estonia</t>
  </si>
  <si>
    <t>Germany</t>
  </si>
  <si>
    <t>Lithuania</t>
  </si>
  <si>
    <t>Russia</t>
  </si>
  <si>
    <t>Sum=</t>
  </si>
  <si>
    <t>To be fished by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</si>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</sst>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 ;[Red]\-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1"/>
  <sheetViews>
    <sheetView tabSelected="1" topLeftCell="F256" workbookViewId="0">
      <selection activeCell="N297" sqref="N297"/>
    </sheetView>
  </sheetViews>
  <sheetFormatPr defaultColWidth="9" defaultRowHeight="15" x14ac:dyDescent="0.25"/>
  <cols>
    <col min="4" max="4" width="13.7109375" customWidth="1"/>
    <col min="5" max="5" width="18.140625" customWidth="1"/>
    <col min="6" max="6" width="15.28515625" customWidth="1"/>
    <col min="7" max="7" width="19.7109375" customWidth="1"/>
    <col min="8" max="9" width="9" customWidth="1"/>
    <col min="10" max="10" width="18" style="3" customWidth="1"/>
    <col min="11" max="11" width="19.5703125" style="3" customWidth="1"/>
    <col min="12" max="12" width="9" customWidth="1"/>
    <col min="13" max="13" width="16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89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90</v>
      </c>
    </row>
    <row r="2" spans="1:22" x14ac:dyDescent="0.25">
      <c r="A2">
        <v>26022</v>
      </c>
      <c r="B2" t="s">
        <v>53</v>
      </c>
      <c r="C2">
        <v>26</v>
      </c>
      <c r="D2">
        <v>55</v>
      </c>
      <c r="E2">
        <v>5.9</v>
      </c>
      <c r="F2">
        <v>20</v>
      </c>
      <c r="G2">
        <v>4.3</v>
      </c>
      <c r="H2">
        <v>3</v>
      </c>
      <c r="I2" t="s">
        <v>54</v>
      </c>
      <c r="J2" s="3">
        <v>55.098333333333301</v>
      </c>
      <c r="K2" s="3">
        <v>20.071666666666701</v>
      </c>
      <c r="L2" t="s">
        <v>37</v>
      </c>
      <c r="M2" t="str">
        <f>IF(N2=1,"DEN",IF(O2=1,"SWE",IF(P2=1,"POL",IF(Q2=1,"LAT",IF(R2=1,"EST",IF(S2=1,"GER",IF(T2=1,"LTU",IF(U2=1,"RUS","RUS"))))))))</f>
        <v>RUS</v>
      </c>
      <c r="U2">
        <v>1</v>
      </c>
      <c r="V2">
        <f>SUM(N2:U2)</f>
        <v>1</v>
      </c>
    </row>
    <row r="3" spans="1:22" x14ac:dyDescent="0.25">
      <c r="A3">
        <v>26024</v>
      </c>
      <c r="B3" t="s">
        <v>53</v>
      </c>
      <c r="C3">
        <v>26</v>
      </c>
      <c r="D3">
        <v>55</v>
      </c>
      <c r="E3">
        <v>10.4</v>
      </c>
      <c r="F3">
        <v>20</v>
      </c>
      <c r="G3">
        <v>0</v>
      </c>
      <c r="H3">
        <v>4</v>
      </c>
      <c r="I3" t="s">
        <v>54</v>
      </c>
      <c r="J3" s="3">
        <v>55.173333333333296</v>
      </c>
      <c r="K3" s="3">
        <v>20</v>
      </c>
      <c r="L3" t="s">
        <v>37</v>
      </c>
      <c r="M3" t="str">
        <f t="shared" ref="M3:M18" si="0">IF(N3=1,"DEN",IF(O3=1,"SWE",IF(P3=1,"POL",IF(Q3=1,"LAT",IF(R3=1,"EST",IF(S3=1,"GER",IF(T3=1,"LTU",IF(U3=1,"RUS","RUS"))))))))</f>
        <v>RUS</v>
      </c>
      <c r="U3">
        <v>1</v>
      </c>
      <c r="V3">
        <f t="shared" ref="V3:V65" si="1">SUM(N3:U3)</f>
        <v>1</v>
      </c>
    </row>
    <row r="4" spans="1:22" x14ac:dyDescent="0.25">
      <c r="A4">
        <v>26025</v>
      </c>
      <c r="B4" t="s">
        <v>53</v>
      </c>
      <c r="C4">
        <v>26</v>
      </c>
      <c r="D4">
        <v>55</v>
      </c>
      <c r="E4">
        <v>12.4</v>
      </c>
      <c r="F4">
        <v>20</v>
      </c>
      <c r="G4">
        <v>9.8000000000000007</v>
      </c>
      <c r="H4">
        <v>3</v>
      </c>
      <c r="I4" t="s">
        <v>54</v>
      </c>
      <c r="J4" s="3">
        <v>55.206666666666699</v>
      </c>
      <c r="K4" s="3">
        <v>20.163333333333298</v>
      </c>
      <c r="L4" t="s">
        <v>37</v>
      </c>
      <c r="M4" t="str">
        <f t="shared" si="0"/>
        <v>RUS</v>
      </c>
      <c r="U4">
        <v>1</v>
      </c>
      <c r="V4">
        <f t="shared" si="1"/>
        <v>1</v>
      </c>
    </row>
    <row r="5" spans="1:22" x14ac:dyDescent="0.25">
      <c r="A5">
        <v>26036</v>
      </c>
      <c r="B5" t="s">
        <v>52</v>
      </c>
      <c r="C5">
        <v>26</v>
      </c>
      <c r="D5">
        <v>54</v>
      </c>
      <c r="E5">
        <v>49.3</v>
      </c>
      <c r="F5">
        <v>19</v>
      </c>
      <c r="G5">
        <v>38.9</v>
      </c>
      <c r="H5">
        <v>4</v>
      </c>
      <c r="I5" t="s">
        <v>54</v>
      </c>
      <c r="J5" s="3">
        <v>54.821666666666701</v>
      </c>
      <c r="K5" s="3">
        <v>19.648333333333301</v>
      </c>
      <c r="L5" t="s">
        <v>37</v>
      </c>
      <c r="M5" t="str">
        <f t="shared" si="0"/>
        <v>RUS</v>
      </c>
      <c r="U5">
        <v>1</v>
      </c>
      <c r="V5">
        <f t="shared" si="1"/>
        <v>1</v>
      </c>
    </row>
    <row r="6" spans="1:22" x14ac:dyDescent="0.25">
      <c r="A6">
        <v>26039</v>
      </c>
      <c r="B6" t="s">
        <v>59</v>
      </c>
      <c r="C6">
        <v>26</v>
      </c>
      <c r="D6">
        <v>55</v>
      </c>
      <c r="E6">
        <v>0.6</v>
      </c>
      <c r="F6">
        <v>19</v>
      </c>
      <c r="G6">
        <v>40.4</v>
      </c>
      <c r="H6">
        <v>4</v>
      </c>
      <c r="I6" t="s">
        <v>54</v>
      </c>
      <c r="J6" s="3">
        <v>55.01</v>
      </c>
      <c r="K6" s="3">
        <v>19.6733333333333</v>
      </c>
      <c r="L6" t="s">
        <v>37</v>
      </c>
      <c r="M6" t="str">
        <f t="shared" si="0"/>
        <v>RUS</v>
      </c>
      <c r="U6">
        <v>1</v>
      </c>
      <c r="V6">
        <f t="shared" si="1"/>
        <v>1</v>
      </c>
    </row>
    <row r="7" spans="1:22" x14ac:dyDescent="0.25">
      <c r="A7">
        <v>26048</v>
      </c>
      <c r="B7" t="s">
        <v>53</v>
      </c>
      <c r="C7">
        <v>26</v>
      </c>
      <c r="D7">
        <v>55</v>
      </c>
      <c r="E7">
        <v>28.4</v>
      </c>
      <c r="F7">
        <v>20</v>
      </c>
      <c r="G7">
        <v>3.4</v>
      </c>
      <c r="H7">
        <v>4</v>
      </c>
      <c r="I7" t="s">
        <v>54</v>
      </c>
      <c r="J7" s="3">
        <v>55.473333333333301</v>
      </c>
      <c r="K7" s="3">
        <v>20.0566666666667</v>
      </c>
      <c r="L7" t="s">
        <v>37</v>
      </c>
      <c r="M7" t="str">
        <f>IF(N7=1,"DEN",IF(O7=1,"SWE",IF(P7=1,"POL",IF(Q7=1,"LAT",IF(R7=1,"EST",IF(S7=1,"GER",IF(T7=1,"LTU",IF(U7=1,"RUS","No one"))))))))</f>
        <v>No one</v>
      </c>
      <c r="V7">
        <f t="shared" si="1"/>
        <v>0</v>
      </c>
    </row>
    <row r="8" spans="1:22" x14ac:dyDescent="0.25">
      <c r="A8">
        <v>26084</v>
      </c>
      <c r="B8" t="s">
        <v>52</v>
      </c>
      <c r="C8">
        <v>26</v>
      </c>
      <c r="D8">
        <v>54</v>
      </c>
      <c r="E8">
        <v>40.799999999999997</v>
      </c>
      <c r="F8">
        <v>19</v>
      </c>
      <c r="G8">
        <v>29</v>
      </c>
      <c r="H8">
        <v>5</v>
      </c>
      <c r="I8" t="s">
        <v>54</v>
      </c>
      <c r="J8" s="3">
        <v>54.68</v>
      </c>
      <c r="K8" s="3">
        <v>19.483333333333299</v>
      </c>
      <c r="L8" t="s">
        <v>37</v>
      </c>
      <c r="M8" t="str">
        <f t="shared" si="0"/>
        <v>RUS</v>
      </c>
      <c r="U8">
        <v>1</v>
      </c>
      <c r="V8">
        <f t="shared" si="1"/>
        <v>1</v>
      </c>
    </row>
    <row r="9" spans="1:22" x14ac:dyDescent="0.25">
      <c r="A9">
        <v>26089</v>
      </c>
      <c r="B9" t="s">
        <v>52</v>
      </c>
      <c r="C9">
        <v>26</v>
      </c>
      <c r="D9">
        <v>54</v>
      </c>
      <c r="E9">
        <v>56.9</v>
      </c>
      <c r="F9">
        <v>19</v>
      </c>
      <c r="G9">
        <v>34.299999999999997</v>
      </c>
      <c r="H9">
        <v>5</v>
      </c>
      <c r="I9" t="s">
        <v>54</v>
      </c>
      <c r="J9" s="3">
        <v>54.948333333333302</v>
      </c>
      <c r="K9" s="3">
        <v>19.571666666666701</v>
      </c>
      <c r="L9" t="s">
        <v>37</v>
      </c>
      <c r="M9" t="str">
        <f t="shared" si="0"/>
        <v>RUS</v>
      </c>
      <c r="U9">
        <v>1</v>
      </c>
      <c r="V9">
        <f t="shared" si="1"/>
        <v>1</v>
      </c>
    </row>
    <row r="10" spans="1:22" x14ac:dyDescent="0.25">
      <c r="A10">
        <v>26096</v>
      </c>
      <c r="B10" t="s">
        <v>59</v>
      </c>
      <c r="C10">
        <v>26</v>
      </c>
      <c r="D10">
        <v>55</v>
      </c>
      <c r="E10">
        <v>10.5</v>
      </c>
      <c r="F10">
        <v>19</v>
      </c>
      <c r="G10">
        <v>26.3</v>
      </c>
      <c r="H10">
        <v>5</v>
      </c>
      <c r="I10" t="s">
        <v>54</v>
      </c>
      <c r="J10" s="3">
        <v>55.174999999999997</v>
      </c>
      <c r="K10" s="3">
        <v>19.438333333333301</v>
      </c>
      <c r="L10" t="s">
        <v>37</v>
      </c>
      <c r="M10" t="str">
        <f t="shared" si="0"/>
        <v>RUS</v>
      </c>
      <c r="U10">
        <v>1</v>
      </c>
      <c r="V10">
        <f t="shared" si="1"/>
        <v>1</v>
      </c>
    </row>
    <row r="11" spans="1:22" x14ac:dyDescent="0.25">
      <c r="A11">
        <v>26097</v>
      </c>
      <c r="B11" t="s">
        <v>59</v>
      </c>
      <c r="C11">
        <v>26</v>
      </c>
      <c r="D11">
        <v>55</v>
      </c>
      <c r="E11">
        <v>21.4</v>
      </c>
      <c r="F11">
        <v>19</v>
      </c>
      <c r="G11">
        <v>55.6</v>
      </c>
      <c r="H11">
        <v>4</v>
      </c>
      <c r="I11" t="s">
        <v>54</v>
      </c>
      <c r="J11" s="3">
        <v>55.356666666666698</v>
      </c>
      <c r="K11" s="3">
        <v>19.926666666666701</v>
      </c>
      <c r="L11" t="s">
        <v>37</v>
      </c>
      <c r="M11" t="str">
        <f t="shared" si="0"/>
        <v>RUS</v>
      </c>
      <c r="U11">
        <v>1</v>
      </c>
      <c r="V11">
        <f t="shared" si="1"/>
        <v>1</v>
      </c>
    </row>
    <row r="12" spans="1:22" x14ac:dyDescent="0.25">
      <c r="A12">
        <v>26109</v>
      </c>
      <c r="B12" t="s">
        <v>59</v>
      </c>
      <c r="C12">
        <v>26</v>
      </c>
      <c r="D12">
        <v>55</v>
      </c>
      <c r="E12">
        <v>22.2</v>
      </c>
      <c r="F12">
        <v>19</v>
      </c>
      <c r="G12">
        <v>29.8</v>
      </c>
      <c r="H12">
        <v>5</v>
      </c>
      <c r="I12" t="s">
        <v>54</v>
      </c>
      <c r="J12" s="3">
        <v>55.37</v>
      </c>
      <c r="K12" s="3">
        <v>19.496666666666702</v>
      </c>
      <c r="L12" t="s">
        <v>37</v>
      </c>
      <c r="M12" t="str">
        <f>IF(N12=1,"DEN",IF(O12=1,"SWE",IF(P12=1,"POL",IF(Q12=1,"LAT",IF(R12=1,"EST",IF(S12=1,"GER",IF(T12=1,"LTU",IF(U12=1,"RUS","No one"))))))))</f>
        <v>No one</v>
      </c>
      <c r="V12">
        <f t="shared" si="1"/>
        <v>0</v>
      </c>
    </row>
    <row r="13" spans="1:22" x14ac:dyDescent="0.25">
      <c r="A13">
        <v>26111</v>
      </c>
      <c r="B13" t="s">
        <v>63</v>
      </c>
      <c r="C13">
        <v>26</v>
      </c>
      <c r="D13">
        <v>55</v>
      </c>
      <c r="E13">
        <v>35</v>
      </c>
      <c r="F13">
        <v>19</v>
      </c>
      <c r="G13">
        <v>2.5</v>
      </c>
      <c r="H13">
        <v>5</v>
      </c>
      <c r="I13" t="s">
        <v>54</v>
      </c>
      <c r="J13" s="3">
        <v>55.5833333333333</v>
      </c>
      <c r="K13" s="3">
        <v>19.0416666666667</v>
      </c>
      <c r="L13" t="s">
        <v>37</v>
      </c>
      <c r="M13" t="str">
        <f t="shared" si="0"/>
        <v>RUS</v>
      </c>
      <c r="U13">
        <v>1</v>
      </c>
      <c r="V13">
        <f t="shared" si="1"/>
        <v>1</v>
      </c>
    </row>
    <row r="14" spans="1:22" x14ac:dyDescent="0.25">
      <c r="A14">
        <v>26130</v>
      </c>
      <c r="B14" t="s">
        <v>59</v>
      </c>
      <c r="C14">
        <v>26</v>
      </c>
      <c r="D14">
        <v>54</v>
      </c>
      <c r="E14">
        <v>48.1</v>
      </c>
      <c r="F14">
        <v>19</v>
      </c>
      <c r="G14">
        <v>21.9</v>
      </c>
      <c r="H14">
        <v>6</v>
      </c>
      <c r="I14" t="s">
        <v>54</v>
      </c>
      <c r="J14" s="3">
        <v>54.801666666666698</v>
      </c>
      <c r="K14" s="3">
        <v>19.364999999999998</v>
      </c>
      <c r="L14" t="s">
        <v>37</v>
      </c>
      <c r="M14" t="str">
        <f t="shared" si="0"/>
        <v>RUS</v>
      </c>
      <c r="U14">
        <v>1</v>
      </c>
      <c r="V14">
        <f t="shared" si="1"/>
        <v>1</v>
      </c>
    </row>
    <row r="15" spans="1:22" x14ac:dyDescent="0.25">
      <c r="A15">
        <v>26147</v>
      </c>
      <c r="B15" t="s">
        <v>59</v>
      </c>
      <c r="C15">
        <v>26</v>
      </c>
      <c r="D15">
        <v>55</v>
      </c>
      <c r="E15">
        <v>2</v>
      </c>
      <c r="F15">
        <v>19</v>
      </c>
      <c r="G15">
        <v>29</v>
      </c>
      <c r="H15">
        <v>5</v>
      </c>
      <c r="I15" t="s">
        <v>54</v>
      </c>
      <c r="J15" s="3">
        <v>55.033333333333303</v>
      </c>
      <c r="K15" s="3">
        <v>19.483333333333299</v>
      </c>
      <c r="L15" t="s">
        <v>37</v>
      </c>
      <c r="M15" t="str">
        <f t="shared" si="0"/>
        <v>RUS</v>
      </c>
      <c r="U15">
        <v>1</v>
      </c>
      <c r="V15">
        <f t="shared" si="1"/>
        <v>1</v>
      </c>
    </row>
    <row r="16" spans="1:22" x14ac:dyDescent="0.25">
      <c r="A16">
        <v>26150</v>
      </c>
      <c r="B16" t="s">
        <v>53</v>
      </c>
      <c r="C16">
        <v>26</v>
      </c>
      <c r="D16">
        <v>55</v>
      </c>
      <c r="E16">
        <v>3.5</v>
      </c>
      <c r="F16">
        <v>20</v>
      </c>
      <c r="G16">
        <v>33.5</v>
      </c>
      <c r="H16">
        <v>2</v>
      </c>
      <c r="I16" t="s">
        <v>54</v>
      </c>
      <c r="J16" s="3">
        <v>55.058333333333302</v>
      </c>
      <c r="K16" s="3">
        <v>20.558333333333302</v>
      </c>
      <c r="L16" t="s">
        <v>37</v>
      </c>
      <c r="M16" t="str">
        <f t="shared" si="0"/>
        <v>RUS</v>
      </c>
      <c r="U16">
        <v>1</v>
      </c>
      <c r="V16">
        <f t="shared" si="1"/>
        <v>1</v>
      </c>
    </row>
    <row r="17" spans="1:22" x14ac:dyDescent="0.25">
      <c r="A17">
        <v>26156</v>
      </c>
      <c r="B17" t="s">
        <v>63</v>
      </c>
      <c r="C17">
        <v>26</v>
      </c>
      <c r="D17">
        <v>55</v>
      </c>
      <c r="E17">
        <v>35.5</v>
      </c>
      <c r="F17">
        <v>19</v>
      </c>
      <c r="G17">
        <v>50.7</v>
      </c>
      <c r="H17">
        <v>5</v>
      </c>
      <c r="I17" t="s">
        <v>54</v>
      </c>
      <c r="J17" s="3">
        <v>55.591666666666697</v>
      </c>
      <c r="K17" s="3">
        <v>19.844999999999999</v>
      </c>
      <c r="L17" t="s">
        <v>37</v>
      </c>
      <c r="M17" t="str">
        <f t="shared" si="0"/>
        <v>RUS</v>
      </c>
      <c r="U17">
        <v>1</v>
      </c>
      <c r="V17">
        <f t="shared" si="1"/>
        <v>1</v>
      </c>
    </row>
    <row r="18" spans="1:22" x14ac:dyDescent="0.25">
      <c r="A18">
        <v>26291</v>
      </c>
      <c r="B18" t="s">
        <v>52</v>
      </c>
      <c r="C18">
        <v>26</v>
      </c>
      <c r="D18">
        <v>54</v>
      </c>
      <c r="E18">
        <v>49.8</v>
      </c>
      <c r="F18">
        <v>19</v>
      </c>
      <c r="G18">
        <v>20.399999999999999</v>
      </c>
      <c r="H18">
        <v>6</v>
      </c>
      <c r="I18" t="s">
        <v>54</v>
      </c>
      <c r="J18" s="3">
        <v>54.83</v>
      </c>
      <c r="K18" s="3">
        <v>19.34</v>
      </c>
      <c r="L18" t="s">
        <v>37</v>
      </c>
      <c r="M18" t="str">
        <f t="shared" si="0"/>
        <v>RUS</v>
      </c>
      <c r="U18">
        <v>1</v>
      </c>
      <c r="V18">
        <f t="shared" si="1"/>
        <v>1</v>
      </c>
    </row>
    <row r="19" spans="1:22" x14ac:dyDescent="0.25">
      <c r="A19">
        <v>22013</v>
      </c>
      <c r="B19" t="s">
        <v>18</v>
      </c>
      <c r="C19">
        <v>22</v>
      </c>
      <c r="D19">
        <v>54</v>
      </c>
      <c r="E19">
        <v>31.38</v>
      </c>
      <c r="F19">
        <v>11</v>
      </c>
      <c r="G19">
        <v>19.27</v>
      </c>
      <c r="H19">
        <v>2</v>
      </c>
      <c r="I19" t="s">
        <v>13</v>
      </c>
      <c r="J19" s="3">
        <v>54.523000000000003</v>
      </c>
      <c r="K19" s="3">
        <v>11.3211666666667</v>
      </c>
      <c r="L19" t="s">
        <v>14</v>
      </c>
      <c r="M19" t="str">
        <f t="shared" ref="M19:M82" si="2">IF(N19=1,"DEN",IF(O19=1,"SWE",IF(P19=1,"POL",IF(Q19=1,"LAT",IF(R19=1,"EST",IF(S19=1,"GER",IF(T19=1,"LTU",IF(U19=1,"RUS",""))))))))</f>
        <v>DEN</v>
      </c>
      <c r="N19">
        <v>1</v>
      </c>
      <c r="V19">
        <f t="shared" si="1"/>
        <v>1</v>
      </c>
    </row>
    <row r="20" spans="1:22" x14ac:dyDescent="0.25">
      <c r="A20">
        <v>22058</v>
      </c>
      <c r="B20" t="s">
        <v>12</v>
      </c>
      <c r="C20">
        <v>22</v>
      </c>
      <c r="D20">
        <v>54</v>
      </c>
      <c r="E20">
        <v>27.17</v>
      </c>
      <c r="F20">
        <v>11</v>
      </c>
      <c r="G20">
        <v>25.18</v>
      </c>
      <c r="H20">
        <v>2</v>
      </c>
      <c r="I20" t="s">
        <v>13</v>
      </c>
      <c r="J20" s="3">
        <v>54.452833333333302</v>
      </c>
      <c r="K20" s="3">
        <v>11.4196666666667</v>
      </c>
      <c r="L20" t="s">
        <v>14</v>
      </c>
      <c r="M20" t="str">
        <f t="shared" si="2"/>
        <v>DEN</v>
      </c>
      <c r="N20">
        <v>1</v>
      </c>
      <c r="V20">
        <f t="shared" si="1"/>
        <v>1</v>
      </c>
    </row>
    <row r="21" spans="1:22" x14ac:dyDescent="0.25">
      <c r="A21">
        <v>22065</v>
      </c>
      <c r="B21" t="s">
        <v>17</v>
      </c>
      <c r="C21">
        <v>22</v>
      </c>
      <c r="D21">
        <v>54</v>
      </c>
      <c r="E21">
        <v>36.4</v>
      </c>
      <c r="F21">
        <v>10</v>
      </c>
      <c r="G21">
        <v>38.58</v>
      </c>
      <c r="H21">
        <v>2</v>
      </c>
      <c r="I21" t="s">
        <v>16</v>
      </c>
      <c r="J21" s="3">
        <v>54.606666666666698</v>
      </c>
      <c r="K21" s="3">
        <v>10.643000000000001</v>
      </c>
      <c r="L21" t="s">
        <v>14</v>
      </c>
      <c r="M21" t="str">
        <f t="shared" si="2"/>
        <v>DEN</v>
      </c>
      <c r="N21">
        <v>1</v>
      </c>
      <c r="V21">
        <f t="shared" si="1"/>
        <v>1</v>
      </c>
    </row>
    <row r="22" spans="1:22" x14ac:dyDescent="0.25">
      <c r="A22">
        <v>22072</v>
      </c>
      <c r="B22" t="s">
        <v>18</v>
      </c>
      <c r="C22">
        <v>22</v>
      </c>
      <c r="D22">
        <v>54</v>
      </c>
      <c r="E22">
        <v>33.53</v>
      </c>
      <c r="F22">
        <v>11</v>
      </c>
      <c r="G22">
        <v>21.74</v>
      </c>
      <c r="H22">
        <v>2</v>
      </c>
      <c r="I22" t="s">
        <v>16</v>
      </c>
      <c r="J22" s="3">
        <v>54.558833333333297</v>
      </c>
      <c r="K22" s="3">
        <v>11.3623333333333</v>
      </c>
      <c r="L22" t="s">
        <v>14</v>
      </c>
      <c r="M22" t="str">
        <f t="shared" si="2"/>
        <v>DEN</v>
      </c>
      <c r="N22">
        <v>1</v>
      </c>
      <c r="V22">
        <f t="shared" si="1"/>
        <v>1</v>
      </c>
    </row>
    <row r="23" spans="1:22" x14ac:dyDescent="0.25">
      <c r="A23">
        <v>22077</v>
      </c>
      <c r="B23" t="s">
        <v>17</v>
      </c>
      <c r="C23">
        <v>22</v>
      </c>
      <c r="D23">
        <v>54</v>
      </c>
      <c r="E23">
        <v>41.63</v>
      </c>
      <c r="F23">
        <v>10</v>
      </c>
      <c r="G23">
        <v>19.45</v>
      </c>
      <c r="H23">
        <v>2</v>
      </c>
      <c r="I23" t="s">
        <v>16</v>
      </c>
      <c r="J23" s="3">
        <v>54.693833333333302</v>
      </c>
      <c r="K23" s="3">
        <v>10.3241666666667</v>
      </c>
      <c r="L23" t="s">
        <v>14</v>
      </c>
      <c r="M23" t="str">
        <f t="shared" si="2"/>
        <v>DEN</v>
      </c>
      <c r="N23">
        <v>1</v>
      </c>
      <c r="V23">
        <f t="shared" si="1"/>
        <v>1</v>
      </c>
    </row>
    <row r="24" spans="1:22" x14ac:dyDescent="0.25">
      <c r="A24">
        <v>22079</v>
      </c>
      <c r="B24" t="s">
        <v>17</v>
      </c>
      <c r="C24">
        <v>22</v>
      </c>
      <c r="D24">
        <v>54</v>
      </c>
      <c r="E24">
        <v>59.72</v>
      </c>
      <c r="F24">
        <v>10</v>
      </c>
      <c r="G24">
        <v>1.41</v>
      </c>
      <c r="H24">
        <v>2</v>
      </c>
      <c r="I24" t="s">
        <v>16</v>
      </c>
      <c r="J24" s="3">
        <v>54.995333333333299</v>
      </c>
      <c r="K24" s="3">
        <v>10.0235</v>
      </c>
      <c r="L24" t="s">
        <v>14</v>
      </c>
      <c r="M24" t="str">
        <f t="shared" si="2"/>
        <v>DEN</v>
      </c>
      <c r="N24">
        <v>1</v>
      </c>
      <c r="V24">
        <f t="shared" si="1"/>
        <v>1</v>
      </c>
    </row>
    <row r="25" spans="1:22" x14ac:dyDescent="0.25">
      <c r="A25">
        <v>22081</v>
      </c>
      <c r="B25" t="s">
        <v>19</v>
      </c>
      <c r="C25">
        <v>22</v>
      </c>
      <c r="D25">
        <v>55</v>
      </c>
      <c r="E25">
        <v>6.3</v>
      </c>
      <c r="F25">
        <v>9</v>
      </c>
      <c r="G25">
        <v>59.28</v>
      </c>
      <c r="H25">
        <v>2</v>
      </c>
      <c r="I25" t="s">
        <v>16</v>
      </c>
      <c r="J25" s="3">
        <v>55.104999999999997</v>
      </c>
      <c r="K25" s="3">
        <v>9.9879999999999995</v>
      </c>
      <c r="L25" t="s">
        <v>14</v>
      </c>
      <c r="M25" t="str">
        <f t="shared" si="2"/>
        <v>DEN</v>
      </c>
      <c r="N25">
        <v>1</v>
      </c>
      <c r="V25">
        <f t="shared" si="1"/>
        <v>1</v>
      </c>
    </row>
    <row r="26" spans="1:22" x14ac:dyDescent="0.25">
      <c r="A26">
        <v>22084</v>
      </c>
      <c r="B26" t="s">
        <v>20</v>
      </c>
      <c r="C26">
        <v>22</v>
      </c>
      <c r="D26">
        <v>55</v>
      </c>
      <c r="E26">
        <v>11.9</v>
      </c>
      <c r="F26">
        <v>11</v>
      </c>
      <c r="G26">
        <v>4.5999999999999996</v>
      </c>
      <c r="H26">
        <v>2</v>
      </c>
      <c r="I26" t="s">
        <v>16</v>
      </c>
      <c r="J26" s="3">
        <v>55.198333333333302</v>
      </c>
      <c r="K26" s="3">
        <v>11.0766666666667</v>
      </c>
      <c r="L26" t="s">
        <v>14</v>
      </c>
      <c r="M26" t="str">
        <f t="shared" si="2"/>
        <v>DEN</v>
      </c>
      <c r="N26">
        <v>1</v>
      </c>
      <c r="V26">
        <f t="shared" si="1"/>
        <v>1</v>
      </c>
    </row>
    <row r="27" spans="1:22" x14ac:dyDescent="0.25">
      <c r="A27">
        <v>22085</v>
      </c>
      <c r="B27" t="s">
        <v>21</v>
      </c>
      <c r="C27">
        <v>22</v>
      </c>
      <c r="D27">
        <v>55</v>
      </c>
      <c r="E27">
        <v>36.53</v>
      </c>
      <c r="F27">
        <v>10</v>
      </c>
      <c r="G27">
        <v>34.21</v>
      </c>
      <c r="H27">
        <v>2</v>
      </c>
      <c r="I27" t="s">
        <v>16</v>
      </c>
      <c r="J27" s="3">
        <v>55.608833333333301</v>
      </c>
      <c r="K27" s="3">
        <v>10.570166666666699</v>
      </c>
      <c r="L27" t="s">
        <v>14</v>
      </c>
      <c r="M27" t="str">
        <f t="shared" si="2"/>
        <v>DEN</v>
      </c>
      <c r="N27">
        <v>1</v>
      </c>
      <c r="V27">
        <f t="shared" si="1"/>
        <v>1</v>
      </c>
    </row>
    <row r="28" spans="1:22" x14ac:dyDescent="0.25">
      <c r="A28">
        <v>22089</v>
      </c>
      <c r="B28" t="s">
        <v>21</v>
      </c>
      <c r="C28">
        <v>22</v>
      </c>
      <c r="D28">
        <v>55</v>
      </c>
      <c r="E28">
        <v>41.7</v>
      </c>
      <c r="F28">
        <v>10</v>
      </c>
      <c r="G28">
        <v>13.2</v>
      </c>
      <c r="H28">
        <v>2</v>
      </c>
      <c r="I28" t="s">
        <v>16</v>
      </c>
      <c r="J28" s="3">
        <v>55.695</v>
      </c>
      <c r="K28" s="3">
        <v>10.220000000000001</v>
      </c>
      <c r="L28" t="s">
        <v>14</v>
      </c>
      <c r="M28" t="str">
        <f t="shared" si="2"/>
        <v>DEN</v>
      </c>
      <c r="N28">
        <v>1</v>
      </c>
      <c r="V28">
        <f t="shared" si="1"/>
        <v>1</v>
      </c>
    </row>
    <row r="29" spans="1:22" x14ac:dyDescent="0.25">
      <c r="A29">
        <v>22090</v>
      </c>
      <c r="B29" t="s">
        <v>21</v>
      </c>
      <c r="C29">
        <v>22</v>
      </c>
      <c r="D29">
        <v>55</v>
      </c>
      <c r="E29">
        <v>42.3</v>
      </c>
      <c r="F29">
        <v>10</v>
      </c>
      <c r="G29">
        <v>27.8</v>
      </c>
      <c r="H29">
        <v>2</v>
      </c>
      <c r="I29" t="s">
        <v>16</v>
      </c>
      <c r="J29" s="3">
        <v>55.704999999999998</v>
      </c>
      <c r="K29" s="3">
        <v>10.463333333333299</v>
      </c>
      <c r="L29" t="s">
        <v>14</v>
      </c>
      <c r="M29" t="str">
        <f t="shared" si="2"/>
        <v>DEN</v>
      </c>
      <c r="N29">
        <v>1</v>
      </c>
      <c r="V29">
        <f t="shared" si="1"/>
        <v>1</v>
      </c>
    </row>
    <row r="30" spans="1:22" x14ac:dyDescent="0.25">
      <c r="A30">
        <v>22092</v>
      </c>
      <c r="B30" t="s">
        <v>21</v>
      </c>
      <c r="C30">
        <v>22</v>
      </c>
      <c r="D30">
        <v>55</v>
      </c>
      <c r="E30">
        <v>49.8</v>
      </c>
      <c r="F30">
        <v>10</v>
      </c>
      <c r="G30">
        <v>49.2</v>
      </c>
      <c r="H30">
        <v>2</v>
      </c>
      <c r="I30" t="s">
        <v>16</v>
      </c>
      <c r="J30" s="3">
        <v>55.83</v>
      </c>
      <c r="K30" s="3">
        <v>10.82</v>
      </c>
      <c r="L30" t="s">
        <v>14</v>
      </c>
      <c r="M30" t="str">
        <f t="shared" si="2"/>
        <v>DEN</v>
      </c>
      <c r="N30">
        <v>1</v>
      </c>
      <c r="V30">
        <f t="shared" si="1"/>
        <v>1</v>
      </c>
    </row>
    <row r="31" spans="1:22" x14ac:dyDescent="0.25">
      <c r="A31">
        <v>22094</v>
      </c>
      <c r="B31" t="s">
        <v>22</v>
      </c>
      <c r="C31">
        <v>22</v>
      </c>
      <c r="D31">
        <v>56</v>
      </c>
      <c r="E31">
        <v>2.6</v>
      </c>
      <c r="F31">
        <v>10</v>
      </c>
      <c r="G31">
        <v>55.6</v>
      </c>
      <c r="H31">
        <v>2</v>
      </c>
      <c r="I31" t="s">
        <v>16</v>
      </c>
      <c r="J31" s="3">
        <v>56.043333333333301</v>
      </c>
      <c r="K31" s="3">
        <v>10.9266666666667</v>
      </c>
      <c r="L31" t="s">
        <v>14</v>
      </c>
      <c r="M31" t="str">
        <f t="shared" si="2"/>
        <v>DEN</v>
      </c>
      <c r="N31">
        <v>1</v>
      </c>
      <c r="V31">
        <f t="shared" si="1"/>
        <v>1</v>
      </c>
    </row>
    <row r="32" spans="1:22" x14ac:dyDescent="0.25">
      <c r="A32">
        <v>22100</v>
      </c>
      <c r="B32" t="s">
        <v>21</v>
      </c>
      <c r="C32">
        <v>22</v>
      </c>
      <c r="D32">
        <v>55</v>
      </c>
      <c r="E32">
        <v>42.9</v>
      </c>
      <c r="F32">
        <v>10</v>
      </c>
      <c r="G32">
        <v>47.2</v>
      </c>
      <c r="H32">
        <v>3</v>
      </c>
      <c r="I32" t="s">
        <v>16</v>
      </c>
      <c r="J32" s="3">
        <v>55.715000000000003</v>
      </c>
      <c r="K32" s="3">
        <v>10.786666666666701</v>
      </c>
      <c r="L32" t="s">
        <v>14</v>
      </c>
      <c r="M32" t="str">
        <f t="shared" si="2"/>
        <v>DEN</v>
      </c>
      <c r="N32">
        <v>1</v>
      </c>
      <c r="V32">
        <f t="shared" si="1"/>
        <v>1</v>
      </c>
    </row>
    <row r="33" spans="1:22" x14ac:dyDescent="0.25">
      <c r="A33">
        <v>22103</v>
      </c>
      <c r="B33" t="s">
        <v>20</v>
      </c>
      <c r="C33">
        <v>22</v>
      </c>
      <c r="D33">
        <v>55</v>
      </c>
      <c r="E33">
        <v>4.62</v>
      </c>
      <c r="F33">
        <v>11</v>
      </c>
      <c r="G33">
        <v>16.37</v>
      </c>
      <c r="H33">
        <v>2</v>
      </c>
      <c r="I33" t="s">
        <v>16</v>
      </c>
      <c r="J33" s="3">
        <v>55.076999999999998</v>
      </c>
      <c r="K33" s="3">
        <v>11.272833333333301</v>
      </c>
      <c r="L33" t="s">
        <v>14</v>
      </c>
      <c r="M33" t="str">
        <f t="shared" si="2"/>
        <v>DEN</v>
      </c>
      <c r="N33">
        <v>1</v>
      </c>
      <c r="V33">
        <f t="shared" si="1"/>
        <v>1</v>
      </c>
    </row>
    <row r="34" spans="1:22" x14ac:dyDescent="0.25">
      <c r="A34">
        <v>22104</v>
      </c>
      <c r="B34" t="s">
        <v>21</v>
      </c>
      <c r="C34">
        <v>22</v>
      </c>
      <c r="D34">
        <v>55</v>
      </c>
      <c r="E34">
        <v>34.450000000000003</v>
      </c>
      <c r="F34">
        <v>10</v>
      </c>
      <c r="G34">
        <v>36.67</v>
      </c>
      <c r="H34">
        <v>2</v>
      </c>
      <c r="I34" t="s">
        <v>16</v>
      </c>
      <c r="J34" s="3">
        <v>55.574166666666699</v>
      </c>
      <c r="K34" s="3">
        <v>10.611166666666699</v>
      </c>
      <c r="L34" t="s">
        <v>14</v>
      </c>
      <c r="M34" t="str">
        <f t="shared" si="2"/>
        <v>DEN</v>
      </c>
      <c r="N34">
        <v>1</v>
      </c>
      <c r="V34">
        <f t="shared" si="1"/>
        <v>1</v>
      </c>
    </row>
    <row r="35" spans="1:22" x14ac:dyDescent="0.25">
      <c r="A35">
        <v>22111</v>
      </c>
      <c r="B35" t="s">
        <v>17</v>
      </c>
      <c r="C35">
        <v>22</v>
      </c>
      <c r="D35">
        <v>54</v>
      </c>
      <c r="E35">
        <v>54.83</v>
      </c>
      <c r="F35">
        <v>10</v>
      </c>
      <c r="G35">
        <v>3.2</v>
      </c>
      <c r="H35">
        <v>2</v>
      </c>
      <c r="I35" t="s">
        <v>16</v>
      </c>
      <c r="J35" s="3">
        <v>54.913833333333301</v>
      </c>
      <c r="K35" s="3">
        <v>10.053333333333301</v>
      </c>
      <c r="L35" t="s">
        <v>14</v>
      </c>
      <c r="M35" t="str">
        <f t="shared" si="2"/>
        <v>DEN</v>
      </c>
      <c r="N35">
        <v>1</v>
      </c>
      <c r="V35">
        <f t="shared" si="1"/>
        <v>1</v>
      </c>
    </row>
    <row r="36" spans="1:22" x14ac:dyDescent="0.25">
      <c r="A36">
        <v>22117</v>
      </c>
      <c r="B36" t="s">
        <v>21</v>
      </c>
      <c r="C36">
        <v>22</v>
      </c>
      <c r="D36">
        <v>55</v>
      </c>
      <c r="E36">
        <v>30.3</v>
      </c>
      <c r="F36">
        <v>10</v>
      </c>
      <c r="G36">
        <v>41.58</v>
      </c>
      <c r="H36">
        <v>2</v>
      </c>
      <c r="I36" t="s">
        <v>16</v>
      </c>
      <c r="J36" s="3">
        <v>55.505000000000003</v>
      </c>
      <c r="K36" s="3">
        <v>10.693</v>
      </c>
      <c r="L36" t="s">
        <v>14</v>
      </c>
      <c r="M36" t="str">
        <f t="shared" si="2"/>
        <v>DEN</v>
      </c>
      <c r="N36">
        <v>1</v>
      </c>
      <c r="V36">
        <f t="shared" si="1"/>
        <v>1</v>
      </c>
    </row>
    <row r="37" spans="1:22" x14ac:dyDescent="0.25">
      <c r="A37">
        <v>22121</v>
      </c>
      <c r="B37" t="s">
        <v>18</v>
      </c>
      <c r="C37">
        <v>22</v>
      </c>
      <c r="D37">
        <v>54</v>
      </c>
      <c r="E37">
        <v>59.42</v>
      </c>
      <c r="F37">
        <v>11</v>
      </c>
      <c r="G37">
        <v>6.97</v>
      </c>
      <c r="H37">
        <v>2</v>
      </c>
      <c r="I37" t="s">
        <v>16</v>
      </c>
      <c r="J37" s="3">
        <v>54.990333333333297</v>
      </c>
      <c r="K37" s="3">
        <v>11.1161666666667</v>
      </c>
      <c r="L37" t="s">
        <v>14</v>
      </c>
      <c r="M37" t="str">
        <f t="shared" si="2"/>
        <v>DEN</v>
      </c>
      <c r="N37">
        <v>1</v>
      </c>
      <c r="V37">
        <f t="shared" si="1"/>
        <v>1</v>
      </c>
    </row>
    <row r="38" spans="1:22" x14ac:dyDescent="0.25">
      <c r="A38">
        <v>22122</v>
      </c>
      <c r="B38" t="s">
        <v>23</v>
      </c>
      <c r="C38">
        <v>22</v>
      </c>
      <c r="D38">
        <v>55</v>
      </c>
      <c r="E38">
        <v>28.23</v>
      </c>
      <c r="F38">
        <v>10</v>
      </c>
      <c r="G38">
        <v>44.04</v>
      </c>
      <c r="H38">
        <v>2</v>
      </c>
      <c r="I38" t="s">
        <v>16</v>
      </c>
      <c r="J38" s="3">
        <v>55.470500000000001</v>
      </c>
      <c r="K38" s="3">
        <v>10.734</v>
      </c>
      <c r="L38" t="s">
        <v>14</v>
      </c>
      <c r="M38" t="str">
        <f t="shared" si="2"/>
        <v>DEN</v>
      </c>
      <c r="N38">
        <v>1</v>
      </c>
      <c r="V38">
        <f t="shared" si="1"/>
        <v>1</v>
      </c>
    </row>
    <row r="39" spans="1:22" x14ac:dyDescent="0.25">
      <c r="A39">
        <v>22128</v>
      </c>
      <c r="B39" t="s">
        <v>24</v>
      </c>
      <c r="C39">
        <v>22</v>
      </c>
      <c r="D39">
        <v>54</v>
      </c>
      <c r="E39">
        <v>57.66</v>
      </c>
      <c r="F39">
        <v>9</v>
      </c>
      <c r="G39">
        <v>47.5</v>
      </c>
      <c r="H39">
        <v>2</v>
      </c>
      <c r="I39" t="s">
        <v>16</v>
      </c>
      <c r="J39" s="3">
        <v>54.960999999999999</v>
      </c>
      <c r="K39" s="3">
        <v>9.7916666666666696</v>
      </c>
      <c r="L39" t="s">
        <v>14</v>
      </c>
      <c r="M39" t="str">
        <f t="shared" si="2"/>
        <v>DEN</v>
      </c>
      <c r="N39">
        <v>1</v>
      </c>
      <c r="V39">
        <f t="shared" si="1"/>
        <v>1</v>
      </c>
    </row>
    <row r="40" spans="1:22" x14ac:dyDescent="0.25">
      <c r="A40">
        <v>22129</v>
      </c>
      <c r="B40" t="s">
        <v>17</v>
      </c>
      <c r="C40">
        <v>22</v>
      </c>
      <c r="D40">
        <v>54</v>
      </c>
      <c r="E40">
        <v>54.21</v>
      </c>
      <c r="F40">
        <v>10</v>
      </c>
      <c r="G40">
        <v>57.57</v>
      </c>
      <c r="H40">
        <v>2</v>
      </c>
      <c r="I40" t="s">
        <v>16</v>
      </c>
      <c r="J40" s="3">
        <v>54.903500000000001</v>
      </c>
      <c r="K40" s="3">
        <v>10.9595</v>
      </c>
      <c r="L40" t="s">
        <v>14</v>
      </c>
      <c r="M40" t="str">
        <f t="shared" si="2"/>
        <v>DEN</v>
      </c>
      <c r="N40">
        <v>1</v>
      </c>
      <c r="V40">
        <f t="shared" si="1"/>
        <v>1</v>
      </c>
    </row>
    <row r="41" spans="1:22" x14ac:dyDescent="0.25">
      <c r="A41">
        <v>22130</v>
      </c>
      <c r="B41" t="s">
        <v>23</v>
      </c>
      <c r="C41">
        <v>22</v>
      </c>
      <c r="D41">
        <v>55</v>
      </c>
      <c r="E41">
        <v>19.93</v>
      </c>
      <c r="F41">
        <v>10</v>
      </c>
      <c r="G41">
        <v>53.86</v>
      </c>
      <c r="H41">
        <v>2</v>
      </c>
      <c r="I41" t="s">
        <v>16</v>
      </c>
      <c r="J41" s="3">
        <v>55.332166666666701</v>
      </c>
      <c r="K41" s="3">
        <v>10.8976666666667</v>
      </c>
      <c r="L41" t="s">
        <v>14</v>
      </c>
      <c r="M41" t="str">
        <f t="shared" si="2"/>
        <v>DEN</v>
      </c>
      <c r="N41">
        <v>1</v>
      </c>
      <c r="V41">
        <f t="shared" si="1"/>
        <v>1</v>
      </c>
    </row>
    <row r="42" spans="1:22" x14ac:dyDescent="0.25">
      <c r="A42">
        <v>22134</v>
      </c>
      <c r="B42" t="s">
        <v>17</v>
      </c>
      <c r="C42">
        <v>22</v>
      </c>
      <c r="D42">
        <v>54</v>
      </c>
      <c r="E42">
        <v>33.125999999999998</v>
      </c>
      <c r="F42">
        <v>10</v>
      </c>
      <c r="G42">
        <v>46.27</v>
      </c>
      <c r="H42">
        <v>2</v>
      </c>
      <c r="I42" t="s">
        <v>13</v>
      </c>
      <c r="J42" s="3">
        <v>54.552100000000003</v>
      </c>
      <c r="K42" s="3">
        <v>10.7711666666667</v>
      </c>
      <c r="L42" t="s">
        <v>14</v>
      </c>
      <c r="M42" t="str">
        <f t="shared" si="2"/>
        <v>DEN</v>
      </c>
      <c r="N42">
        <v>1</v>
      </c>
      <c r="V42">
        <f t="shared" si="1"/>
        <v>1</v>
      </c>
    </row>
    <row r="43" spans="1:22" x14ac:dyDescent="0.25">
      <c r="A43">
        <v>22135</v>
      </c>
      <c r="B43" t="s">
        <v>18</v>
      </c>
      <c r="C43">
        <v>22</v>
      </c>
      <c r="D43">
        <v>54</v>
      </c>
      <c r="E43">
        <v>37.4</v>
      </c>
      <c r="F43">
        <v>11</v>
      </c>
      <c r="G43">
        <v>5</v>
      </c>
      <c r="H43">
        <v>2</v>
      </c>
      <c r="I43" t="s">
        <v>13</v>
      </c>
      <c r="J43" s="3">
        <v>54.623333333333299</v>
      </c>
      <c r="K43" s="3">
        <v>11.0833333333333</v>
      </c>
      <c r="L43" t="s">
        <v>14</v>
      </c>
      <c r="M43" t="str">
        <f t="shared" si="2"/>
        <v>DEN</v>
      </c>
      <c r="N43">
        <v>1</v>
      </c>
      <c r="V43">
        <f t="shared" si="1"/>
        <v>1</v>
      </c>
    </row>
    <row r="44" spans="1:22" x14ac:dyDescent="0.25">
      <c r="A44">
        <v>22138</v>
      </c>
      <c r="B44" t="s">
        <v>17</v>
      </c>
      <c r="C44">
        <v>22</v>
      </c>
      <c r="D44">
        <v>54</v>
      </c>
      <c r="E44">
        <v>46.8</v>
      </c>
      <c r="F44">
        <v>10</v>
      </c>
      <c r="G44">
        <v>25.3</v>
      </c>
      <c r="H44">
        <v>2</v>
      </c>
      <c r="I44" t="s">
        <v>16</v>
      </c>
      <c r="J44" s="3">
        <v>54.78</v>
      </c>
      <c r="K44" s="3">
        <v>10.421666666666701</v>
      </c>
      <c r="L44" t="s">
        <v>14</v>
      </c>
      <c r="M44" t="str">
        <f t="shared" si="2"/>
        <v>DEN</v>
      </c>
      <c r="N44">
        <v>1</v>
      </c>
      <c r="V44">
        <f t="shared" si="1"/>
        <v>1</v>
      </c>
    </row>
    <row r="45" spans="1:22" x14ac:dyDescent="0.25">
      <c r="A45">
        <v>22140</v>
      </c>
      <c r="B45" t="s">
        <v>12</v>
      </c>
      <c r="C45">
        <v>22</v>
      </c>
      <c r="D45">
        <v>54</v>
      </c>
      <c r="E45">
        <v>25.9</v>
      </c>
      <c r="F45">
        <v>11</v>
      </c>
      <c r="G45">
        <v>37</v>
      </c>
      <c r="H45">
        <v>2</v>
      </c>
      <c r="I45" t="s">
        <v>16</v>
      </c>
      <c r="J45" s="3">
        <v>54.4316666666667</v>
      </c>
      <c r="K45" s="3">
        <v>11.616666666666699</v>
      </c>
      <c r="L45" t="s">
        <v>14</v>
      </c>
      <c r="M45" t="str">
        <f t="shared" si="2"/>
        <v>DEN</v>
      </c>
      <c r="N45">
        <v>1</v>
      </c>
      <c r="V45">
        <f t="shared" si="1"/>
        <v>1</v>
      </c>
    </row>
    <row r="46" spans="1:22" x14ac:dyDescent="0.25">
      <c r="A46">
        <v>24055</v>
      </c>
      <c r="B46" t="s">
        <v>30</v>
      </c>
      <c r="C46">
        <v>24</v>
      </c>
      <c r="D46">
        <v>54</v>
      </c>
      <c r="E46">
        <v>34.159999999999997</v>
      </c>
      <c r="F46">
        <v>14</v>
      </c>
      <c r="G46">
        <v>43.13</v>
      </c>
      <c r="H46">
        <v>2</v>
      </c>
      <c r="I46" t="s">
        <v>31</v>
      </c>
      <c r="J46" s="3">
        <v>54.569333333333297</v>
      </c>
      <c r="K46" s="3">
        <v>14.718833333333301</v>
      </c>
      <c r="L46" t="s">
        <v>14</v>
      </c>
      <c r="M46" t="str">
        <f t="shared" si="2"/>
        <v>DEN</v>
      </c>
      <c r="N46">
        <v>1</v>
      </c>
      <c r="V46">
        <f t="shared" si="1"/>
        <v>1</v>
      </c>
    </row>
    <row r="47" spans="1:22" x14ac:dyDescent="0.25">
      <c r="A47">
        <v>25038</v>
      </c>
      <c r="B47" t="s">
        <v>42</v>
      </c>
      <c r="C47">
        <v>25</v>
      </c>
      <c r="D47">
        <v>56</v>
      </c>
      <c r="E47">
        <v>9</v>
      </c>
      <c r="F47">
        <v>17</v>
      </c>
      <c r="G47">
        <v>45</v>
      </c>
      <c r="H47">
        <v>3</v>
      </c>
      <c r="I47" t="s">
        <v>34</v>
      </c>
      <c r="J47" s="3">
        <v>56.15</v>
      </c>
      <c r="K47" s="3">
        <v>17.75</v>
      </c>
      <c r="L47" t="s">
        <v>37</v>
      </c>
      <c r="M47" t="str">
        <f t="shared" si="2"/>
        <v>DEN</v>
      </c>
      <c r="N47">
        <v>1</v>
      </c>
      <c r="V47">
        <f t="shared" si="1"/>
        <v>1</v>
      </c>
    </row>
    <row r="48" spans="1:22" x14ac:dyDescent="0.25">
      <c r="A48">
        <v>25100</v>
      </c>
      <c r="B48" t="s">
        <v>45</v>
      </c>
      <c r="C48">
        <v>25</v>
      </c>
      <c r="D48">
        <v>55</v>
      </c>
      <c r="E48">
        <v>38.200000000000003</v>
      </c>
      <c r="F48">
        <v>15</v>
      </c>
      <c r="G48">
        <v>6.2</v>
      </c>
      <c r="H48">
        <v>5</v>
      </c>
      <c r="I48" t="s">
        <v>16</v>
      </c>
      <c r="J48" s="3">
        <v>55.636666666666699</v>
      </c>
      <c r="K48" s="3">
        <v>15.1033333333333</v>
      </c>
      <c r="L48" t="s">
        <v>37</v>
      </c>
      <c r="M48" t="str">
        <f t="shared" si="2"/>
        <v>DEN</v>
      </c>
      <c r="N48">
        <v>1</v>
      </c>
      <c r="V48">
        <f t="shared" si="1"/>
        <v>1</v>
      </c>
    </row>
    <row r="49" spans="1:22" x14ac:dyDescent="0.25">
      <c r="A49">
        <v>25134</v>
      </c>
      <c r="B49" t="s">
        <v>46</v>
      </c>
      <c r="C49">
        <v>25</v>
      </c>
      <c r="D49">
        <v>55</v>
      </c>
      <c r="E49">
        <v>47.3</v>
      </c>
      <c r="F49">
        <v>16</v>
      </c>
      <c r="G49">
        <v>42</v>
      </c>
      <c r="H49">
        <v>3</v>
      </c>
      <c r="I49" t="s">
        <v>34</v>
      </c>
      <c r="J49" s="3">
        <v>55.788333333333298</v>
      </c>
      <c r="K49" s="3">
        <v>16.7</v>
      </c>
      <c r="L49" t="s">
        <v>37</v>
      </c>
      <c r="M49" t="str">
        <f t="shared" si="2"/>
        <v>DEN</v>
      </c>
      <c r="N49">
        <v>1</v>
      </c>
      <c r="V49">
        <f t="shared" si="1"/>
        <v>1</v>
      </c>
    </row>
    <row r="50" spans="1:22" x14ac:dyDescent="0.25">
      <c r="A50">
        <v>25136</v>
      </c>
      <c r="B50" t="s">
        <v>47</v>
      </c>
      <c r="C50">
        <v>25</v>
      </c>
      <c r="D50">
        <v>55</v>
      </c>
      <c r="E50">
        <v>46.6</v>
      </c>
      <c r="F50">
        <v>17</v>
      </c>
      <c r="G50">
        <v>42</v>
      </c>
      <c r="H50">
        <v>3</v>
      </c>
      <c r="I50" t="s">
        <v>34</v>
      </c>
      <c r="J50" s="3">
        <v>55.776666666666699</v>
      </c>
      <c r="K50" s="3">
        <v>17.7</v>
      </c>
      <c r="L50" t="s">
        <v>37</v>
      </c>
      <c r="M50" t="str">
        <f t="shared" si="2"/>
        <v>DEN</v>
      </c>
      <c r="N50">
        <v>1</v>
      </c>
      <c r="V50">
        <f t="shared" si="1"/>
        <v>1</v>
      </c>
    </row>
    <row r="51" spans="1:22" x14ac:dyDescent="0.25">
      <c r="A51">
        <v>25145</v>
      </c>
      <c r="B51" t="s">
        <v>46</v>
      </c>
      <c r="C51">
        <v>25</v>
      </c>
      <c r="D51">
        <v>55</v>
      </c>
      <c r="E51">
        <v>50.1</v>
      </c>
      <c r="F51">
        <v>16</v>
      </c>
      <c r="G51">
        <v>12.3</v>
      </c>
      <c r="H51">
        <v>3</v>
      </c>
      <c r="I51" t="s">
        <v>34</v>
      </c>
      <c r="J51" s="3">
        <v>55.835000000000001</v>
      </c>
      <c r="K51" s="3">
        <v>16.204999999999998</v>
      </c>
      <c r="L51" t="s">
        <v>37</v>
      </c>
      <c r="M51" t="str">
        <f t="shared" si="2"/>
        <v>DEN</v>
      </c>
      <c r="N51">
        <v>1</v>
      </c>
      <c r="V51">
        <f t="shared" si="1"/>
        <v>1</v>
      </c>
    </row>
    <row r="52" spans="1:22" x14ac:dyDescent="0.25">
      <c r="A52">
        <v>25177</v>
      </c>
      <c r="B52" t="s">
        <v>43</v>
      </c>
      <c r="C52">
        <v>25</v>
      </c>
      <c r="D52">
        <v>54</v>
      </c>
      <c r="E52">
        <v>46.3</v>
      </c>
      <c r="F52">
        <v>15</v>
      </c>
      <c r="G52">
        <v>17.3</v>
      </c>
      <c r="H52">
        <v>4</v>
      </c>
      <c r="I52" t="s">
        <v>31</v>
      </c>
      <c r="J52" s="3">
        <v>54.771666666666697</v>
      </c>
      <c r="K52" s="3">
        <v>15.2883333333333</v>
      </c>
      <c r="L52" t="s">
        <v>37</v>
      </c>
      <c r="M52" t="str">
        <f t="shared" si="2"/>
        <v>DEN</v>
      </c>
      <c r="N52">
        <v>1</v>
      </c>
      <c r="V52">
        <f t="shared" si="1"/>
        <v>1</v>
      </c>
    </row>
    <row r="53" spans="1:22" x14ac:dyDescent="0.25">
      <c r="A53">
        <v>25192</v>
      </c>
      <c r="B53" t="s">
        <v>43</v>
      </c>
      <c r="C53">
        <v>25</v>
      </c>
      <c r="D53">
        <v>54</v>
      </c>
      <c r="E53">
        <v>50</v>
      </c>
      <c r="F53">
        <v>15</v>
      </c>
      <c r="G53">
        <v>36</v>
      </c>
      <c r="H53">
        <v>5</v>
      </c>
      <c r="I53" t="s">
        <v>31</v>
      </c>
      <c r="J53" s="3">
        <v>54.8333333333333</v>
      </c>
      <c r="K53" s="3">
        <v>15.6</v>
      </c>
      <c r="L53" t="s">
        <v>37</v>
      </c>
      <c r="M53" t="str">
        <f t="shared" si="2"/>
        <v>DEN</v>
      </c>
      <c r="N53">
        <v>1</v>
      </c>
      <c r="V53">
        <f t="shared" si="1"/>
        <v>1</v>
      </c>
    </row>
    <row r="54" spans="1:22" x14ac:dyDescent="0.25">
      <c r="A54">
        <v>25193</v>
      </c>
      <c r="B54" t="s">
        <v>43</v>
      </c>
      <c r="C54">
        <v>25</v>
      </c>
      <c r="D54">
        <v>54</v>
      </c>
      <c r="E54">
        <v>51</v>
      </c>
      <c r="F54">
        <v>15</v>
      </c>
      <c r="G54">
        <v>41.4</v>
      </c>
      <c r="H54">
        <v>4</v>
      </c>
      <c r="I54" t="s">
        <v>31</v>
      </c>
      <c r="J54" s="3">
        <v>54.85</v>
      </c>
      <c r="K54" s="3">
        <v>15.69</v>
      </c>
      <c r="L54" t="s">
        <v>37</v>
      </c>
      <c r="M54" t="str">
        <f t="shared" si="2"/>
        <v>DEN</v>
      </c>
      <c r="N54">
        <v>1</v>
      </c>
      <c r="V54">
        <f t="shared" si="1"/>
        <v>1</v>
      </c>
    </row>
    <row r="55" spans="1:22" x14ac:dyDescent="0.25">
      <c r="A55">
        <v>25205</v>
      </c>
      <c r="B55" t="s">
        <v>48</v>
      </c>
      <c r="C55">
        <v>25</v>
      </c>
      <c r="D55">
        <v>55</v>
      </c>
      <c r="E55">
        <v>5.6</v>
      </c>
      <c r="F55">
        <v>15</v>
      </c>
      <c r="G55">
        <v>33.1</v>
      </c>
      <c r="H55">
        <v>4</v>
      </c>
      <c r="I55" t="s">
        <v>31</v>
      </c>
      <c r="J55" s="3">
        <v>55.093333333333298</v>
      </c>
      <c r="K55" s="3">
        <v>15.5516666666667</v>
      </c>
      <c r="L55" t="s">
        <v>37</v>
      </c>
      <c r="M55" t="str">
        <f t="shared" si="2"/>
        <v>DEN</v>
      </c>
      <c r="N55">
        <v>1</v>
      </c>
      <c r="V55">
        <f t="shared" si="1"/>
        <v>1</v>
      </c>
    </row>
    <row r="56" spans="1:22" x14ac:dyDescent="0.25">
      <c r="A56">
        <v>25219</v>
      </c>
      <c r="B56" t="s">
        <v>48</v>
      </c>
      <c r="C56">
        <v>25</v>
      </c>
      <c r="D56">
        <v>55</v>
      </c>
      <c r="E56">
        <v>19.3</v>
      </c>
      <c r="F56">
        <v>15</v>
      </c>
      <c r="G56">
        <v>2.4</v>
      </c>
      <c r="H56">
        <v>4</v>
      </c>
      <c r="I56" t="s">
        <v>16</v>
      </c>
      <c r="J56" s="3">
        <v>55.321666666666701</v>
      </c>
      <c r="K56" s="3">
        <v>15.04</v>
      </c>
      <c r="L56" t="s">
        <v>37</v>
      </c>
      <c r="M56" t="str">
        <f t="shared" si="2"/>
        <v>DEN</v>
      </c>
      <c r="N56">
        <v>1</v>
      </c>
      <c r="V56">
        <f t="shared" si="1"/>
        <v>1</v>
      </c>
    </row>
    <row r="57" spans="1:22" x14ac:dyDescent="0.25">
      <c r="A57">
        <v>25235</v>
      </c>
      <c r="B57" t="s">
        <v>33</v>
      </c>
      <c r="C57">
        <v>25</v>
      </c>
      <c r="D57">
        <v>55</v>
      </c>
      <c r="E57">
        <v>29.1</v>
      </c>
      <c r="F57">
        <v>14</v>
      </c>
      <c r="G57">
        <v>46.3</v>
      </c>
      <c r="H57">
        <v>4</v>
      </c>
      <c r="I57" t="s">
        <v>16</v>
      </c>
      <c r="J57" s="3">
        <v>55.484999999999999</v>
      </c>
      <c r="K57" s="3">
        <v>14.7716666666667</v>
      </c>
      <c r="L57" t="s">
        <v>37</v>
      </c>
      <c r="M57" t="str">
        <f t="shared" si="2"/>
        <v>DEN</v>
      </c>
      <c r="N57">
        <v>1</v>
      </c>
      <c r="V57">
        <f t="shared" si="1"/>
        <v>1</v>
      </c>
    </row>
    <row r="58" spans="1:22" x14ac:dyDescent="0.25">
      <c r="A58">
        <v>25241</v>
      </c>
      <c r="B58" t="s">
        <v>48</v>
      </c>
      <c r="C58">
        <v>25</v>
      </c>
      <c r="D58">
        <v>55</v>
      </c>
      <c r="E58">
        <v>20.9</v>
      </c>
      <c r="F58">
        <v>15</v>
      </c>
      <c r="G58">
        <v>22.3</v>
      </c>
      <c r="H58">
        <v>4</v>
      </c>
      <c r="I58" t="s">
        <v>16</v>
      </c>
      <c r="J58" s="3">
        <v>55.348333333333301</v>
      </c>
      <c r="K58" s="3">
        <v>15.3716666666667</v>
      </c>
      <c r="L58" t="s">
        <v>37</v>
      </c>
      <c r="M58" t="str">
        <f t="shared" si="2"/>
        <v>DEN</v>
      </c>
      <c r="N58">
        <v>1</v>
      </c>
      <c r="V58">
        <f t="shared" si="1"/>
        <v>1</v>
      </c>
    </row>
    <row r="59" spans="1:22" x14ac:dyDescent="0.25">
      <c r="A59">
        <v>25274</v>
      </c>
      <c r="B59" t="s">
        <v>45</v>
      </c>
      <c r="C59">
        <v>25</v>
      </c>
      <c r="D59">
        <v>55</v>
      </c>
      <c r="E59">
        <v>32.39</v>
      </c>
      <c r="F59">
        <v>15</v>
      </c>
      <c r="G59">
        <v>33.49</v>
      </c>
      <c r="H59">
        <v>4</v>
      </c>
      <c r="I59" t="s">
        <v>16</v>
      </c>
      <c r="J59" s="3">
        <v>55.539833333333299</v>
      </c>
      <c r="K59" s="3">
        <v>15.5581666666667</v>
      </c>
      <c r="L59" t="s">
        <v>37</v>
      </c>
      <c r="M59" t="str">
        <f t="shared" si="2"/>
        <v>DEN</v>
      </c>
      <c r="N59">
        <v>1</v>
      </c>
      <c r="V59">
        <f t="shared" si="1"/>
        <v>1</v>
      </c>
    </row>
    <row r="60" spans="1:22" x14ac:dyDescent="0.25">
      <c r="A60">
        <v>25283</v>
      </c>
      <c r="B60" t="s">
        <v>46</v>
      </c>
      <c r="C60">
        <v>25</v>
      </c>
      <c r="D60">
        <v>55</v>
      </c>
      <c r="E60">
        <v>35.299999999999997</v>
      </c>
      <c r="F60">
        <v>16</v>
      </c>
      <c r="G60">
        <v>11.5</v>
      </c>
      <c r="H60">
        <v>4</v>
      </c>
      <c r="I60" t="s">
        <v>34</v>
      </c>
      <c r="J60" s="3">
        <v>55.588333333333303</v>
      </c>
      <c r="K60" s="3">
        <v>16.191666666666698</v>
      </c>
      <c r="L60" t="s">
        <v>37</v>
      </c>
      <c r="M60" t="str">
        <f t="shared" si="2"/>
        <v>DEN</v>
      </c>
      <c r="N60">
        <v>1</v>
      </c>
      <c r="V60">
        <f t="shared" si="1"/>
        <v>1</v>
      </c>
    </row>
    <row r="61" spans="1:22" x14ac:dyDescent="0.25">
      <c r="A61">
        <v>25290</v>
      </c>
      <c r="B61" t="s">
        <v>47</v>
      </c>
      <c r="C61">
        <v>25</v>
      </c>
      <c r="D61">
        <v>55</v>
      </c>
      <c r="E61">
        <v>30</v>
      </c>
      <c r="F61">
        <v>17</v>
      </c>
      <c r="G61">
        <v>53.8</v>
      </c>
      <c r="H61">
        <v>4</v>
      </c>
      <c r="I61" t="s">
        <v>28</v>
      </c>
      <c r="J61" s="3">
        <v>55.5</v>
      </c>
      <c r="K61" s="3">
        <v>17.8966666666667</v>
      </c>
      <c r="L61" t="s">
        <v>37</v>
      </c>
      <c r="M61" t="str">
        <f t="shared" si="2"/>
        <v>DEN</v>
      </c>
      <c r="N61">
        <v>1</v>
      </c>
      <c r="V61">
        <f t="shared" si="1"/>
        <v>1</v>
      </c>
    </row>
    <row r="62" spans="1:22" x14ac:dyDescent="0.25">
      <c r="A62">
        <v>25299</v>
      </c>
      <c r="B62" t="s">
        <v>45</v>
      </c>
      <c r="C62">
        <v>25</v>
      </c>
      <c r="D62">
        <v>55</v>
      </c>
      <c r="E62">
        <v>47</v>
      </c>
      <c r="F62">
        <v>15</v>
      </c>
      <c r="G62">
        <v>56</v>
      </c>
      <c r="H62">
        <v>4</v>
      </c>
      <c r="I62" t="s">
        <v>34</v>
      </c>
      <c r="J62" s="3">
        <v>55.783333333333303</v>
      </c>
      <c r="K62" s="3">
        <v>15.9333333333333</v>
      </c>
      <c r="L62" t="s">
        <v>37</v>
      </c>
      <c r="M62" t="str">
        <f t="shared" si="2"/>
        <v>DEN</v>
      </c>
      <c r="N62">
        <v>1</v>
      </c>
      <c r="V62">
        <f t="shared" si="1"/>
        <v>1</v>
      </c>
    </row>
    <row r="63" spans="1:22" x14ac:dyDescent="0.25">
      <c r="A63">
        <v>25302</v>
      </c>
      <c r="B63" t="s">
        <v>46</v>
      </c>
      <c r="C63">
        <v>25</v>
      </c>
      <c r="D63">
        <v>55</v>
      </c>
      <c r="E63">
        <v>42.4</v>
      </c>
      <c r="F63">
        <v>16</v>
      </c>
      <c r="G63">
        <v>10.8</v>
      </c>
      <c r="H63">
        <v>4</v>
      </c>
      <c r="I63" t="s">
        <v>34</v>
      </c>
      <c r="J63" s="3">
        <v>55.706666666666699</v>
      </c>
      <c r="K63" s="3">
        <v>16.18</v>
      </c>
      <c r="L63" t="s">
        <v>37</v>
      </c>
      <c r="M63" t="str">
        <f t="shared" si="2"/>
        <v>DEN</v>
      </c>
      <c r="N63">
        <v>1</v>
      </c>
      <c r="V63">
        <f t="shared" si="1"/>
        <v>1</v>
      </c>
    </row>
    <row r="64" spans="1:22" x14ac:dyDescent="0.25">
      <c r="A64">
        <v>25308</v>
      </c>
      <c r="B64" t="s">
        <v>47</v>
      </c>
      <c r="C64">
        <v>25</v>
      </c>
      <c r="D64">
        <v>55</v>
      </c>
      <c r="E64">
        <v>44.1</v>
      </c>
      <c r="F64">
        <v>17</v>
      </c>
      <c r="G64">
        <v>55.7</v>
      </c>
      <c r="H64">
        <v>4</v>
      </c>
      <c r="I64" t="s">
        <v>28</v>
      </c>
      <c r="J64" s="3">
        <v>55.734999999999999</v>
      </c>
      <c r="K64" s="3">
        <v>17.928333333333299</v>
      </c>
      <c r="L64" t="s">
        <v>37</v>
      </c>
      <c r="M64" t="str">
        <f t="shared" si="2"/>
        <v>DEN</v>
      </c>
      <c r="N64">
        <v>1</v>
      </c>
      <c r="V64">
        <f t="shared" si="1"/>
        <v>1</v>
      </c>
    </row>
    <row r="65" spans="1:22" x14ac:dyDescent="0.25">
      <c r="A65">
        <v>25322</v>
      </c>
      <c r="B65" t="s">
        <v>48</v>
      </c>
      <c r="C65">
        <v>25</v>
      </c>
      <c r="D65">
        <v>55</v>
      </c>
      <c r="E65">
        <v>3.1</v>
      </c>
      <c r="F65">
        <v>15</v>
      </c>
      <c r="G65">
        <v>42.6</v>
      </c>
      <c r="H65">
        <v>5</v>
      </c>
      <c r="I65" t="s">
        <v>31</v>
      </c>
      <c r="J65" s="3">
        <v>55.051666666666698</v>
      </c>
      <c r="K65" s="3">
        <v>15.71</v>
      </c>
      <c r="L65" t="s">
        <v>37</v>
      </c>
      <c r="M65" t="str">
        <f t="shared" si="2"/>
        <v>DEN</v>
      </c>
      <c r="N65">
        <v>1</v>
      </c>
      <c r="V65">
        <f t="shared" si="1"/>
        <v>1</v>
      </c>
    </row>
    <row r="66" spans="1:22" x14ac:dyDescent="0.25">
      <c r="A66">
        <v>25326</v>
      </c>
      <c r="B66" t="s">
        <v>44</v>
      </c>
      <c r="C66">
        <v>25</v>
      </c>
      <c r="D66">
        <v>55</v>
      </c>
      <c r="E66">
        <v>8.1</v>
      </c>
      <c r="F66">
        <v>16</v>
      </c>
      <c r="G66">
        <v>3.6</v>
      </c>
      <c r="H66">
        <v>5</v>
      </c>
      <c r="I66" t="s">
        <v>31</v>
      </c>
      <c r="J66" s="3">
        <v>55.134999999999998</v>
      </c>
      <c r="K66" s="3">
        <v>16.059999999999999</v>
      </c>
      <c r="L66" t="s">
        <v>37</v>
      </c>
      <c r="M66" t="str">
        <f t="shared" si="2"/>
        <v>DEN</v>
      </c>
      <c r="N66">
        <v>1</v>
      </c>
      <c r="V66">
        <f t="shared" ref="V66:V129" si="3">SUM(N66:U66)</f>
        <v>1</v>
      </c>
    </row>
    <row r="67" spans="1:22" x14ac:dyDescent="0.25">
      <c r="A67">
        <v>25330</v>
      </c>
      <c r="B67" t="s">
        <v>48</v>
      </c>
      <c r="C67">
        <v>25</v>
      </c>
      <c r="D67">
        <v>55</v>
      </c>
      <c r="E67">
        <v>15.7</v>
      </c>
      <c r="F67">
        <v>15</v>
      </c>
      <c r="G67">
        <v>58.7</v>
      </c>
      <c r="H67">
        <v>3</v>
      </c>
      <c r="I67" t="s">
        <v>16</v>
      </c>
      <c r="J67" s="3">
        <v>55.261666666666699</v>
      </c>
      <c r="K67" s="3">
        <v>15.9783333333333</v>
      </c>
      <c r="L67" t="s">
        <v>37</v>
      </c>
      <c r="M67" t="str">
        <f t="shared" si="2"/>
        <v>DEN</v>
      </c>
      <c r="N67">
        <v>1</v>
      </c>
      <c r="V67">
        <f t="shared" si="3"/>
        <v>1</v>
      </c>
    </row>
    <row r="68" spans="1:22" x14ac:dyDescent="0.25">
      <c r="A68">
        <v>25331</v>
      </c>
      <c r="B68" t="s">
        <v>44</v>
      </c>
      <c r="C68">
        <v>25</v>
      </c>
      <c r="D68">
        <v>55</v>
      </c>
      <c r="E68">
        <v>16.100000000000001</v>
      </c>
      <c r="F68">
        <v>16</v>
      </c>
      <c r="G68">
        <v>3.9</v>
      </c>
      <c r="H68">
        <v>5</v>
      </c>
      <c r="I68" t="s">
        <v>16</v>
      </c>
      <c r="J68" s="3">
        <v>55.268333333333302</v>
      </c>
      <c r="K68" s="3">
        <v>16.065000000000001</v>
      </c>
      <c r="L68" t="s">
        <v>37</v>
      </c>
      <c r="M68" t="str">
        <f t="shared" si="2"/>
        <v>DEN</v>
      </c>
      <c r="N68">
        <v>1</v>
      </c>
      <c r="V68">
        <f t="shared" si="3"/>
        <v>1</v>
      </c>
    </row>
    <row r="69" spans="1:22" x14ac:dyDescent="0.25">
      <c r="A69">
        <v>25342</v>
      </c>
      <c r="B69" t="s">
        <v>48</v>
      </c>
      <c r="C69">
        <v>25</v>
      </c>
      <c r="D69">
        <v>55</v>
      </c>
      <c r="E69">
        <v>26.7</v>
      </c>
      <c r="F69">
        <v>15</v>
      </c>
      <c r="G69">
        <v>32.5</v>
      </c>
      <c r="H69">
        <v>5</v>
      </c>
      <c r="I69" t="s">
        <v>16</v>
      </c>
      <c r="J69" s="3">
        <v>55.445</v>
      </c>
      <c r="K69" s="3">
        <v>15.5416666666667</v>
      </c>
      <c r="L69" t="s">
        <v>37</v>
      </c>
      <c r="M69" t="str">
        <f t="shared" si="2"/>
        <v>DEN</v>
      </c>
      <c r="N69">
        <v>1</v>
      </c>
      <c r="V69">
        <f t="shared" si="3"/>
        <v>1</v>
      </c>
    </row>
    <row r="70" spans="1:22" x14ac:dyDescent="0.25">
      <c r="A70">
        <v>25344</v>
      </c>
      <c r="B70" t="s">
        <v>48</v>
      </c>
      <c r="C70">
        <v>25</v>
      </c>
      <c r="D70">
        <v>55</v>
      </c>
      <c r="E70">
        <v>27.4</v>
      </c>
      <c r="F70">
        <v>15</v>
      </c>
      <c r="G70">
        <v>56.2</v>
      </c>
      <c r="H70">
        <v>5</v>
      </c>
      <c r="I70" t="s">
        <v>16</v>
      </c>
      <c r="J70" s="3">
        <v>55.456666666666699</v>
      </c>
      <c r="K70" s="3">
        <v>15.936666666666699</v>
      </c>
      <c r="L70" t="s">
        <v>37</v>
      </c>
      <c r="M70" t="str">
        <f t="shared" si="2"/>
        <v>DEN</v>
      </c>
      <c r="N70">
        <v>1</v>
      </c>
      <c r="V70">
        <f t="shared" si="3"/>
        <v>1</v>
      </c>
    </row>
    <row r="71" spans="1:22" x14ac:dyDescent="0.25">
      <c r="A71">
        <v>25359</v>
      </c>
      <c r="B71" t="s">
        <v>46</v>
      </c>
      <c r="C71">
        <v>25</v>
      </c>
      <c r="D71">
        <v>55</v>
      </c>
      <c r="E71">
        <v>48.5</v>
      </c>
      <c r="F71">
        <v>16</v>
      </c>
      <c r="G71">
        <v>31.9</v>
      </c>
      <c r="H71">
        <v>3</v>
      </c>
      <c r="I71" t="s">
        <v>34</v>
      </c>
      <c r="J71" s="3">
        <v>55.808333333333302</v>
      </c>
      <c r="K71" s="3">
        <v>16.531666666666698</v>
      </c>
      <c r="L71" t="s">
        <v>37</v>
      </c>
      <c r="M71" t="str">
        <f t="shared" si="2"/>
        <v>DEN</v>
      </c>
      <c r="N71">
        <v>1</v>
      </c>
      <c r="V71">
        <f t="shared" si="3"/>
        <v>1</v>
      </c>
    </row>
    <row r="72" spans="1:22" x14ac:dyDescent="0.25">
      <c r="A72">
        <v>25380</v>
      </c>
      <c r="B72" t="s">
        <v>47</v>
      </c>
      <c r="C72">
        <v>25</v>
      </c>
      <c r="D72">
        <v>55</v>
      </c>
      <c r="E72">
        <v>38.5</v>
      </c>
      <c r="F72">
        <v>17</v>
      </c>
      <c r="G72">
        <v>37.799999999999997</v>
      </c>
      <c r="H72">
        <v>3</v>
      </c>
      <c r="I72" t="s">
        <v>28</v>
      </c>
      <c r="J72" s="3">
        <v>55.641666666666701</v>
      </c>
      <c r="K72" s="3">
        <v>17.63</v>
      </c>
      <c r="L72" t="s">
        <v>37</v>
      </c>
      <c r="M72" t="str">
        <f t="shared" si="2"/>
        <v>DEN</v>
      </c>
      <c r="N72">
        <v>1</v>
      </c>
      <c r="V72">
        <f t="shared" si="3"/>
        <v>1</v>
      </c>
    </row>
    <row r="73" spans="1:22" x14ac:dyDescent="0.25">
      <c r="A73">
        <v>25389</v>
      </c>
      <c r="B73" t="s">
        <v>46</v>
      </c>
      <c r="C73">
        <v>25</v>
      </c>
      <c r="D73">
        <v>55</v>
      </c>
      <c r="E73">
        <v>35.409999999999997</v>
      </c>
      <c r="F73">
        <v>16</v>
      </c>
      <c r="G73">
        <v>39.65</v>
      </c>
      <c r="H73">
        <v>3</v>
      </c>
      <c r="I73" t="s">
        <v>34</v>
      </c>
      <c r="J73" s="3">
        <v>55.590166666666697</v>
      </c>
      <c r="K73" s="3">
        <v>16.660833333333301</v>
      </c>
      <c r="L73" t="s">
        <v>37</v>
      </c>
      <c r="M73" t="str">
        <f t="shared" si="2"/>
        <v>DEN</v>
      </c>
      <c r="N73">
        <v>1</v>
      </c>
      <c r="V73">
        <f t="shared" si="3"/>
        <v>1</v>
      </c>
    </row>
    <row r="74" spans="1:22" x14ac:dyDescent="0.25">
      <c r="A74">
        <v>25394</v>
      </c>
      <c r="B74" t="s">
        <v>43</v>
      </c>
      <c r="C74">
        <v>25</v>
      </c>
      <c r="D74">
        <v>54</v>
      </c>
      <c r="E74">
        <v>39.4</v>
      </c>
      <c r="F74">
        <v>15</v>
      </c>
      <c r="G74">
        <v>9.08</v>
      </c>
      <c r="H74">
        <v>4</v>
      </c>
      <c r="I74" t="s">
        <v>31</v>
      </c>
      <c r="J74" s="3">
        <v>54.656666666666702</v>
      </c>
      <c r="K74" s="3">
        <v>15.1513333333333</v>
      </c>
      <c r="L74" t="s">
        <v>37</v>
      </c>
      <c r="M74" t="str">
        <f t="shared" si="2"/>
        <v>DEN</v>
      </c>
      <c r="N74">
        <v>1</v>
      </c>
      <c r="V74">
        <f t="shared" si="3"/>
        <v>1</v>
      </c>
    </row>
    <row r="75" spans="1:22" x14ac:dyDescent="0.25">
      <c r="A75">
        <v>25399</v>
      </c>
      <c r="B75" t="s">
        <v>45</v>
      </c>
      <c r="C75">
        <v>25</v>
      </c>
      <c r="D75">
        <v>55</v>
      </c>
      <c r="E75">
        <v>52.79</v>
      </c>
      <c r="F75">
        <v>15</v>
      </c>
      <c r="G75">
        <v>42.88</v>
      </c>
      <c r="H75">
        <v>3</v>
      </c>
      <c r="I75" t="s">
        <v>34</v>
      </c>
      <c r="J75" s="3">
        <v>55.879833333333302</v>
      </c>
      <c r="K75" s="3">
        <v>15.7146666666667</v>
      </c>
      <c r="L75" t="s">
        <v>37</v>
      </c>
      <c r="M75" t="str">
        <f t="shared" si="2"/>
        <v>DEN</v>
      </c>
      <c r="N75">
        <v>1</v>
      </c>
      <c r="V75">
        <f t="shared" si="3"/>
        <v>1</v>
      </c>
    </row>
    <row r="76" spans="1:22" x14ac:dyDescent="0.25">
      <c r="A76">
        <v>25409</v>
      </c>
      <c r="B76" t="s">
        <v>45</v>
      </c>
      <c r="C76">
        <v>25</v>
      </c>
      <c r="D76">
        <v>55</v>
      </c>
      <c r="E76">
        <v>47.9</v>
      </c>
      <c r="F76">
        <v>15</v>
      </c>
      <c r="G76">
        <v>57.8</v>
      </c>
      <c r="H76">
        <v>3</v>
      </c>
      <c r="I76" t="s">
        <v>34</v>
      </c>
      <c r="J76" s="3">
        <v>55.798333333333296</v>
      </c>
      <c r="K76" s="3">
        <v>15.963333333333299</v>
      </c>
      <c r="L76" t="s">
        <v>37</v>
      </c>
      <c r="M76" t="str">
        <f t="shared" si="2"/>
        <v>DEN</v>
      </c>
      <c r="N76">
        <v>1</v>
      </c>
      <c r="V76">
        <f t="shared" si="3"/>
        <v>1</v>
      </c>
    </row>
    <row r="77" spans="1:22" x14ac:dyDescent="0.25">
      <c r="A77">
        <v>25413</v>
      </c>
      <c r="B77" t="s">
        <v>45</v>
      </c>
      <c r="C77">
        <v>25</v>
      </c>
      <c r="D77">
        <v>55</v>
      </c>
      <c r="E77">
        <v>50.1</v>
      </c>
      <c r="F77">
        <v>15</v>
      </c>
      <c r="G77">
        <v>56.8</v>
      </c>
      <c r="H77">
        <v>3</v>
      </c>
      <c r="I77" t="s">
        <v>34</v>
      </c>
      <c r="J77" s="3">
        <v>55.835000000000001</v>
      </c>
      <c r="K77" s="3">
        <v>15.946666666666699</v>
      </c>
      <c r="L77" t="s">
        <v>37</v>
      </c>
      <c r="M77" t="str">
        <f t="shared" si="2"/>
        <v>DEN</v>
      </c>
      <c r="N77">
        <v>1</v>
      </c>
      <c r="V77">
        <f t="shared" si="3"/>
        <v>1</v>
      </c>
    </row>
    <row r="78" spans="1:22" x14ac:dyDescent="0.25">
      <c r="A78">
        <v>25428</v>
      </c>
      <c r="B78" t="s">
        <v>46</v>
      </c>
      <c r="C78">
        <v>25</v>
      </c>
      <c r="D78">
        <v>55</v>
      </c>
      <c r="E78">
        <v>45.5</v>
      </c>
      <c r="F78">
        <v>16</v>
      </c>
      <c r="G78">
        <v>40.200000000000003</v>
      </c>
      <c r="H78">
        <v>3</v>
      </c>
      <c r="I78" t="s">
        <v>34</v>
      </c>
      <c r="J78" s="3">
        <v>55.758333333333297</v>
      </c>
      <c r="K78" s="3">
        <v>16.670000000000002</v>
      </c>
      <c r="L78" t="s">
        <v>37</v>
      </c>
      <c r="M78" t="str">
        <f t="shared" si="2"/>
        <v>DEN</v>
      </c>
      <c r="N78">
        <v>1</v>
      </c>
      <c r="V78">
        <f t="shared" si="3"/>
        <v>1</v>
      </c>
    </row>
    <row r="79" spans="1:22" x14ac:dyDescent="0.25">
      <c r="A79">
        <v>25431</v>
      </c>
      <c r="B79" t="s">
        <v>46</v>
      </c>
      <c r="C79">
        <v>25</v>
      </c>
      <c r="D79">
        <v>55</v>
      </c>
      <c r="E79">
        <v>52.2</v>
      </c>
      <c r="F79">
        <v>16</v>
      </c>
      <c r="G79">
        <v>1.1000000000000001</v>
      </c>
      <c r="H79">
        <v>3</v>
      </c>
      <c r="I79" t="s">
        <v>34</v>
      </c>
      <c r="J79" s="3">
        <v>55.87</v>
      </c>
      <c r="K79" s="3">
        <v>16.018333333333299</v>
      </c>
      <c r="L79" t="s">
        <v>37</v>
      </c>
      <c r="M79" t="str">
        <f t="shared" si="2"/>
        <v>DEN</v>
      </c>
      <c r="N79">
        <v>1</v>
      </c>
      <c r="V79">
        <f t="shared" si="3"/>
        <v>1</v>
      </c>
    </row>
    <row r="80" spans="1:22" x14ac:dyDescent="0.25">
      <c r="A80">
        <v>25432</v>
      </c>
      <c r="B80" t="s">
        <v>46</v>
      </c>
      <c r="C80">
        <v>25</v>
      </c>
      <c r="D80">
        <v>55</v>
      </c>
      <c r="E80">
        <v>50.2</v>
      </c>
      <c r="F80">
        <v>16</v>
      </c>
      <c r="G80">
        <v>23.2</v>
      </c>
      <c r="H80">
        <v>3</v>
      </c>
      <c r="I80" t="s">
        <v>34</v>
      </c>
      <c r="J80" s="3">
        <v>55.836666666666702</v>
      </c>
      <c r="K80" s="3">
        <v>16.386666666666699</v>
      </c>
      <c r="L80" t="s">
        <v>37</v>
      </c>
      <c r="M80" t="str">
        <f t="shared" si="2"/>
        <v>DEN</v>
      </c>
      <c r="N80">
        <v>1</v>
      </c>
      <c r="V80">
        <f t="shared" si="3"/>
        <v>1</v>
      </c>
    </row>
    <row r="81" spans="1:22" x14ac:dyDescent="0.25">
      <c r="A81">
        <v>25445</v>
      </c>
      <c r="B81" t="s">
        <v>45</v>
      </c>
      <c r="C81">
        <v>25</v>
      </c>
      <c r="D81">
        <v>55</v>
      </c>
      <c r="E81">
        <v>35.659999999999997</v>
      </c>
      <c r="F81">
        <v>15</v>
      </c>
      <c r="G81">
        <v>13.13</v>
      </c>
      <c r="H81">
        <v>4</v>
      </c>
      <c r="I81" t="s">
        <v>16</v>
      </c>
      <c r="J81" s="3">
        <v>55.594333333333303</v>
      </c>
      <c r="K81" s="3">
        <v>15.218833333333301</v>
      </c>
      <c r="L81" t="s">
        <v>37</v>
      </c>
      <c r="M81" t="str">
        <f t="shared" si="2"/>
        <v>DEN</v>
      </c>
      <c r="N81">
        <v>1</v>
      </c>
      <c r="V81">
        <f t="shared" si="3"/>
        <v>1</v>
      </c>
    </row>
    <row r="82" spans="1:22" x14ac:dyDescent="0.25">
      <c r="A82">
        <v>25447</v>
      </c>
      <c r="B82" t="s">
        <v>45</v>
      </c>
      <c r="C82">
        <v>25</v>
      </c>
      <c r="D82">
        <v>55</v>
      </c>
      <c r="E82">
        <v>34.67</v>
      </c>
      <c r="F82">
        <v>15</v>
      </c>
      <c r="G82">
        <v>3.8</v>
      </c>
      <c r="H82">
        <v>5</v>
      </c>
      <c r="I82" t="s">
        <v>16</v>
      </c>
      <c r="J82" s="3">
        <v>55.577833333333302</v>
      </c>
      <c r="K82" s="3">
        <v>15.063333333333301</v>
      </c>
      <c r="L82" t="s">
        <v>37</v>
      </c>
      <c r="M82" t="str">
        <f t="shared" si="2"/>
        <v>DEN</v>
      </c>
      <c r="N82">
        <v>1</v>
      </c>
      <c r="V82">
        <f t="shared" si="3"/>
        <v>1</v>
      </c>
    </row>
    <row r="83" spans="1:22" x14ac:dyDescent="0.25">
      <c r="A83">
        <v>25449</v>
      </c>
      <c r="B83" t="s">
        <v>49</v>
      </c>
      <c r="C83">
        <v>25</v>
      </c>
      <c r="D83">
        <v>55</v>
      </c>
      <c r="E83">
        <v>27.6</v>
      </c>
      <c r="F83">
        <v>14</v>
      </c>
      <c r="G83">
        <v>43.8</v>
      </c>
      <c r="H83">
        <v>4</v>
      </c>
      <c r="I83" t="s">
        <v>16</v>
      </c>
      <c r="J83" s="3">
        <v>55.46</v>
      </c>
      <c r="K83" s="3">
        <v>14.73</v>
      </c>
      <c r="L83" t="s">
        <v>37</v>
      </c>
      <c r="M83" t="str">
        <f t="shared" ref="M83:M146" si="4">IF(N83=1,"DEN",IF(O83=1,"SWE",IF(P83=1,"POL",IF(Q83=1,"LAT",IF(R83=1,"EST",IF(S83=1,"GER",IF(T83=1,"LTU",IF(U83=1,"RUS",""))))))))</f>
        <v>DEN</v>
      </c>
      <c r="N83">
        <v>1</v>
      </c>
      <c r="V83">
        <f t="shared" si="3"/>
        <v>1</v>
      </c>
    </row>
    <row r="84" spans="1:22" x14ac:dyDescent="0.25">
      <c r="A84">
        <v>25451</v>
      </c>
      <c r="B84" t="s">
        <v>44</v>
      </c>
      <c r="C84">
        <v>25</v>
      </c>
      <c r="D84">
        <v>55</v>
      </c>
      <c r="E84">
        <v>17.2</v>
      </c>
      <c r="F84">
        <v>16</v>
      </c>
      <c r="G84">
        <v>1.2</v>
      </c>
      <c r="H84">
        <v>5</v>
      </c>
      <c r="I84" t="s">
        <v>16</v>
      </c>
      <c r="J84" s="3">
        <v>55.286666666666697</v>
      </c>
      <c r="K84" s="3">
        <v>16.02</v>
      </c>
      <c r="L84" t="s">
        <v>37</v>
      </c>
      <c r="M84" t="str">
        <f t="shared" si="4"/>
        <v>DEN</v>
      </c>
      <c r="N84">
        <v>1</v>
      </c>
      <c r="V84">
        <f t="shared" si="3"/>
        <v>1</v>
      </c>
    </row>
    <row r="85" spans="1:22" x14ac:dyDescent="0.25">
      <c r="A85">
        <v>25452</v>
      </c>
      <c r="B85" t="s">
        <v>48</v>
      </c>
      <c r="C85">
        <v>25</v>
      </c>
      <c r="D85">
        <v>55</v>
      </c>
      <c r="E85">
        <v>22.4</v>
      </c>
      <c r="F85">
        <v>15</v>
      </c>
      <c r="G85">
        <v>15.6</v>
      </c>
      <c r="H85">
        <v>5</v>
      </c>
      <c r="I85" t="s">
        <v>16</v>
      </c>
      <c r="J85" s="3">
        <v>55.373333333333299</v>
      </c>
      <c r="K85" s="3">
        <v>15.26</v>
      </c>
      <c r="L85" t="s">
        <v>37</v>
      </c>
      <c r="M85" t="str">
        <f t="shared" si="4"/>
        <v>DEN</v>
      </c>
      <c r="N85">
        <v>1</v>
      </c>
      <c r="V85">
        <f t="shared" si="3"/>
        <v>1</v>
      </c>
    </row>
    <row r="86" spans="1:22" x14ac:dyDescent="0.25">
      <c r="A86">
        <v>25503</v>
      </c>
      <c r="B86" t="s">
        <v>36</v>
      </c>
      <c r="C86">
        <v>25</v>
      </c>
      <c r="D86">
        <v>55</v>
      </c>
      <c r="E86">
        <v>9.6999999999999993</v>
      </c>
      <c r="F86">
        <v>16</v>
      </c>
      <c r="G86">
        <v>3.4</v>
      </c>
      <c r="H86">
        <v>5</v>
      </c>
      <c r="I86" t="s">
        <v>31</v>
      </c>
      <c r="J86" s="3">
        <v>55.161666666666697</v>
      </c>
      <c r="K86" s="3">
        <v>16.0566666666667</v>
      </c>
      <c r="L86" t="s">
        <v>37</v>
      </c>
      <c r="M86" t="str">
        <f t="shared" si="4"/>
        <v>DEN</v>
      </c>
      <c r="N86">
        <v>1</v>
      </c>
      <c r="V86">
        <f t="shared" si="3"/>
        <v>1</v>
      </c>
    </row>
    <row r="87" spans="1:22" x14ac:dyDescent="0.25">
      <c r="A87">
        <v>25504</v>
      </c>
      <c r="B87" t="s">
        <v>42</v>
      </c>
      <c r="C87">
        <v>25</v>
      </c>
      <c r="D87">
        <v>56</v>
      </c>
      <c r="E87">
        <v>4.6479999999999997</v>
      </c>
      <c r="F87">
        <v>17</v>
      </c>
      <c r="G87">
        <v>46.152999999999999</v>
      </c>
      <c r="H87">
        <v>4</v>
      </c>
      <c r="I87" t="s">
        <v>34</v>
      </c>
      <c r="J87" s="3">
        <v>56.077466666666702</v>
      </c>
      <c r="K87" s="3">
        <v>17.769216666666701</v>
      </c>
      <c r="L87" t="s">
        <v>37</v>
      </c>
      <c r="M87" t="str">
        <f t="shared" si="4"/>
        <v>DEN</v>
      </c>
      <c r="N87">
        <v>1</v>
      </c>
      <c r="V87">
        <f t="shared" si="3"/>
        <v>1</v>
      </c>
    </row>
    <row r="88" spans="1:22" x14ac:dyDescent="0.25">
      <c r="A88">
        <v>25506</v>
      </c>
      <c r="B88" t="s">
        <v>48</v>
      </c>
      <c r="C88">
        <v>25</v>
      </c>
      <c r="D88">
        <v>55</v>
      </c>
      <c r="E88">
        <v>28.074000000000002</v>
      </c>
      <c r="F88">
        <v>15</v>
      </c>
      <c r="G88">
        <v>57.014000000000003</v>
      </c>
      <c r="H88">
        <v>5</v>
      </c>
      <c r="I88" t="s">
        <v>16</v>
      </c>
      <c r="J88" s="3">
        <v>55.4679</v>
      </c>
      <c r="K88" s="3">
        <v>15.9502333333333</v>
      </c>
      <c r="L88" t="s">
        <v>37</v>
      </c>
      <c r="M88" t="str">
        <f t="shared" si="4"/>
        <v>DEN</v>
      </c>
      <c r="N88">
        <v>1</v>
      </c>
      <c r="V88">
        <f t="shared" si="3"/>
        <v>1</v>
      </c>
    </row>
    <row r="89" spans="1:22" x14ac:dyDescent="0.25">
      <c r="A89">
        <v>25508</v>
      </c>
      <c r="B89" t="s">
        <v>44</v>
      </c>
      <c r="C89">
        <v>25</v>
      </c>
      <c r="D89">
        <v>55</v>
      </c>
      <c r="E89">
        <v>18.02</v>
      </c>
      <c r="F89">
        <v>16</v>
      </c>
      <c r="G89">
        <v>1.1299999999999999</v>
      </c>
      <c r="H89">
        <v>5</v>
      </c>
      <c r="I89" t="s">
        <v>16</v>
      </c>
      <c r="J89" s="3">
        <v>55.300333333333299</v>
      </c>
      <c r="K89" s="3">
        <v>16.018833333333301</v>
      </c>
      <c r="L89" t="s">
        <v>37</v>
      </c>
      <c r="M89" t="str">
        <f t="shared" si="4"/>
        <v>DEN</v>
      </c>
      <c r="N89">
        <v>1</v>
      </c>
      <c r="V89">
        <f t="shared" si="3"/>
        <v>1</v>
      </c>
    </row>
    <row r="90" spans="1:22" x14ac:dyDescent="0.25">
      <c r="A90">
        <v>25509</v>
      </c>
      <c r="B90" t="s">
        <v>46</v>
      </c>
      <c r="C90">
        <v>25</v>
      </c>
      <c r="D90">
        <v>55</v>
      </c>
      <c r="E90">
        <v>43.78</v>
      </c>
      <c r="F90">
        <v>16</v>
      </c>
      <c r="G90">
        <v>41</v>
      </c>
      <c r="H90">
        <v>4</v>
      </c>
      <c r="I90" t="s">
        <v>34</v>
      </c>
      <c r="J90" s="3">
        <v>55.729666666666702</v>
      </c>
      <c r="K90" s="3">
        <v>16.683333333333302</v>
      </c>
      <c r="L90" t="s">
        <v>37</v>
      </c>
      <c r="M90" t="str">
        <f t="shared" si="4"/>
        <v>DEN</v>
      </c>
      <c r="N90">
        <v>1</v>
      </c>
      <c r="V90">
        <f t="shared" si="3"/>
        <v>1</v>
      </c>
    </row>
    <row r="91" spans="1:22" x14ac:dyDescent="0.25">
      <c r="A91">
        <v>26032</v>
      </c>
      <c r="B91" t="s">
        <v>58</v>
      </c>
      <c r="C91">
        <v>26</v>
      </c>
      <c r="D91">
        <v>56</v>
      </c>
      <c r="E91">
        <v>22</v>
      </c>
      <c r="F91">
        <v>18</v>
      </c>
      <c r="G91">
        <v>30.8</v>
      </c>
      <c r="H91">
        <v>3</v>
      </c>
      <c r="I91" t="s">
        <v>34</v>
      </c>
      <c r="J91" s="3">
        <v>56.366666666666703</v>
      </c>
      <c r="K91" s="3">
        <v>18.5133333333333</v>
      </c>
      <c r="L91" t="s">
        <v>37</v>
      </c>
      <c r="M91" t="str">
        <f t="shared" si="4"/>
        <v>DEN</v>
      </c>
      <c r="N91">
        <v>1</v>
      </c>
      <c r="V91">
        <f t="shared" si="3"/>
        <v>1</v>
      </c>
    </row>
    <row r="92" spans="1:22" x14ac:dyDescent="0.25">
      <c r="A92">
        <v>26141</v>
      </c>
      <c r="B92" t="s">
        <v>58</v>
      </c>
      <c r="C92">
        <v>26</v>
      </c>
      <c r="D92">
        <v>56</v>
      </c>
      <c r="E92">
        <v>19</v>
      </c>
      <c r="F92">
        <v>18</v>
      </c>
      <c r="G92">
        <v>40</v>
      </c>
      <c r="H92">
        <v>6</v>
      </c>
      <c r="I92" t="s">
        <v>34</v>
      </c>
      <c r="J92" s="3">
        <v>56.316666666666698</v>
      </c>
      <c r="K92" s="3">
        <v>18.6666666666667</v>
      </c>
      <c r="L92" t="s">
        <v>37</v>
      </c>
      <c r="M92" t="str">
        <f t="shared" si="4"/>
        <v>DEN</v>
      </c>
      <c r="N92">
        <v>1</v>
      </c>
      <c r="V92">
        <f t="shared" si="3"/>
        <v>1</v>
      </c>
    </row>
    <row r="93" spans="1:22" x14ac:dyDescent="0.25">
      <c r="A93">
        <v>26224</v>
      </c>
      <c r="B93" t="s">
        <v>58</v>
      </c>
      <c r="C93">
        <v>26</v>
      </c>
      <c r="D93">
        <v>56</v>
      </c>
      <c r="E93">
        <v>22.01</v>
      </c>
      <c r="F93">
        <v>18</v>
      </c>
      <c r="G93">
        <v>26.8</v>
      </c>
      <c r="H93">
        <v>2</v>
      </c>
      <c r="I93" t="s">
        <v>34</v>
      </c>
      <c r="J93" s="3">
        <v>56.366833333333297</v>
      </c>
      <c r="K93" s="3">
        <v>18.446666666666701</v>
      </c>
      <c r="L93" t="s">
        <v>37</v>
      </c>
      <c r="M93" t="str">
        <f t="shared" si="4"/>
        <v>DEN</v>
      </c>
      <c r="N93">
        <v>1</v>
      </c>
      <c r="V93">
        <f t="shared" si="3"/>
        <v>1</v>
      </c>
    </row>
    <row r="94" spans="1:22" x14ac:dyDescent="0.25">
      <c r="A94">
        <v>26225</v>
      </c>
      <c r="B94" t="s">
        <v>58</v>
      </c>
      <c r="C94">
        <v>26</v>
      </c>
      <c r="D94">
        <v>56</v>
      </c>
      <c r="E94">
        <v>18.8</v>
      </c>
      <c r="F94">
        <v>18</v>
      </c>
      <c r="G94">
        <v>23.29</v>
      </c>
      <c r="H94">
        <v>3</v>
      </c>
      <c r="I94" t="s">
        <v>34</v>
      </c>
      <c r="J94" s="3">
        <v>56.313333333333297</v>
      </c>
      <c r="K94" s="3">
        <v>18.388166666666699</v>
      </c>
      <c r="L94" t="s">
        <v>37</v>
      </c>
      <c r="M94" t="str">
        <f t="shared" si="4"/>
        <v>DEN</v>
      </c>
      <c r="N94">
        <v>1</v>
      </c>
      <c r="V94">
        <f t="shared" si="3"/>
        <v>1</v>
      </c>
    </row>
    <row r="95" spans="1:22" x14ac:dyDescent="0.25">
      <c r="A95">
        <v>26275</v>
      </c>
      <c r="B95" t="s">
        <v>58</v>
      </c>
      <c r="C95">
        <v>26</v>
      </c>
      <c r="D95">
        <v>56</v>
      </c>
      <c r="E95">
        <v>0.4</v>
      </c>
      <c r="F95">
        <v>18</v>
      </c>
      <c r="G95">
        <v>8.8000000000000007</v>
      </c>
      <c r="H95">
        <v>3</v>
      </c>
      <c r="I95" t="s">
        <v>34</v>
      </c>
      <c r="J95" s="3">
        <v>56.006666666666703</v>
      </c>
      <c r="K95" s="3">
        <v>18.1466666666667</v>
      </c>
      <c r="L95" t="s">
        <v>37</v>
      </c>
      <c r="M95" t="str">
        <f t="shared" si="4"/>
        <v>DEN</v>
      </c>
      <c r="N95">
        <v>1</v>
      </c>
      <c r="V95">
        <f t="shared" si="3"/>
        <v>1</v>
      </c>
    </row>
    <row r="96" spans="1:22" x14ac:dyDescent="0.25">
      <c r="A96">
        <v>28009</v>
      </c>
      <c r="B96" t="s">
        <v>71</v>
      </c>
      <c r="C96">
        <v>28</v>
      </c>
      <c r="D96">
        <v>57</v>
      </c>
      <c r="E96">
        <v>24.2</v>
      </c>
      <c r="F96">
        <v>21</v>
      </c>
      <c r="G96">
        <v>20.7</v>
      </c>
      <c r="H96">
        <v>2</v>
      </c>
      <c r="I96" t="s">
        <v>51</v>
      </c>
      <c r="J96" s="3">
        <v>57.4033333333333</v>
      </c>
      <c r="K96" s="3">
        <v>21.344999999999999</v>
      </c>
      <c r="L96" t="s">
        <v>37</v>
      </c>
      <c r="M96" t="str">
        <f t="shared" si="4"/>
        <v>EST</v>
      </c>
      <c r="R96">
        <v>1</v>
      </c>
      <c r="V96">
        <f t="shared" si="3"/>
        <v>1</v>
      </c>
    </row>
    <row r="97" spans="1:22" x14ac:dyDescent="0.25">
      <c r="A97">
        <v>28061</v>
      </c>
      <c r="B97" t="s">
        <v>74</v>
      </c>
      <c r="C97">
        <v>28</v>
      </c>
      <c r="D97">
        <v>58</v>
      </c>
      <c r="E97">
        <v>27.8</v>
      </c>
      <c r="F97">
        <v>21</v>
      </c>
      <c r="G97">
        <v>34.6</v>
      </c>
      <c r="H97">
        <v>4</v>
      </c>
      <c r="I97" t="s">
        <v>75</v>
      </c>
      <c r="J97" s="3">
        <v>58.463333333333303</v>
      </c>
      <c r="K97" s="3">
        <v>21.5766666666667</v>
      </c>
      <c r="L97" t="s">
        <v>37</v>
      </c>
      <c r="M97" t="str">
        <f t="shared" si="4"/>
        <v>EST</v>
      </c>
      <c r="R97">
        <v>1</v>
      </c>
      <c r="V97">
        <f t="shared" si="3"/>
        <v>1</v>
      </c>
    </row>
    <row r="98" spans="1:22" x14ac:dyDescent="0.25">
      <c r="A98">
        <v>28093</v>
      </c>
      <c r="B98" t="s">
        <v>71</v>
      </c>
      <c r="C98">
        <v>28</v>
      </c>
      <c r="D98">
        <v>57</v>
      </c>
      <c r="E98">
        <v>29.3</v>
      </c>
      <c r="F98">
        <v>21</v>
      </c>
      <c r="G98">
        <v>26.2</v>
      </c>
      <c r="H98">
        <v>2</v>
      </c>
      <c r="I98" t="s">
        <v>51</v>
      </c>
      <c r="J98" s="3">
        <v>57.488333333333301</v>
      </c>
      <c r="K98" s="3">
        <v>21.436666666666699</v>
      </c>
      <c r="L98" t="s">
        <v>37</v>
      </c>
      <c r="M98" t="str">
        <f t="shared" si="4"/>
        <v>EST</v>
      </c>
      <c r="R98">
        <v>1</v>
      </c>
      <c r="V98">
        <f t="shared" si="3"/>
        <v>1</v>
      </c>
    </row>
    <row r="99" spans="1:22" x14ac:dyDescent="0.25">
      <c r="A99">
        <v>28178</v>
      </c>
      <c r="B99" t="s">
        <v>79</v>
      </c>
      <c r="C99">
        <v>28</v>
      </c>
      <c r="D99">
        <v>57</v>
      </c>
      <c r="E99">
        <v>31</v>
      </c>
      <c r="F99">
        <v>21</v>
      </c>
      <c r="G99">
        <v>6.3</v>
      </c>
      <c r="H99">
        <v>4</v>
      </c>
      <c r="I99" t="s">
        <v>51</v>
      </c>
      <c r="J99" s="3">
        <v>57.516666666666701</v>
      </c>
      <c r="K99" s="3">
        <v>21.105</v>
      </c>
      <c r="L99" t="s">
        <v>37</v>
      </c>
      <c r="M99" t="str">
        <f t="shared" si="4"/>
        <v>EST</v>
      </c>
      <c r="R99">
        <v>1</v>
      </c>
      <c r="V99">
        <f t="shared" si="3"/>
        <v>1</v>
      </c>
    </row>
    <row r="100" spans="1:22" x14ac:dyDescent="0.25">
      <c r="A100">
        <v>28191</v>
      </c>
      <c r="B100" t="s">
        <v>74</v>
      </c>
      <c r="C100">
        <v>28</v>
      </c>
      <c r="D100">
        <v>58</v>
      </c>
      <c r="E100">
        <v>1.6</v>
      </c>
      <c r="F100">
        <v>21</v>
      </c>
      <c r="G100">
        <v>5.9</v>
      </c>
      <c r="H100">
        <v>4</v>
      </c>
      <c r="I100" t="s">
        <v>75</v>
      </c>
      <c r="J100" s="3">
        <v>58.026666666666699</v>
      </c>
      <c r="K100" s="3">
        <v>21.098333333333301</v>
      </c>
      <c r="L100" t="s">
        <v>37</v>
      </c>
      <c r="M100" t="str">
        <f t="shared" si="4"/>
        <v>EST</v>
      </c>
      <c r="R100">
        <v>1</v>
      </c>
      <c r="V100">
        <f t="shared" si="3"/>
        <v>1</v>
      </c>
    </row>
    <row r="101" spans="1:22" x14ac:dyDescent="0.25">
      <c r="A101">
        <v>22044</v>
      </c>
      <c r="B101" t="s">
        <v>12</v>
      </c>
      <c r="C101">
        <v>22</v>
      </c>
      <c r="D101">
        <v>54</v>
      </c>
      <c r="E101">
        <v>7.13</v>
      </c>
      <c r="F101">
        <v>11</v>
      </c>
      <c r="G101">
        <v>10.01</v>
      </c>
      <c r="H101">
        <v>2</v>
      </c>
      <c r="I101" t="s">
        <v>13</v>
      </c>
      <c r="J101" s="3">
        <v>54.118833333333299</v>
      </c>
      <c r="K101" s="3">
        <v>11.166833333333299</v>
      </c>
      <c r="L101" t="s">
        <v>14</v>
      </c>
      <c r="M101" t="str">
        <f t="shared" si="4"/>
        <v>GER</v>
      </c>
      <c r="S101">
        <v>1</v>
      </c>
      <c r="V101">
        <f t="shared" si="3"/>
        <v>1</v>
      </c>
    </row>
    <row r="102" spans="1:22" x14ac:dyDescent="0.25">
      <c r="A102">
        <v>22045</v>
      </c>
      <c r="B102" t="s">
        <v>12</v>
      </c>
      <c r="C102">
        <v>22</v>
      </c>
      <c r="D102">
        <v>54</v>
      </c>
      <c r="E102">
        <v>17.28</v>
      </c>
      <c r="F102">
        <v>11</v>
      </c>
      <c r="G102">
        <v>18.11</v>
      </c>
      <c r="H102">
        <v>2</v>
      </c>
      <c r="I102" t="s">
        <v>13</v>
      </c>
      <c r="J102" s="3">
        <v>54.287999999999997</v>
      </c>
      <c r="K102" s="3">
        <v>11.301833333333301</v>
      </c>
      <c r="L102" t="s">
        <v>14</v>
      </c>
      <c r="M102" t="str">
        <f t="shared" si="4"/>
        <v>GER</v>
      </c>
      <c r="S102">
        <v>1</v>
      </c>
      <c r="V102">
        <f t="shared" si="3"/>
        <v>1</v>
      </c>
    </row>
    <row r="103" spans="1:22" x14ac:dyDescent="0.25">
      <c r="A103">
        <v>22047</v>
      </c>
      <c r="B103" t="s">
        <v>12</v>
      </c>
      <c r="C103">
        <v>22</v>
      </c>
      <c r="D103">
        <v>54</v>
      </c>
      <c r="E103">
        <v>18.13</v>
      </c>
      <c r="F103">
        <v>11</v>
      </c>
      <c r="G103">
        <v>25.49</v>
      </c>
      <c r="H103">
        <v>2</v>
      </c>
      <c r="I103" t="s">
        <v>13</v>
      </c>
      <c r="J103" s="3">
        <v>54.3021666666667</v>
      </c>
      <c r="K103" s="3">
        <v>11.4248333333333</v>
      </c>
      <c r="L103" t="s">
        <v>14</v>
      </c>
      <c r="M103" t="str">
        <f t="shared" si="4"/>
        <v>GER</v>
      </c>
      <c r="S103">
        <v>1</v>
      </c>
      <c r="V103">
        <f t="shared" si="3"/>
        <v>1</v>
      </c>
    </row>
    <row r="104" spans="1:22" x14ac:dyDescent="0.25">
      <c r="A104">
        <v>22053</v>
      </c>
      <c r="B104" t="s">
        <v>12</v>
      </c>
      <c r="C104">
        <v>22</v>
      </c>
      <c r="D104">
        <v>54</v>
      </c>
      <c r="E104">
        <v>18.48</v>
      </c>
      <c r="F104">
        <v>11</v>
      </c>
      <c r="G104">
        <v>41.42</v>
      </c>
      <c r="H104">
        <v>2</v>
      </c>
      <c r="I104" t="s">
        <v>13</v>
      </c>
      <c r="J104" s="3">
        <v>54.308</v>
      </c>
      <c r="K104" s="3">
        <v>11.690333333333299</v>
      </c>
      <c r="L104" t="s">
        <v>14</v>
      </c>
      <c r="M104" t="str">
        <f t="shared" si="4"/>
        <v>GER</v>
      </c>
      <c r="S104">
        <v>1</v>
      </c>
      <c r="V104">
        <f t="shared" si="3"/>
        <v>1</v>
      </c>
    </row>
    <row r="105" spans="1:22" x14ac:dyDescent="0.25">
      <c r="A105">
        <v>22055</v>
      </c>
      <c r="B105" t="s">
        <v>15</v>
      </c>
      <c r="C105">
        <v>22</v>
      </c>
      <c r="D105">
        <v>54</v>
      </c>
      <c r="E105">
        <v>22.4</v>
      </c>
      <c r="F105">
        <v>10</v>
      </c>
      <c r="G105">
        <v>40.17</v>
      </c>
      <c r="H105">
        <v>2</v>
      </c>
      <c r="I105" t="s">
        <v>13</v>
      </c>
      <c r="J105" s="3">
        <v>54.373333333333299</v>
      </c>
      <c r="K105" s="3">
        <v>10.669499999999999</v>
      </c>
      <c r="L105" t="s">
        <v>14</v>
      </c>
      <c r="M105" t="str">
        <f t="shared" si="4"/>
        <v>GER</v>
      </c>
      <c r="S105">
        <v>1</v>
      </c>
      <c r="V105">
        <f t="shared" si="3"/>
        <v>1</v>
      </c>
    </row>
    <row r="106" spans="1:22" x14ac:dyDescent="0.25">
      <c r="A106">
        <v>22060</v>
      </c>
      <c r="B106" t="s">
        <v>12</v>
      </c>
      <c r="C106">
        <v>22</v>
      </c>
      <c r="D106">
        <v>54</v>
      </c>
      <c r="E106">
        <v>22.5</v>
      </c>
      <c r="F106">
        <v>11</v>
      </c>
      <c r="G106">
        <v>47.24</v>
      </c>
      <c r="H106">
        <v>2</v>
      </c>
      <c r="I106" t="s">
        <v>16</v>
      </c>
      <c r="J106" s="3">
        <v>54.375</v>
      </c>
      <c r="K106" s="3">
        <v>11.787333333333301</v>
      </c>
      <c r="L106" t="s">
        <v>14</v>
      </c>
      <c r="M106" t="str">
        <f t="shared" si="4"/>
        <v>GER</v>
      </c>
      <c r="S106">
        <v>1</v>
      </c>
      <c r="V106">
        <f t="shared" si="3"/>
        <v>1</v>
      </c>
    </row>
    <row r="107" spans="1:22" x14ac:dyDescent="0.25">
      <c r="A107">
        <v>22062</v>
      </c>
      <c r="B107" t="s">
        <v>17</v>
      </c>
      <c r="C107">
        <v>22</v>
      </c>
      <c r="D107">
        <v>54</v>
      </c>
      <c r="E107">
        <v>32.39</v>
      </c>
      <c r="F107">
        <v>10</v>
      </c>
      <c r="G107">
        <v>8.98</v>
      </c>
      <c r="H107">
        <v>2</v>
      </c>
      <c r="I107" t="s">
        <v>13</v>
      </c>
      <c r="J107" s="3">
        <v>54.539833333333299</v>
      </c>
      <c r="K107" s="3">
        <v>10.1496666666667</v>
      </c>
      <c r="L107" t="s">
        <v>14</v>
      </c>
      <c r="M107" t="str">
        <f t="shared" si="4"/>
        <v>GER</v>
      </c>
      <c r="S107">
        <v>1</v>
      </c>
      <c r="V107">
        <f t="shared" si="3"/>
        <v>1</v>
      </c>
    </row>
    <row r="108" spans="1:22" x14ac:dyDescent="0.25">
      <c r="A108">
        <v>22123</v>
      </c>
      <c r="B108" t="s">
        <v>15</v>
      </c>
      <c r="C108">
        <v>22</v>
      </c>
      <c r="D108">
        <v>54</v>
      </c>
      <c r="E108">
        <v>27.49</v>
      </c>
      <c r="F108">
        <v>10</v>
      </c>
      <c r="G108">
        <v>35.549999999999997</v>
      </c>
      <c r="H108">
        <v>2</v>
      </c>
      <c r="I108" t="s">
        <v>13</v>
      </c>
      <c r="J108" s="3">
        <v>54.458166666666699</v>
      </c>
      <c r="K108" s="3">
        <v>10.592499999999999</v>
      </c>
      <c r="L108" t="s">
        <v>14</v>
      </c>
      <c r="M108" t="str">
        <f t="shared" si="4"/>
        <v>GER</v>
      </c>
      <c r="S108">
        <v>1</v>
      </c>
      <c r="V108">
        <f t="shared" si="3"/>
        <v>1</v>
      </c>
    </row>
    <row r="109" spans="1:22" x14ac:dyDescent="0.25">
      <c r="A109">
        <v>22141</v>
      </c>
      <c r="B109" t="s">
        <v>12</v>
      </c>
      <c r="C109">
        <v>22</v>
      </c>
      <c r="D109">
        <v>54</v>
      </c>
      <c r="E109">
        <v>14.4</v>
      </c>
      <c r="F109">
        <v>11</v>
      </c>
      <c r="G109">
        <v>25.3</v>
      </c>
      <c r="H109">
        <v>2</v>
      </c>
      <c r="I109" t="s">
        <v>13</v>
      </c>
      <c r="J109" s="3">
        <v>54.24</v>
      </c>
      <c r="K109" s="3">
        <v>11.421666666666701</v>
      </c>
      <c r="L109" t="s">
        <v>14</v>
      </c>
      <c r="M109" t="str">
        <f t="shared" si="4"/>
        <v>GER</v>
      </c>
      <c r="S109">
        <v>1</v>
      </c>
      <c r="V109">
        <f t="shared" si="3"/>
        <v>1</v>
      </c>
    </row>
    <row r="110" spans="1:22" x14ac:dyDescent="0.25">
      <c r="A110">
        <v>22145</v>
      </c>
      <c r="B110" t="s">
        <v>12</v>
      </c>
      <c r="C110">
        <v>22</v>
      </c>
      <c r="D110">
        <v>54</v>
      </c>
      <c r="E110">
        <v>17.899999999999999</v>
      </c>
      <c r="F110">
        <v>11</v>
      </c>
      <c r="G110">
        <v>31.6</v>
      </c>
      <c r="H110">
        <v>2</v>
      </c>
      <c r="I110" t="s">
        <v>13</v>
      </c>
      <c r="J110" s="3">
        <v>54.298333333333296</v>
      </c>
      <c r="K110" s="3">
        <v>11.526666666666699</v>
      </c>
      <c r="L110" t="s">
        <v>14</v>
      </c>
      <c r="M110" t="str">
        <f t="shared" si="4"/>
        <v>GER</v>
      </c>
      <c r="S110">
        <v>1</v>
      </c>
      <c r="V110">
        <f t="shared" si="3"/>
        <v>1</v>
      </c>
    </row>
    <row r="111" spans="1:22" x14ac:dyDescent="0.25">
      <c r="A111">
        <v>22146</v>
      </c>
      <c r="B111" t="s">
        <v>12</v>
      </c>
      <c r="C111">
        <v>22</v>
      </c>
      <c r="D111">
        <v>54</v>
      </c>
      <c r="E111">
        <v>17.75</v>
      </c>
      <c r="F111">
        <v>11</v>
      </c>
      <c r="G111">
        <v>36.299999999999997</v>
      </c>
      <c r="H111">
        <v>2</v>
      </c>
      <c r="I111" t="s">
        <v>13</v>
      </c>
      <c r="J111" s="3">
        <v>54.295833333333299</v>
      </c>
      <c r="K111" s="3">
        <v>11.605</v>
      </c>
      <c r="L111" t="s">
        <v>14</v>
      </c>
      <c r="M111" t="str">
        <f t="shared" si="4"/>
        <v>GER</v>
      </c>
      <c r="S111">
        <v>1</v>
      </c>
      <c r="V111">
        <f t="shared" si="3"/>
        <v>1</v>
      </c>
    </row>
    <row r="112" spans="1:22" x14ac:dyDescent="0.25">
      <c r="A112">
        <v>24001</v>
      </c>
      <c r="B112" t="s">
        <v>25</v>
      </c>
      <c r="C112">
        <v>24</v>
      </c>
      <c r="D112">
        <v>54</v>
      </c>
      <c r="E112">
        <v>23.05</v>
      </c>
      <c r="F112">
        <v>12</v>
      </c>
      <c r="G112">
        <v>11.63</v>
      </c>
      <c r="H112">
        <v>2</v>
      </c>
      <c r="I112" t="s">
        <v>13</v>
      </c>
      <c r="J112" s="3">
        <v>54.384166666666701</v>
      </c>
      <c r="K112" s="3">
        <v>12.1938333333333</v>
      </c>
      <c r="L112" t="s">
        <v>14</v>
      </c>
      <c r="M112" t="str">
        <f t="shared" si="4"/>
        <v>GER</v>
      </c>
      <c r="S112">
        <v>1</v>
      </c>
      <c r="V112">
        <f t="shared" si="3"/>
        <v>1</v>
      </c>
    </row>
    <row r="113" spans="1:22" x14ac:dyDescent="0.25">
      <c r="A113">
        <v>24002</v>
      </c>
      <c r="B113" t="s">
        <v>25</v>
      </c>
      <c r="C113">
        <v>24</v>
      </c>
      <c r="D113">
        <v>54</v>
      </c>
      <c r="E113">
        <v>26.48</v>
      </c>
      <c r="F113">
        <v>12</v>
      </c>
      <c r="G113">
        <v>20.88</v>
      </c>
      <c r="H113">
        <v>2</v>
      </c>
      <c r="I113" t="s">
        <v>13</v>
      </c>
      <c r="J113" s="3">
        <v>54.441333333333297</v>
      </c>
      <c r="K113" s="3">
        <v>12.348000000000001</v>
      </c>
      <c r="L113" t="s">
        <v>14</v>
      </c>
      <c r="M113" t="str">
        <f t="shared" si="4"/>
        <v>GER</v>
      </c>
      <c r="S113">
        <v>1</v>
      </c>
      <c r="V113">
        <f t="shared" si="3"/>
        <v>1</v>
      </c>
    </row>
    <row r="114" spans="1:22" x14ac:dyDescent="0.25">
      <c r="A114">
        <v>24016</v>
      </c>
      <c r="B114" t="s">
        <v>26</v>
      </c>
      <c r="C114">
        <v>24</v>
      </c>
      <c r="D114">
        <v>54</v>
      </c>
      <c r="E114">
        <v>41.28</v>
      </c>
      <c r="F114">
        <v>12</v>
      </c>
      <c r="G114">
        <v>58.35</v>
      </c>
      <c r="H114">
        <v>2</v>
      </c>
      <c r="I114" t="s">
        <v>13</v>
      </c>
      <c r="J114" s="3">
        <v>54.688000000000002</v>
      </c>
      <c r="K114" s="3">
        <v>12.9725</v>
      </c>
      <c r="L114" t="s">
        <v>14</v>
      </c>
      <c r="M114" t="str">
        <f t="shared" si="4"/>
        <v>GER</v>
      </c>
      <c r="S114">
        <v>1</v>
      </c>
      <c r="V114">
        <f t="shared" si="3"/>
        <v>1</v>
      </c>
    </row>
    <row r="115" spans="1:22" x14ac:dyDescent="0.25">
      <c r="A115">
        <v>24017</v>
      </c>
      <c r="B115" t="s">
        <v>26</v>
      </c>
      <c r="C115">
        <v>24</v>
      </c>
      <c r="D115">
        <v>54</v>
      </c>
      <c r="E115">
        <v>52.97</v>
      </c>
      <c r="F115">
        <v>12</v>
      </c>
      <c r="G115">
        <v>36.409999999999997</v>
      </c>
      <c r="H115">
        <v>2</v>
      </c>
      <c r="I115" t="s">
        <v>16</v>
      </c>
      <c r="J115" s="3">
        <v>54.882833333333302</v>
      </c>
      <c r="K115" s="3">
        <v>12.6068333333333</v>
      </c>
      <c r="L115" t="s">
        <v>14</v>
      </c>
      <c r="M115" t="str">
        <f t="shared" si="4"/>
        <v>GER</v>
      </c>
      <c r="S115">
        <v>1</v>
      </c>
      <c r="V115">
        <f t="shared" si="3"/>
        <v>1</v>
      </c>
    </row>
    <row r="116" spans="1:22" x14ac:dyDescent="0.25">
      <c r="A116">
        <v>24031</v>
      </c>
      <c r="B116" t="s">
        <v>29</v>
      </c>
      <c r="C116">
        <v>24</v>
      </c>
      <c r="D116">
        <v>54</v>
      </c>
      <c r="E116">
        <v>39.11</v>
      </c>
      <c r="F116">
        <v>13</v>
      </c>
      <c r="G116">
        <v>50.17</v>
      </c>
      <c r="H116">
        <v>2</v>
      </c>
      <c r="I116" t="s">
        <v>13</v>
      </c>
      <c r="J116" s="3">
        <v>54.6518333333333</v>
      </c>
      <c r="K116" s="3">
        <v>13.836166666666699</v>
      </c>
      <c r="L116" t="s">
        <v>14</v>
      </c>
      <c r="M116" t="str">
        <f t="shared" si="4"/>
        <v>GER</v>
      </c>
      <c r="S116">
        <v>1</v>
      </c>
      <c r="V116">
        <f t="shared" si="3"/>
        <v>1</v>
      </c>
    </row>
    <row r="117" spans="1:22" x14ac:dyDescent="0.25">
      <c r="A117">
        <v>24046</v>
      </c>
      <c r="B117" t="s">
        <v>30</v>
      </c>
      <c r="C117">
        <v>24</v>
      </c>
      <c r="D117">
        <v>54</v>
      </c>
      <c r="E117">
        <v>40.200000000000003</v>
      </c>
      <c r="F117">
        <v>14</v>
      </c>
      <c r="G117">
        <v>30.7</v>
      </c>
      <c r="H117">
        <v>2</v>
      </c>
      <c r="I117" t="s">
        <v>16</v>
      </c>
      <c r="J117" s="3">
        <v>54.67</v>
      </c>
      <c r="K117" s="3">
        <v>14.5116666666667</v>
      </c>
      <c r="L117" t="s">
        <v>14</v>
      </c>
      <c r="M117" t="str">
        <f t="shared" si="4"/>
        <v>GER</v>
      </c>
      <c r="S117">
        <v>1</v>
      </c>
      <c r="V117">
        <f t="shared" si="3"/>
        <v>1</v>
      </c>
    </row>
    <row r="118" spans="1:22" x14ac:dyDescent="0.25">
      <c r="A118">
        <v>24047</v>
      </c>
      <c r="B118" t="s">
        <v>30</v>
      </c>
      <c r="C118">
        <v>24</v>
      </c>
      <c r="D118">
        <v>54</v>
      </c>
      <c r="E118">
        <v>35.4</v>
      </c>
      <c r="F118">
        <v>14</v>
      </c>
      <c r="G118">
        <v>27.96</v>
      </c>
      <c r="H118">
        <v>2</v>
      </c>
      <c r="I118" t="s">
        <v>13</v>
      </c>
      <c r="J118" s="3">
        <v>54.59</v>
      </c>
      <c r="K118" s="3">
        <v>14.465999999999999</v>
      </c>
      <c r="L118" t="s">
        <v>14</v>
      </c>
      <c r="M118" t="str">
        <f t="shared" si="4"/>
        <v>GER</v>
      </c>
      <c r="S118">
        <v>1</v>
      </c>
      <c r="V118">
        <f t="shared" si="3"/>
        <v>1</v>
      </c>
    </row>
    <row r="119" spans="1:22" x14ac:dyDescent="0.25">
      <c r="A119">
        <v>24059</v>
      </c>
      <c r="B119" t="s">
        <v>26</v>
      </c>
      <c r="C119">
        <v>24</v>
      </c>
      <c r="D119">
        <v>54</v>
      </c>
      <c r="E119">
        <v>46.77</v>
      </c>
      <c r="F119">
        <v>12</v>
      </c>
      <c r="G119">
        <v>21.78</v>
      </c>
      <c r="H119">
        <v>2</v>
      </c>
      <c r="I119" t="s">
        <v>16</v>
      </c>
      <c r="J119" s="3">
        <v>54.779499999999999</v>
      </c>
      <c r="K119" s="3">
        <v>12.363</v>
      </c>
      <c r="L119" t="s">
        <v>14</v>
      </c>
      <c r="M119" t="str">
        <f t="shared" si="4"/>
        <v>GER</v>
      </c>
      <c r="S119">
        <v>1</v>
      </c>
      <c r="V119">
        <f t="shared" si="3"/>
        <v>1</v>
      </c>
    </row>
    <row r="120" spans="1:22" x14ac:dyDescent="0.25">
      <c r="A120">
        <v>24063</v>
      </c>
      <c r="B120" t="s">
        <v>29</v>
      </c>
      <c r="C120">
        <v>24</v>
      </c>
      <c r="D120">
        <v>54</v>
      </c>
      <c r="E120">
        <v>42.6</v>
      </c>
      <c r="F120">
        <v>13</v>
      </c>
      <c r="G120">
        <v>9</v>
      </c>
      <c r="H120">
        <v>2</v>
      </c>
      <c r="I120" t="s">
        <v>13</v>
      </c>
      <c r="J120" s="3">
        <v>54.71</v>
      </c>
      <c r="K120" s="3">
        <v>13.15</v>
      </c>
      <c r="L120" t="s">
        <v>14</v>
      </c>
      <c r="M120" t="str">
        <f t="shared" si="4"/>
        <v>GER</v>
      </c>
      <c r="S120">
        <v>1</v>
      </c>
      <c r="V120">
        <f t="shared" si="3"/>
        <v>1</v>
      </c>
    </row>
    <row r="121" spans="1:22" x14ac:dyDescent="0.25">
      <c r="A121">
        <v>24089</v>
      </c>
      <c r="B121" t="s">
        <v>26</v>
      </c>
      <c r="C121">
        <v>24</v>
      </c>
      <c r="D121">
        <v>54</v>
      </c>
      <c r="E121">
        <v>54.125399999999999</v>
      </c>
      <c r="F121">
        <v>12</v>
      </c>
      <c r="G121">
        <v>54</v>
      </c>
      <c r="H121">
        <v>3</v>
      </c>
      <c r="I121" t="s">
        <v>16</v>
      </c>
      <c r="J121" s="3">
        <v>54.902090000000001</v>
      </c>
      <c r="K121" s="3">
        <v>12.9</v>
      </c>
      <c r="L121" t="s">
        <v>14</v>
      </c>
      <c r="M121" t="str">
        <f t="shared" si="4"/>
        <v>GER</v>
      </c>
      <c r="S121">
        <v>1</v>
      </c>
      <c r="V121">
        <f t="shared" si="3"/>
        <v>1</v>
      </c>
    </row>
    <row r="122" spans="1:22" x14ac:dyDescent="0.25">
      <c r="A122">
        <v>24092</v>
      </c>
      <c r="B122" t="s">
        <v>30</v>
      </c>
      <c r="C122">
        <v>24</v>
      </c>
      <c r="D122">
        <v>54</v>
      </c>
      <c r="E122">
        <v>52.3</v>
      </c>
      <c r="F122">
        <v>14</v>
      </c>
      <c r="G122">
        <v>57.8</v>
      </c>
      <c r="H122">
        <v>3</v>
      </c>
      <c r="I122" t="s">
        <v>16</v>
      </c>
      <c r="J122" s="3">
        <v>54.871666666666698</v>
      </c>
      <c r="K122" s="3">
        <v>14.963333333333299</v>
      </c>
      <c r="L122" t="s">
        <v>14</v>
      </c>
      <c r="M122" t="str">
        <f t="shared" si="4"/>
        <v>GER</v>
      </c>
      <c r="S122">
        <v>1</v>
      </c>
      <c r="V122">
        <f t="shared" si="3"/>
        <v>1</v>
      </c>
    </row>
    <row r="123" spans="1:22" x14ac:dyDescent="0.25">
      <c r="A123">
        <v>24094</v>
      </c>
      <c r="B123" t="s">
        <v>32</v>
      </c>
      <c r="C123">
        <v>24</v>
      </c>
      <c r="D123">
        <v>55</v>
      </c>
      <c r="E123">
        <v>5</v>
      </c>
      <c r="F123">
        <v>12</v>
      </c>
      <c r="G123">
        <v>47</v>
      </c>
      <c r="H123">
        <v>2</v>
      </c>
      <c r="I123" t="s">
        <v>16</v>
      </c>
      <c r="J123" s="3">
        <v>55.0833333333333</v>
      </c>
      <c r="K123" s="3">
        <v>12.783333333333299</v>
      </c>
      <c r="L123" t="s">
        <v>14</v>
      </c>
      <c r="M123" t="str">
        <f t="shared" si="4"/>
        <v>GER</v>
      </c>
      <c r="S123">
        <v>1</v>
      </c>
      <c r="V123">
        <f t="shared" si="3"/>
        <v>1</v>
      </c>
    </row>
    <row r="124" spans="1:22" x14ac:dyDescent="0.25">
      <c r="A124">
        <v>24104</v>
      </c>
      <c r="B124" t="s">
        <v>35</v>
      </c>
      <c r="C124">
        <v>24</v>
      </c>
      <c r="D124">
        <v>55</v>
      </c>
      <c r="E124">
        <v>3.98</v>
      </c>
      <c r="F124">
        <v>13</v>
      </c>
      <c r="G124">
        <v>20.399999999999999</v>
      </c>
      <c r="H124">
        <v>3</v>
      </c>
      <c r="I124" t="s">
        <v>34</v>
      </c>
      <c r="J124" s="3">
        <v>55.066333333333297</v>
      </c>
      <c r="K124" s="3">
        <v>13.34</v>
      </c>
      <c r="L124" t="s">
        <v>14</v>
      </c>
      <c r="M124" t="str">
        <f t="shared" si="4"/>
        <v>GER</v>
      </c>
      <c r="S124">
        <v>1</v>
      </c>
      <c r="V124">
        <f t="shared" si="3"/>
        <v>1</v>
      </c>
    </row>
    <row r="125" spans="1:22" x14ac:dyDescent="0.25">
      <c r="A125">
        <v>24142</v>
      </c>
      <c r="B125" t="s">
        <v>33</v>
      </c>
      <c r="C125">
        <v>24</v>
      </c>
      <c r="D125">
        <v>55</v>
      </c>
      <c r="E125">
        <v>16.399999999999999</v>
      </c>
      <c r="F125">
        <v>14</v>
      </c>
      <c r="G125">
        <v>5</v>
      </c>
      <c r="H125">
        <v>2</v>
      </c>
      <c r="I125" t="s">
        <v>34</v>
      </c>
      <c r="J125" s="3">
        <v>55.273333333333298</v>
      </c>
      <c r="K125" s="3">
        <v>14.0833333333333</v>
      </c>
      <c r="L125" t="s">
        <v>14</v>
      </c>
      <c r="M125" t="str">
        <f t="shared" si="4"/>
        <v>GER</v>
      </c>
      <c r="S125">
        <v>1</v>
      </c>
      <c r="V125">
        <f t="shared" si="3"/>
        <v>1</v>
      </c>
    </row>
    <row r="126" spans="1:22" x14ac:dyDescent="0.25">
      <c r="A126">
        <v>24153</v>
      </c>
      <c r="B126" t="s">
        <v>29</v>
      </c>
      <c r="C126">
        <v>24</v>
      </c>
      <c r="D126">
        <v>54</v>
      </c>
      <c r="E126">
        <v>45.22</v>
      </c>
      <c r="F126">
        <v>13</v>
      </c>
      <c r="G126">
        <v>31.23</v>
      </c>
      <c r="H126">
        <v>3</v>
      </c>
      <c r="I126" t="s">
        <v>13</v>
      </c>
      <c r="J126" s="3">
        <v>54.753666666666703</v>
      </c>
      <c r="K126" s="3">
        <v>13.5205</v>
      </c>
      <c r="L126" t="s">
        <v>14</v>
      </c>
      <c r="M126" t="str">
        <f t="shared" si="4"/>
        <v>GER</v>
      </c>
      <c r="S126">
        <v>1</v>
      </c>
      <c r="V126">
        <f t="shared" si="3"/>
        <v>1</v>
      </c>
    </row>
    <row r="127" spans="1:22" x14ac:dyDescent="0.25">
      <c r="A127">
        <v>24156</v>
      </c>
      <c r="B127" t="s">
        <v>29</v>
      </c>
      <c r="C127">
        <v>24</v>
      </c>
      <c r="D127">
        <v>54</v>
      </c>
      <c r="E127">
        <v>43.32</v>
      </c>
      <c r="F127">
        <v>13</v>
      </c>
      <c r="G127">
        <v>43.57</v>
      </c>
      <c r="H127">
        <v>3</v>
      </c>
      <c r="I127" t="s">
        <v>13</v>
      </c>
      <c r="J127" s="3">
        <v>54.722000000000001</v>
      </c>
      <c r="K127" s="3">
        <v>13.7261666666667</v>
      </c>
      <c r="L127" t="s">
        <v>14</v>
      </c>
      <c r="M127" t="str">
        <f t="shared" si="4"/>
        <v>GER</v>
      </c>
      <c r="S127">
        <v>1</v>
      </c>
      <c r="V127">
        <f t="shared" si="3"/>
        <v>1</v>
      </c>
    </row>
    <row r="128" spans="1:22" x14ac:dyDescent="0.25">
      <c r="A128">
        <v>24161</v>
      </c>
      <c r="B128" t="s">
        <v>29</v>
      </c>
      <c r="C128">
        <v>24</v>
      </c>
      <c r="D128">
        <v>54</v>
      </c>
      <c r="E128">
        <v>46.2</v>
      </c>
      <c r="F128">
        <v>13</v>
      </c>
      <c r="G128">
        <v>58.3</v>
      </c>
      <c r="H128">
        <v>3</v>
      </c>
      <c r="I128" t="s">
        <v>13</v>
      </c>
      <c r="J128" s="3">
        <v>54.77</v>
      </c>
      <c r="K128" s="3">
        <v>13.9716666666667</v>
      </c>
      <c r="L128" t="s">
        <v>14</v>
      </c>
      <c r="M128" t="str">
        <f t="shared" si="4"/>
        <v>GER</v>
      </c>
      <c r="S128">
        <v>1</v>
      </c>
      <c r="V128">
        <f t="shared" si="3"/>
        <v>1</v>
      </c>
    </row>
    <row r="129" spans="1:22" x14ac:dyDescent="0.25">
      <c r="A129">
        <v>24173</v>
      </c>
      <c r="B129" t="s">
        <v>29</v>
      </c>
      <c r="C129">
        <v>24</v>
      </c>
      <c r="D129">
        <v>54</v>
      </c>
      <c r="E129">
        <v>52.58</v>
      </c>
      <c r="F129">
        <v>13</v>
      </c>
      <c r="G129">
        <v>13.14</v>
      </c>
      <c r="H129">
        <v>3</v>
      </c>
      <c r="I129" t="s">
        <v>13</v>
      </c>
      <c r="J129" s="3">
        <v>54.876333333333299</v>
      </c>
      <c r="K129" s="3">
        <v>13.218999999999999</v>
      </c>
      <c r="L129" t="s">
        <v>14</v>
      </c>
      <c r="M129" t="str">
        <f t="shared" si="4"/>
        <v>GER</v>
      </c>
      <c r="S129">
        <v>1</v>
      </c>
      <c r="V129">
        <f t="shared" si="3"/>
        <v>1</v>
      </c>
    </row>
    <row r="130" spans="1:22" x14ac:dyDescent="0.25">
      <c r="A130">
        <v>24190</v>
      </c>
      <c r="B130" t="s">
        <v>29</v>
      </c>
      <c r="C130">
        <v>24</v>
      </c>
      <c r="D130">
        <v>54</v>
      </c>
      <c r="E130">
        <v>55.58</v>
      </c>
      <c r="F130">
        <v>13</v>
      </c>
      <c r="G130">
        <v>40.200000000000003</v>
      </c>
      <c r="H130">
        <v>3</v>
      </c>
      <c r="I130" t="s">
        <v>13</v>
      </c>
      <c r="J130" s="3">
        <v>54.926333333333297</v>
      </c>
      <c r="K130" s="3">
        <v>13.67</v>
      </c>
      <c r="L130" t="s">
        <v>14</v>
      </c>
      <c r="M130" t="str">
        <f t="shared" si="4"/>
        <v>GER</v>
      </c>
      <c r="S130">
        <v>1</v>
      </c>
      <c r="V130">
        <f t="shared" ref="V130:V193" si="5">SUM(N130:U130)</f>
        <v>1</v>
      </c>
    </row>
    <row r="131" spans="1:22" x14ac:dyDescent="0.25">
      <c r="A131">
        <v>24192</v>
      </c>
      <c r="B131" t="s">
        <v>29</v>
      </c>
      <c r="C131">
        <v>24</v>
      </c>
      <c r="D131">
        <v>54</v>
      </c>
      <c r="E131">
        <v>51.9</v>
      </c>
      <c r="F131">
        <v>13</v>
      </c>
      <c r="G131">
        <v>50.1</v>
      </c>
      <c r="H131">
        <v>3</v>
      </c>
      <c r="I131" t="s">
        <v>13</v>
      </c>
      <c r="J131" s="3">
        <v>54.865000000000002</v>
      </c>
      <c r="K131" s="3">
        <v>13.835000000000001</v>
      </c>
      <c r="L131" t="s">
        <v>14</v>
      </c>
      <c r="M131" t="str">
        <f t="shared" si="4"/>
        <v>GER</v>
      </c>
      <c r="S131">
        <v>1</v>
      </c>
      <c r="V131">
        <f t="shared" si="5"/>
        <v>1</v>
      </c>
    </row>
    <row r="132" spans="1:22" x14ac:dyDescent="0.25">
      <c r="A132">
        <v>24195</v>
      </c>
      <c r="B132" t="s">
        <v>29</v>
      </c>
      <c r="C132">
        <v>24</v>
      </c>
      <c r="D132">
        <v>54</v>
      </c>
      <c r="E132">
        <v>57.6</v>
      </c>
      <c r="F132">
        <v>13</v>
      </c>
      <c r="G132">
        <v>59.1</v>
      </c>
      <c r="H132">
        <v>3</v>
      </c>
      <c r="I132" t="s">
        <v>13</v>
      </c>
      <c r="J132" s="3">
        <v>54.96</v>
      </c>
      <c r="K132" s="3">
        <v>13.984999999999999</v>
      </c>
      <c r="L132" t="s">
        <v>14</v>
      </c>
      <c r="M132" t="str">
        <f t="shared" si="4"/>
        <v>GER</v>
      </c>
      <c r="S132">
        <v>1</v>
      </c>
      <c r="V132">
        <f t="shared" si="5"/>
        <v>1</v>
      </c>
    </row>
    <row r="133" spans="1:22" x14ac:dyDescent="0.25">
      <c r="A133">
        <v>24205</v>
      </c>
      <c r="B133" t="s">
        <v>30</v>
      </c>
      <c r="C133">
        <v>24</v>
      </c>
      <c r="D133">
        <v>54</v>
      </c>
      <c r="E133">
        <v>53.93</v>
      </c>
      <c r="F133">
        <v>14</v>
      </c>
      <c r="G133">
        <v>5.8</v>
      </c>
      <c r="H133">
        <v>3</v>
      </c>
      <c r="I133" t="s">
        <v>16</v>
      </c>
      <c r="J133" s="3">
        <v>54.8988333333333</v>
      </c>
      <c r="K133" s="3">
        <v>14.0966666666667</v>
      </c>
      <c r="L133" t="s">
        <v>14</v>
      </c>
      <c r="M133" t="str">
        <f t="shared" si="4"/>
        <v>GER</v>
      </c>
      <c r="S133">
        <v>1</v>
      </c>
      <c r="V133">
        <f t="shared" si="5"/>
        <v>1</v>
      </c>
    </row>
    <row r="134" spans="1:22" x14ac:dyDescent="0.25">
      <c r="A134">
        <v>24210</v>
      </c>
      <c r="B134" t="s">
        <v>35</v>
      </c>
      <c r="C134">
        <v>24</v>
      </c>
      <c r="D134">
        <v>55</v>
      </c>
      <c r="E134">
        <v>1.02</v>
      </c>
      <c r="F134">
        <v>13</v>
      </c>
      <c r="G134">
        <v>18.399999999999999</v>
      </c>
      <c r="H134">
        <v>3</v>
      </c>
      <c r="I134" t="s">
        <v>34</v>
      </c>
      <c r="J134" s="3">
        <v>55.017000000000003</v>
      </c>
      <c r="K134" s="3">
        <v>13.3066666666667</v>
      </c>
      <c r="L134" t="s">
        <v>14</v>
      </c>
      <c r="M134" t="str">
        <f t="shared" si="4"/>
        <v>GER</v>
      </c>
      <c r="S134">
        <v>1</v>
      </c>
      <c r="V134">
        <f t="shared" si="5"/>
        <v>1</v>
      </c>
    </row>
    <row r="135" spans="1:22" x14ac:dyDescent="0.25">
      <c r="A135">
        <v>24211</v>
      </c>
      <c r="B135" t="s">
        <v>35</v>
      </c>
      <c r="C135">
        <v>24</v>
      </c>
      <c r="D135">
        <v>55</v>
      </c>
      <c r="E135">
        <v>3.89</v>
      </c>
      <c r="F135">
        <v>13</v>
      </c>
      <c r="G135">
        <v>16.5</v>
      </c>
      <c r="H135">
        <v>3</v>
      </c>
      <c r="I135" t="s">
        <v>34</v>
      </c>
      <c r="J135" s="3">
        <v>55.064833333333297</v>
      </c>
      <c r="K135" s="3">
        <v>13.275</v>
      </c>
      <c r="L135" t="s">
        <v>14</v>
      </c>
      <c r="M135" t="str">
        <f t="shared" si="4"/>
        <v>GER</v>
      </c>
      <c r="S135">
        <v>1</v>
      </c>
      <c r="V135">
        <f t="shared" si="5"/>
        <v>1</v>
      </c>
    </row>
    <row r="136" spans="1:22" x14ac:dyDescent="0.25">
      <c r="A136">
        <v>24212</v>
      </c>
      <c r="B136" t="s">
        <v>29</v>
      </c>
      <c r="C136">
        <v>24</v>
      </c>
      <c r="D136">
        <v>55</v>
      </c>
      <c r="E136">
        <v>0.11</v>
      </c>
      <c r="F136">
        <v>13</v>
      </c>
      <c r="G136">
        <v>23.42</v>
      </c>
      <c r="H136">
        <v>3</v>
      </c>
      <c r="I136" t="s">
        <v>13</v>
      </c>
      <c r="J136" s="3">
        <v>55.001833333333302</v>
      </c>
      <c r="K136" s="3">
        <v>13.390333333333301</v>
      </c>
      <c r="L136" t="s">
        <v>14</v>
      </c>
      <c r="M136" t="str">
        <f t="shared" si="4"/>
        <v>GER</v>
      </c>
      <c r="S136">
        <v>1</v>
      </c>
      <c r="V136">
        <f t="shared" si="5"/>
        <v>1</v>
      </c>
    </row>
    <row r="137" spans="1:22" x14ac:dyDescent="0.25">
      <c r="A137">
        <v>24245</v>
      </c>
      <c r="B137" t="s">
        <v>33</v>
      </c>
      <c r="C137">
        <v>24</v>
      </c>
      <c r="D137">
        <v>55</v>
      </c>
      <c r="E137">
        <v>5.42</v>
      </c>
      <c r="F137">
        <v>14</v>
      </c>
      <c r="G137">
        <v>18.55</v>
      </c>
      <c r="H137">
        <v>3</v>
      </c>
      <c r="I137" t="s">
        <v>16</v>
      </c>
      <c r="J137" s="3">
        <v>55.090333333333298</v>
      </c>
      <c r="K137" s="3">
        <v>14.3091666666667</v>
      </c>
      <c r="L137" t="s">
        <v>14</v>
      </c>
      <c r="M137" t="str">
        <f t="shared" si="4"/>
        <v>GER</v>
      </c>
      <c r="S137">
        <v>1</v>
      </c>
      <c r="V137">
        <f t="shared" si="5"/>
        <v>1</v>
      </c>
    </row>
    <row r="138" spans="1:22" x14ac:dyDescent="0.25">
      <c r="A138">
        <v>24267</v>
      </c>
      <c r="B138" t="s">
        <v>35</v>
      </c>
      <c r="C138">
        <v>24</v>
      </c>
      <c r="D138">
        <v>55</v>
      </c>
      <c r="E138">
        <v>15.4</v>
      </c>
      <c r="F138">
        <v>13</v>
      </c>
      <c r="G138">
        <v>59.9</v>
      </c>
      <c r="H138">
        <v>2</v>
      </c>
      <c r="I138" t="s">
        <v>34</v>
      </c>
      <c r="J138" s="3">
        <v>55.256666666666703</v>
      </c>
      <c r="K138" s="3">
        <v>13.998333333333299</v>
      </c>
      <c r="L138" t="s">
        <v>14</v>
      </c>
      <c r="M138" t="str">
        <f t="shared" si="4"/>
        <v>GER</v>
      </c>
      <c r="S138">
        <v>1</v>
      </c>
      <c r="V138">
        <f t="shared" si="5"/>
        <v>1</v>
      </c>
    </row>
    <row r="139" spans="1:22" x14ac:dyDescent="0.25">
      <c r="A139">
        <v>24280</v>
      </c>
      <c r="B139" t="s">
        <v>26</v>
      </c>
      <c r="C139">
        <v>24</v>
      </c>
      <c r="D139">
        <v>54</v>
      </c>
      <c r="E139">
        <v>41.32</v>
      </c>
      <c r="F139">
        <v>12</v>
      </c>
      <c r="G139">
        <v>11.83</v>
      </c>
      <c r="H139">
        <v>2</v>
      </c>
      <c r="I139" t="s">
        <v>16</v>
      </c>
      <c r="J139" s="3">
        <v>54.688666666666698</v>
      </c>
      <c r="K139" s="3">
        <v>12.1971666666667</v>
      </c>
      <c r="L139" t="s">
        <v>14</v>
      </c>
      <c r="M139" t="str">
        <f t="shared" si="4"/>
        <v>GER</v>
      </c>
      <c r="S139">
        <v>1</v>
      </c>
      <c r="V139">
        <f t="shared" si="5"/>
        <v>1</v>
      </c>
    </row>
    <row r="140" spans="1:22" x14ac:dyDescent="0.25">
      <c r="A140">
        <v>24286</v>
      </c>
      <c r="B140" t="s">
        <v>30</v>
      </c>
      <c r="C140">
        <v>24</v>
      </c>
      <c r="D140">
        <v>54</v>
      </c>
      <c r="E140">
        <v>41.56</v>
      </c>
      <c r="F140">
        <v>14</v>
      </c>
      <c r="G140">
        <v>39.445</v>
      </c>
      <c r="H140">
        <v>3</v>
      </c>
      <c r="I140" t="s">
        <v>16</v>
      </c>
      <c r="J140" s="3">
        <v>54.692666666666703</v>
      </c>
      <c r="K140" s="3">
        <v>14.6574166666667</v>
      </c>
      <c r="L140" t="s">
        <v>14</v>
      </c>
      <c r="M140" t="str">
        <f t="shared" si="4"/>
        <v>GER</v>
      </c>
      <c r="S140">
        <v>1</v>
      </c>
      <c r="V140">
        <f t="shared" si="5"/>
        <v>1</v>
      </c>
    </row>
    <row r="141" spans="1:22" x14ac:dyDescent="0.25">
      <c r="A141">
        <v>24289</v>
      </c>
      <c r="B141" t="s">
        <v>29</v>
      </c>
      <c r="C141">
        <v>24</v>
      </c>
      <c r="D141">
        <v>54</v>
      </c>
      <c r="E141">
        <v>55.9</v>
      </c>
      <c r="F141">
        <v>13</v>
      </c>
      <c r="G141">
        <v>15.5</v>
      </c>
      <c r="H141">
        <v>3</v>
      </c>
      <c r="I141" t="s">
        <v>13</v>
      </c>
      <c r="J141" s="3">
        <v>54.9316666666667</v>
      </c>
      <c r="K141" s="3">
        <v>13.258333333333301</v>
      </c>
      <c r="L141" t="s">
        <v>14</v>
      </c>
      <c r="M141" t="str">
        <f t="shared" si="4"/>
        <v>GER</v>
      </c>
      <c r="S141">
        <v>1</v>
      </c>
      <c r="V141">
        <f t="shared" si="5"/>
        <v>1</v>
      </c>
    </row>
    <row r="142" spans="1:22" x14ac:dyDescent="0.25">
      <c r="A142">
        <v>24300</v>
      </c>
      <c r="B142" t="s">
        <v>30</v>
      </c>
      <c r="C142">
        <v>24</v>
      </c>
      <c r="D142">
        <v>54</v>
      </c>
      <c r="E142">
        <v>51.74</v>
      </c>
      <c r="F142">
        <v>14</v>
      </c>
      <c r="G142">
        <v>47.68</v>
      </c>
      <c r="H142">
        <v>2</v>
      </c>
      <c r="I142" t="s">
        <v>16</v>
      </c>
      <c r="J142" s="3">
        <v>54.862333333333297</v>
      </c>
      <c r="K142" s="3">
        <v>14.7946666666667</v>
      </c>
      <c r="L142" t="s">
        <v>14</v>
      </c>
      <c r="M142" t="str">
        <f t="shared" si="4"/>
        <v>GER</v>
      </c>
      <c r="S142">
        <v>1</v>
      </c>
      <c r="V142">
        <f t="shared" si="5"/>
        <v>1</v>
      </c>
    </row>
    <row r="143" spans="1:22" x14ac:dyDescent="0.25">
      <c r="A143">
        <v>24301</v>
      </c>
      <c r="B143" t="s">
        <v>35</v>
      </c>
      <c r="C143">
        <v>24</v>
      </c>
      <c r="D143">
        <v>55</v>
      </c>
      <c r="E143">
        <v>3.36</v>
      </c>
      <c r="F143">
        <v>13</v>
      </c>
      <c r="G143">
        <v>38.36</v>
      </c>
      <c r="H143">
        <v>2</v>
      </c>
      <c r="I143" t="s">
        <v>34</v>
      </c>
      <c r="J143" s="3">
        <v>55.055999999999997</v>
      </c>
      <c r="K143" s="3">
        <v>13.639333333333299</v>
      </c>
      <c r="L143" t="s">
        <v>14</v>
      </c>
      <c r="M143" t="str">
        <f t="shared" si="4"/>
        <v>GER</v>
      </c>
      <c r="S143">
        <v>1</v>
      </c>
      <c r="V143">
        <f t="shared" si="5"/>
        <v>1</v>
      </c>
    </row>
    <row r="144" spans="1:22" x14ac:dyDescent="0.25">
      <c r="A144">
        <v>24307</v>
      </c>
      <c r="B144" t="s">
        <v>30</v>
      </c>
      <c r="C144">
        <v>24</v>
      </c>
      <c r="D144">
        <v>54</v>
      </c>
      <c r="E144">
        <v>43.56</v>
      </c>
      <c r="F144">
        <v>14</v>
      </c>
      <c r="G144">
        <v>42.5</v>
      </c>
      <c r="H144">
        <v>3</v>
      </c>
      <c r="I144" t="s">
        <v>16</v>
      </c>
      <c r="J144" s="3">
        <v>54.725999999999999</v>
      </c>
      <c r="K144" s="3">
        <v>14.7083333333333</v>
      </c>
      <c r="L144" t="s">
        <v>14</v>
      </c>
      <c r="M144" t="str">
        <f t="shared" si="4"/>
        <v>GER</v>
      </c>
      <c r="S144">
        <v>1</v>
      </c>
      <c r="V144">
        <f t="shared" si="5"/>
        <v>1</v>
      </c>
    </row>
    <row r="145" spans="1:22" x14ac:dyDescent="0.25">
      <c r="A145">
        <v>24309</v>
      </c>
      <c r="B145" t="s">
        <v>29</v>
      </c>
      <c r="C145">
        <v>24</v>
      </c>
      <c r="D145">
        <v>54</v>
      </c>
      <c r="E145">
        <v>52.375599999999999</v>
      </c>
      <c r="F145">
        <v>13</v>
      </c>
      <c r="G145">
        <v>34.269399999999997</v>
      </c>
      <c r="H145">
        <v>3</v>
      </c>
      <c r="I145" t="s">
        <v>13</v>
      </c>
      <c r="J145" s="3">
        <v>54.8729266666667</v>
      </c>
      <c r="K145" s="3">
        <v>13.571156666666701</v>
      </c>
      <c r="L145" t="s">
        <v>14</v>
      </c>
      <c r="M145" t="str">
        <f t="shared" si="4"/>
        <v>GER</v>
      </c>
      <c r="S145">
        <v>1</v>
      </c>
      <c r="V145">
        <f t="shared" si="5"/>
        <v>1</v>
      </c>
    </row>
    <row r="146" spans="1:22" x14ac:dyDescent="0.25">
      <c r="A146">
        <v>24310</v>
      </c>
      <c r="B146" t="s">
        <v>29</v>
      </c>
      <c r="C146">
        <v>24</v>
      </c>
      <c r="D146">
        <v>54</v>
      </c>
      <c r="E146">
        <v>59.326999999999998</v>
      </c>
      <c r="F146">
        <v>13</v>
      </c>
      <c r="G146">
        <v>52.183599999999998</v>
      </c>
      <c r="H146">
        <v>3</v>
      </c>
      <c r="I146" t="s">
        <v>13</v>
      </c>
      <c r="J146" s="3">
        <v>54.988783333333302</v>
      </c>
      <c r="K146" s="3">
        <v>13.869726666666701</v>
      </c>
      <c r="L146" t="s">
        <v>14</v>
      </c>
      <c r="M146" t="str">
        <f t="shared" si="4"/>
        <v>GER</v>
      </c>
      <c r="S146">
        <v>1</v>
      </c>
      <c r="V146">
        <f t="shared" si="5"/>
        <v>1</v>
      </c>
    </row>
    <row r="147" spans="1:22" x14ac:dyDescent="0.25">
      <c r="A147">
        <v>24311</v>
      </c>
      <c r="B147" t="s">
        <v>30</v>
      </c>
      <c r="C147">
        <v>24</v>
      </c>
      <c r="D147">
        <v>55</v>
      </c>
      <c r="E147">
        <v>0.88</v>
      </c>
      <c r="F147">
        <v>14</v>
      </c>
      <c r="G147">
        <v>16.399999999999999</v>
      </c>
      <c r="H147">
        <v>3</v>
      </c>
      <c r="I147" t="s">
        <v>16</v>
      </c>
      <c r="J147" s="3">
        <v>55.014666666666699</v>
      </c>
      <c r="K147" s="3">
        <v>14.2733333333333</v>
      </c>
      <c r="L147" t="s">
        <v>14</v>
      </c>
      <c r="M147" t="str">
        <f t="shared" ref="M147:M210" si="6">IF(N147=1,"DEN",IF(O147=1,"SWE",IF(P147=1,"POL",IF(Q147=1,"LAT",IF(R147=1,"EST",IF(S147=1,"GER",IF(T147=1,"LTU",IF(U147=1,"RUS",""))))))))</f>
        <v>GER</v>
      </c>
      <c r="S147">
        <v>1</v>
      </c>
      <c r="V147">
        <f t="shared" si="5"/>
        <v>1</v>
      </c>
    </row>
    <row r="148" spans="1:22" x14ac:dyDescent="0.25">
      <c r="A148">
        <v>24313</v>
      </c>
      <c r="B148" t="s">
        <v>35</v>
      </c>
      <c r="C148">
        <v>24</v>
      </c>
      <c r="D148">
        <v>55</v>
      </c>
      <c r="E148">
        <v>2.3696000000000002</v>
      </c>
      <c r="F148">
        <v>13</v>
      </c>
      <c r="G148">
        <v>25.447600000000001</v>
      </c>
      <c r="H148">
        <v>3</v>
      </c>
      <c r="I148" t="s">
        <v>34</v>
      </c>
      <c r="J148" s="3">
        <v>55.039493333333297</v>
      </c>
      <c r="K148" s="3">
        <v>13.4241266666667</v>
      </c>
      <c r="L148" t="s">
        <v>14</v>
      </c>
      <c r="M148" t="str">
        <f t="shared" si="6"/>
        <v>GER</v>
      </c>
      <c r="S148">
        <v>1</v>
      </c>
      <c r="V148">
        <f t="shared" si="5"/>
        <v>1</v>
      </c>
    </row>
    <row r="149" spans="1:22" x14ac:dyDescent="0.25">
      <c r="A149">
        <v>24315</v>
      </c>
      <c r="B149" t="s">
        <v>35</v>
      </c>
      <c r="C149">
        <v>24</v>
      </c>
      <c r="D149">
        <v>55</v>
      </c>
      <c r="E149">
        <v>4.9000000000000004</v>
      </c>
      <c r="F149">
        <v>13</v>
      </c>
      <c r="G149">
        <v>43.54</v>
      </c>
      <c r="H149">
        <v>3</v>
      </c>
      <c r="I149" t="s">
        <v>34</v>
      </c>
      <c r="J149" s="3">
        <v>55.081666666666699</v>
      </c>
      <c r="K149" s="3">
        <v>13.725666666666701</v>
      </c>
      <c r="L149" t="s">
        <v>14</v>
      </c>
      <c r="M149" t="str">
        <f t="shared" si="6"/>
        <v>GER</v>
      </c>
      <c r="S149">
        <v>1</v>
      </c>
      <c r="V149">
        <f t="shared" si="5"/>
        <v>1</v>
      </c>
    </row>
    <row r="150" spans="1:22" x14ac:dyDescent="0.25">
      <c r="A150">
        <v>24317</v>
      </c>
      <c r="B150" t="s">
        <v>33</v>
      </c>
      <c r="C150">
        <v>24</v>
      </c>
      <c r="D150">
        <v>55</v>
      </c>
      <c r="E150">
        <v>9.4710000000000001</v>
      </c>
      <c r="F150">
        <v>14</v>
      </c>
      <c r="G150">
        <v>16.2058</v>
      </c>
      <c r="H150">
        <v>3</v>
      </c>
      <c r="I150" t="s">
        <v>16</v>
      </c>
      <c r="J150" s="3">
        <v>55.157850000000003</v>
      </c>
      <c r="K150" s="3">
        <v>14.270096666666699</v>
      </c>
      <c r="L150" t="s">
        <v>14</v>
      </c>
      <c r="M150" t="str">
        <f t="shared" si="6"/>
        <v>GER</v>
      </c>
      <c r="S150">
        <v>1</v>
      </c>
      <c r="V150">
        <f t="shared" si="5"/>
        <v>1</v>
      </c>
    </row>
    <row r="151" spans="1:22" x14ac:dyDescent="0.25">
      <c r="A151">
        <v>24319</v>
      </c>
      <c r="B151" t="s">
        <v>33</v>
      </c>
      <c r="C151">
        <v>24</v>
      </c>
      <c r="D151">
        <v>55</v>
      </c>
      <c r="E151">
        <v>5</v>
      </c>
      <c r="F151">
        <v>14</v>
      </c>
      <c r="G151">
        <v>10.199999999999999</v>
      </c>
      <c r="H151">
        <v>3</v>
      </c>
      <c r="I151" t="s">
        <v>16</v>
      </c>
      <c r="J151" s="3">
        <v>55.0833333333333</v>
      </c>
      <c r="K151" s="3">
        <v>14.17</v>
      </c>
      <c r="L151" t="s">
        <v>14</v>
      </c>
      <c r="M151" t="str">
        <f t="shared" si="6"/>
        <v>GER</v>
      </c>
      <c r="S151">
        <v>1</v>
      </c>
      <c r="V151">
        <f t="shared" si="5"/>
        <v>1</v>
      </c>
    </row>
    <row r="152" spans="1:22" x14ac:dyDescent="0.25">
      <c r="A152">
        <v>24323</v>
      </c>
      <c r="B152" t="s">
        <v>35</v>
      </c>
      <c r="C152">
        <v>24</v>
      </c>
      <c r="D152">
        <v>55</v>
      </c>
      <c r="E152">
        <v>14.9</v>
      </c>
      <c r="F152">
        <v>13</v>
      </c>
      <c r="G152">
        <v>52.1</v>
      </c>
      <c r="H152">
        <v>3</v>
      </c>
      <c r="I152" t="s">
        <v>34</v>
      </c>
      <c r="J152" s="3">
        <v>55.248333333333299</v>
      </c>
      <c r="K152" s="3">
        <v>13.8683333333333</v>
      </c>
      <c r="L152" t="s">
        <v>14</v>
      </c>
      <c r="M152" t="str">
        <f t="shared" si="6"/>
        <v>GER</v>
      </c>
      <c r="S152">
        <v>1</v>
      </c>
      <c r="V152">
        <f t="shared" si="5"/>
        <v>1</v>
      </c>
    </row>
    <row r="153" spans="1:22" x14ac:dyDescent="0.25">
      <c r="A153">
        <v>24324</v>
      </c>
      <c r="B153" t="s">
        <v>35</v>
      </c>
      <c r="C153">
        <v>24</v>
      </c>
      <c r="D153">
        <v>55</v>
      </c>
      <c r="E153">
        <v>9</v>
      </c>
      <c r="F153">
        <v>13</v>
      </c>
      <c r="G153">
        <v>55.9</v>
      </c>
      <c r="H153">
        <v>3</v>
      </c>
      <c r="I153" t="s">
        <v>34</v>
      </c>
      <c r="J153" s="3">
        <v>55.15</v>
      </c>
      <c r="K153" s="3">
        <v>13.9316666666667</v>
      </c>
      <c r="L153" t="s">
        <v>14</v>
      </c>
      <c r="M153" t="str">
        <f t="shared" si="6"/>
        <v>GER</v>
      </c>
      <c r="S153">
        <v>1</v>
      </c>
      <c r="V153">
        <f t="shared" si="5"/>
        <v>1</v>
      </c>
    </row>
    <row r="154" spans="1:22" x14ac:dyDescent="0.25">
      <c r="A154">
        <v>24325</v>
      </c>
      <c r="B154" t="s">
        <v>26</v>
      </c>
      <c r="C154">
        <v>24</v>
      </c>
      <c r="D154">
        <v>54</v>
      </c>
      <c r="E154">
        <v>36.4</v>
      </c>
      <c r="F154">
        <v>12</v>
      </c>
      <c r="G154">
        <v>36.15</v>
      </c>
      <c r="H154">
        <v>2</v>
      </c>
      <c r="I154" t="s">
        <v>13</v>
      </c>
      <c r="J154" s="3">
        <v>54.606666666666698</v>
      </c>
      <c r="K154" s="3">
        <v>12.602499999999999</v>
      </c>
      <c r="L154" t="s">
        <v>14</v>
      </c>
      <c r="M154" t="str">
        <f t="shared" si="6"/>
        <v>GER</v>
      </c>
      <c r="S154">
        <v>1</v>
      </c>
      <c r="V154">
        <f t="shared" si="5"/>
        <v>1</v>
      </c>
    </row>
    <row r="155" spans="1:22" x14ac:dyDescent="0.25">
      <c r="A155">
        <v>24328</v>
      </c>
      <c r="B155" t="s">
        <v>26</v>
      </c>
      <c r="C155">
        <v>24</v>
      </c>
      <c r="D155">
        <v>54</v>
      </c>
      <c r="E155">
        <v>38.39</v>
      </c>
      <c r="F155">
        <v>12</v>
      </c>
      <c r="G155">
        <v>41.08</v>
      </c>
      <c r="H155">
        <v>2</v>
      </c>
      <c r="I155" t="s">
        <v>13</v>
      </c>
      <c r="J155" s="3">
        <v>54.6398333333333</v>
      </c>
      <c r="K155" s="3">
        <v>12.684666666666701</v>
      </c>
      <c r="L155" t="s">
        <v>14</v>
      </c>
      <c r="M155" t="str">
        <f t="shared" si="6"/>
        <v>GER</v>
      </c>
      <c r="S155">
        <v>1</v>
      </c>
      <c r="V155">
        <f t="shared" si="5"/>
        <v>1</v>
      </c>
    </row>
    <row r="156" spans="1:22" x14ac:dyDescent="0.25">
      <c r="A156">
        <v>24334</v>
      </c>
      <c r="B156" t="s">
        <v>27</v>
      </c>
      <c r="C156">
        <v>24</v>
      </c>
      <c r="D156">
        <v>54</v>
      </c>
      <c r="E156">
        <v>22</v>
      </c>
      <c r="F156">
        <v>14</v>
      </c>
      <c r="G156">
        <v>18.100000000000001</v>
      </c>
      <c r="H156">
        <v>2</v>
      </c>
      <c r="I156" t="s">
        <v>13</v>
      </c>
      <c r="J156" s="3">
        <v>54.366666666666703</v>
      </c>
      <c r="K156" s="3">
        <v>14.3016666666667</v>
      </c>
      <c r="L156" t="s">
        <v>14</v>
      </c>
      <c r="M156" t="str">
        <f t="shared" si="6"/>
        <v>GER</v>
      </c>
      <c r="S156">
        <v>1</v>
      </c>
      <c r="V156">
        <f t="shared" si="5"/>
        <v>1</v>
      </c>
    </row>
    <row r="157" spans="1:22" x14ac:dyDescent="0.25">
      <c r="A157">
        <v>24335</v>
      </c>
      <c r="B157" t="s">
        <v>27</v>
      </c>
      <c r="C157">
        <v>24</v>
      </c>
      <c r="D157">
        <v>54</v>
      </c>
      <c r="E157">
        <v>11.5</v>
      </c>
      <c r="F157">
        <v>14</v>
      </c>
      <c r="G157">
        <v>18.600000000000001</v>
      </c>
      <c r="H157">
        <v>2</v>
      </c>
      <c r="I157" t="s">
        <v>13</v>
      </c>
      <c r="J157" s="3">
        <v>54.191666666666698</v>
      </c>
      <c r="K157" s="3">
        <v>14.31</v>
      </c>
      <c r="L157" t="s">
        <v>14</v>
      </c>
      <c r="M157" t="str">
        <f t="shared" si="6"/>
        <v>GER</v>
      </c>
      <c r="S157">
        <v>1</v>
      </c>
      <c r="V157">
        <f t="shared" si="5"/>
        <v>1</v>
      </c>
    </row>
    <row r="158" spans="1:22" x14ac:dyDescent="0.25">
      <c r="A158">
        <v>26011</v>
      </c>
      <c r="B158" t="s">
        <v>50</v>
      </c>
      <c r="C158">
        <v>26</v>
      </c>
      <c r="D158">
        <v>56</v>
      </c>
      <c r="E158">
        <v>5.4</v>
      </c>
      <c r="F158">
        <v>20</v>
      </c>
      <c r="G158">
        <v>32.799999999999997</v>
      </c>
      <c r="H158">
        <v>2</v>
      </c>
      <c r="I158" t="s">
        <v>51</v>
      </c>
      <c r="J158" s="3">
        <v>56.09</v>
      </c>
      <c r="K158" s="3">
        <v>20.546666666666699</v>
      </c>
      <c r="L158" t="s">
        <v>37</v>
      </c>
      <c r="M158" t="str">
        <f t="shared" si="6"/>
        <v>LAT</v>
      </c>
      <c r="Q158">
        <v>1</v>
      </c>
      <c r="V158">
        <f t="shared" si="5"/>
        <v>1</v>
      </c>
    </row>
    <row r="159" spans="1:22" x14ac:dyDescent="0.25">
      <c r="A159">
        <v>26030</v>
      </c>
      <c r="B159" t="s">
        <v>57</v>
      </c>
      <c r="C159">
        <v>26</v>
      </c>
      <c r="D159">
        <v>56</v>
      </c>
      <c r="E159">
        <v>7.8</v>
      </c>
      <c r="F159">
        <v>19</v>
      </c>
      <c r="G159">
        <v>51</v>
      </c>
      <c r="H159">
        <v>3</v>
      </c>
      <c r="I159" t="s">
        <v>51</v>
      </c>
      <c r="J159" s="3">
        <v>56.13</v>
      </c>
      <c r="K159" s="3">
        <v>19.850000000000001</v>
      </c>
      <c r="L159" t="s">
        <v>37</v>
      </c>
      <c r="M159" t="str">
        <f t="shared" si="6"/>
        <v>LAT</v>
      </c>
      <c r="Q159">
        <v>1</v>
      </c>
      <c r="V159">
        <f t="shared" si="5"/>
        <v>1</v>
      </c>
    </row>
    <row r="160" spans="1:22" x14ac:dyDescent="0.25">
      <c r="A160">
        <v>26031</v>
      </c>
      <c r="B160" t="s">
        <v>57</v>
      </c>
      <c r="C160">
        <v>26</v>
      </c>
      <c r="D160">
        <v>56</v>
      </c>
      <c r="E160">
        <v>11.5</v>
      </c>
      <c r="F160">
        <v>19</v>
      </c>
      <c r="G160">
        <v>54.8</v>
      </c>
      <c r="H160">
        <v>4</v>
      </c>
      <c r="I160" t="s">
        <v>51</v>
      </c>
      <c r="J160" s="3">
        <v>56.191666666666698</v>
      </c>
      <c r="K160" s="3">
        <v>19.913333333333298</v>
      </c>
      <c r="L160" t="s">
        <v>37</v>
      </c>
      <c r="M160" t="str">
        <f t="shared" si="6"/>
        <v>LAT</v>
      </c>
      <c r="Q160">
        <v>1</v>
      </c>
      <c r="V160">
        <f t="shared" si="5"/>
        <v>1</v>
      </c>
    </row>
    <row r="161" spans="1:22" x14ac:dyDescent="0.25">
      <c r="A161">
        <v>26060</v>
      </c>
      <c r="B161" t="s">
        <v>63</v>
      </c>
      <c r="C161">
        <v>26</v>
      </c>
      <c r="D161">
        <v>55</v>
      </c>
      <c r="E161">
        <v>59.2</v>
      </c>
      <c r="F161">
        <v>19</v>
      </c>
      <c r="G161">
        <v>19.3</v>
      </c>
      <c r="H161">
        <v>4</v>
      </c>
      <c r="I161" t="s">
        <v>51</v>
      </c>
      <c r="J161" s="3">
        <v>55.9866666666667</v>
      </c>
      <c r="K161" s="3">
        <v>19.321666666666701</v>
      </c>
      <c r="L161" t="s">
        <v>37</v>
      </c>
      <c r="M161" t="str">
        <f t="shared" si="6"/>
        <v>LAT</v>
      </c>
      <c r="Q161">
        <v>1</v>
      </c>
      <c r="V161">
        <f t="shared" si="5"/>
        <v>1</v>
      </c>
    </row>
    <row r="162" spans="1:22" x14ac:dyDescent="0.25">
      <c r="A162">
        <v>26064</v>
      </c>
      <c r="B162" t="s">
        <v>57</v>
      </c>
      <c r="C162">
        <v>26</v>
      </c>
      <c r="D162">
        <v>56</v>
      </c>
      <c r="E162">
        <v>1.5</v>
      </c>
      <c r="F162">
        <v>19</v>
      </c>
      <c r="G162">
        <v>26.1</v>
      </c>
      <c r="H162">
        <v>4</v>
      </c>
      <c r="I162" t="s">
        <v>51</v>
      </c>
      <c r="J162" s="3">
        <v>56.024999999999999</v>
      </c>
      <c r="K162" s="3">
        <v>19.434999999999999</v>
      </c>
      <c r="L162" t="s">
        <v>37</v>
      </c>
      <c r="M162" t="str">
        <f t="shared" si="6"/>
        <v>LAT</v>
      </c>
      <c r="Q162">
        <v>1</v>
      </c>
      <c r="V162">
        <f t="shared" si="5"/>
        <v>1</v>
      </c>
    </row>
    <row r="163" spans="1:22" x14ac:dyDescent="0.25">
      <c r="A163">
        <v>26067</v>
      </c>
      <c r="B163" t="s">
        <v>57</v>
      </c>
      <c r="C163">
        <v>26</v>
      </c>
      <c r="D163">
        <v>56</v>
      </c>
      <c r="E163">
        <v>7.5</v>
      </c>
      <c r="F163">
        <v>19</v>
      </c>
      <c r="G163">
        <v>34.200000000000003</v>
      </c>
      <c r="H163">
        <v>4</v>
      </c>
      <c r="I163" t="s">
        <v>51</v>
      </c>
      <c r="J163" s="3">
        <v>56.125</v>
      </c>
      <c r="K163" s="3">
        <v>19.57</v>
      </c>
      <c r="L163" t="s">
        <v>37</v>
      </c>
      <c r="M163" t="str">
        <f t="shared" si="6"/>
        <v>LAT</v>
      </c>
      <c r="Q163">
        <v>1</v>
      </c>
      <c r="V163">
        <f t="shared" si="5"/>
        <v>1</v>
      </c>
    </row>
    <row r="164" spans="1:22" x14ac:dyDescent="0.25">
      <c r="A164">
        <v>26073</v>
      </c>
      <c r="B164" t="s">
        <v>57</v>
      </c>
      <c r="C164">
        <v>26</v>
      </c>
      <c r="D164">
        <v>56</v>
      </c>
      <c r="E164">
        <v>15</v>
      </c>
      <c r="F164">
        <v>19</v>
      </c>
      <c r="G164">
        <v>39</v>
      </c>
      <c r="H164">
        <v>4</v>
      </c>
      <c r="I164" t="s">
        <v>51</v>
      </c>
      <c r="J164" s="3">
        <v>56.25</v>
      </c>
      <c r="K164" s="3">
        <v>19.649999999999999</v>
      </c>
      <c r="L164" t="s">
        <v>37</v>
      </c>
      <c r="M164" t="str">
        <f t="shared" si="6"/>
        <v>LAT</v>
      </c>
      <c r="Q164">
        <v>1</v>
      </c>
      <c r="V164">
        <f t="shared" si="5"/>
        <v>1</v>
      </c>
    </row>
    <row r="165" spans="1:22" x14ac:dyDescent="0.25">
      <c r="A165">
        <v>26078</v>
      </c>
      <c r="B165" t="s">
        <v>50</v>
      </c>
      <c r="C165">
        <v>26</v>
      </c>
      <c r="D165">
        <v>56</v>
      </c>
      <c r="E165">
        <v>21</v>
      </c>
      <c r="F165">
        <v>20</v>
      </c>
      <c r="G165">
        <v>2</v>
      </c>
      <c r="H165">
        <v>4</v>
      </c>
      <c r="I165" t="s">
        <v>51</v>
      </c>
      <c r="J165" s="3">
        <v>56.35</v>
      </c>
      <c r="K165" s="3">
        <v>20.033333333333299</v>
      </c>
      <c r="L165" t="s">
        <v>37</v>
      </c>
      <c r="M165" t="str">
        <f t="shared" si="6"/>
        <v>LAT</v>
      </c>
      <c r="Q165">
        <v>1</v>
      </c>
      <c r="V165">
        <f t="shared" si="5"/>
        <v>1</v>
      </c>
    </row>
    <row r="166" spans="1:22" x14ac:dyDescent="0.25">
      <c r="A166">
        <v>26144</v>
      </c>
      <c r="B166" t="s">
        <v>57</v>
      </c>
      <c r="C166">
        <v>26</v>
      </c>
      <c r="D166">
        <v>56</v>
      </c>
      <c r="E166">
        <v>22</v>
      </c>
      <c r="F166">
        <v>19</v>
      </c>
      <c r="G166">
        <v>29</v>
      </c>
      <c r="H166">
        <v>6</v>
      </c>
      <c r="I166" t="s">
        <v>51</v>
      </c>
      <c r="J166" s="3">
        <v>56.366666666666703</v>
      </c>
      <c r="K166" s="3">
        <v>19.483333333333299</v>
      </c>
      <c r="L166" t="s">
        <v>37</v>
      </c>
      <c r="M166" t="str">
        <f t="shared" si="6"/>
        <v>LAT</v>
      </c>
      <c r="Q166">
        <v>1</v>
      </c>
      <c r="V166">
        <f t="shared" si="5"/>
        <v>1</v>
      </c>
    </row>
    <row r="167" spans="1:22" x14ac:dyDescent="0.25">
      <c r="A167">
        <v>26160</v>
      </c>
      <c r="B167" t="s">
        <v>50</v>
      </c>
      <c r="C167">
        <v>26</v>
      </c>
      <c r="D167">
        <v>56</v>
      </c>
      <c r="E167">
        <v>28.2</v>
      </c>
      <c r="F167">
        <v>20</v>
      </c>
      <c r="G167">
        <v>6.4</v>
      </c>
      <c r="H167">
        <v>5</v>
      </c>
      <c r="I167" t="s">
        <v>51</v>
      </c>
      <c r="J167" s="3">
        <v>56.47</v>
      </c>
      <c r="K167" s="3">
        <v>20.106666666666701</v>
      </c>
      <c r="L167" t="s">
        <v>37</v>
      </c>
      <c r="M167" t="str">
        <f t="shared" si="6"/>
        <v>LAT</v>
      </c>
      <c r="Q167">
        <v>1</v>
      </c>
      <c r="V167">
        <f t="shared" si="5"/>
        <v>1</v>
      </c>
    </row>
    <row r="168" spans="1:22" x14ac:dyDescent="0.25">
      <c r="A168">
        <v>26199</v>
      </c>
      <c r="B168" t="s">
        <v>57</v>
      </c>
      <c r="C168">
        <v>26</v>
      </c>
      <c r="D168">
        <v>56</v>
      </c>
      <c r="E168">
        <v>22.8</v>
      </c>
      <c r="F168">
        <v>19</v>
      </c>
      <c r="G168">
        <v>42.4</v>
      </c>
      <c r="H168">
        <v>6</v>
      </c>
      <c r="I168" t="s">
        <v>51</v>
      </c>
      <c r="J168" s="3">
        <v>56.38</v>
      </c>
      <c r="K168" s="3">
        <v>19.706666666666699</v>
      </c>
      <c r="L168" t="s">
        <v>37</v>
      </c>
      <c r="M168" t="str">
        <f t="shared" si="6"/>
        <v>LAT</v>
      </c>
      <c r="Q168">
        <v>1</v>
      </c>
      <c r="V168">
        <f t="shared" si="5"/>
        <v>1</v>
      </c>
    </row>
    <row r="169" spans="1:22" x14ac:dyDescent="0.25">
      <c r="A169">
        <v>26209</v>
      </c>
      <c r="B169" t="s">
        <v>57</v>
      </c>
      <c r="C169">
        <v>26</v>
      </c>
      <c r="D169">
        <v>56</v>
      </c>
      <c r="E169">
        <v>18</v>
      </c>
      <c r="F169">
        <v>19</v>
      </c>
      <c r="G169">
        <v>31.5</v>
      </c>
      <c r="H169">
        <v>6</v>
      </c>
      <c r="I169" t="s">
        <v>51</v>
      </c>
      <c r="J169" s="3">
        <v>56.3</v>
      </c>
      <c r="K169" s="3">
        <v>19.524999999999999</v>
      </c>
      <c r="L169" t="s">
        <v>37</v>
      </c>
      <c r="M169" t="str">
        <f t="shared" si="6"/>
        <v>LAT</v>
      </c>
      <c r="Q169">
        <v>1</v>
      </c>
      <c r="V169">
        <f t="shared" si="5"/>
        <v>1</v>
      </c>
    </row>
    <row r="170" spans="1:22" x14ac:dyDescent="0.25">
      <c r="A170">
        <v>28001</v>
      </c>
      <c r="B170" t="s">
        <v>70</v>
      </c>
      <c r="C170">
        <v>28</v>
      </c>
      <c r="D170">
        <v>56</v>
      </c>
      <c r="E170">
        <v>40.4</v>
      </c>
      <c r="F170">
        <v>20</v>
      </c>
      <c r="G170">
        <v>44.8</v>
      </c>
      <c r="H170">
        <v>3</v>
      </c>
      <c r="I170" t="s">
        <v>51</v>
      </c>
      <c r="J170" s="3">
        <v>56.673333333333296</v>
      </c>
      <c r="K170" s="3">
        <v>20.746666666666702</v>
      </c>
      <c r="L170" t="s">
        <v>37</v>
      </c>
      <c r="M170" t="str">
        <f t="shared" si="6"/>
        <v>LAT</v>
      </c>
      <c r="Q170">
        <v>1</v>
      </c>
      <c r="V170">
        <f t="shared" si="5"/>
        <v>1</v>
      </c>
    </row>
    <row r="171" spans="1:22" x14ac:dyDescent="0.25">
      <c r="A171">
        <v>28007</v>
      </c>
      <c r="B171" t="s">
        <v>71</v>
      </c>
      <c r="C171">
        <v>28</v>
      </c>
      <c r="D171">
        <v>57</v>
      </c>
      <c r="E171">
        <v>20.6</v>
      </c>
      <c r="F171">
        <v>21</v>
      </c>
      <c r="G171">
        <v>18.899999999999999</v>
      </c>
      <c r="H171">
        <v>3</v>
      </c>
      <c r="I171" t="s">
        <v>51</v>
      </c>
      <c r="J171" s="3">
        <v>57.343333333333298</v>
      </c>
      <c r="K171" s="3">
        <v>21.315000000000001</v>
      </c>
      <c r="L171" t="s">
        <v>37</v>
      </c>
      <c r="M171" t="str">
        <f t="shared" si="6"/>
        <v>LAT</v>
      </c>
      <c r="Q171">
        <v>1</v>
      </c>
      <c r="V171">
        <f t="shared" si="5"/>
        <v>1</v>
      </c>
    </row>
    <row r="172" spans="1:22" x14ac:dyDescent="0.25">
      <c r="A172">
        <v>28031</v>
      </c>
      <c r="B172" t="s">
        <v>70</v>
      </c>
      <c r="C172">
        <v>28</v>
      </c>
      <c r="D172">
        <v>56</v>
      </c>
      <c r="E172">
        <v>33.799999999999997</v>
      </c>
      <c r="F172">
        <v>20</v>
      </c>
      <c r="G172">
        <v>25.5</v>
      </c>
      <c r="H172">
        <v>4</v>
      </c>
      <c r="I172" t="s">
        <v>51</v>
      </c>
      <c r="J172" s="3">
        <v>56.563333333333297</v>
      </c>
      <c r="K172" s="3">
        <v>20.425000000000001</v>
      </c>
      <c r="L172" t="s">
        <v>37</v>
      </c>
      <c r="M172" t="str">
        <f t="shared" si="6"/>
        <v>LAT</v>
      </c>
      <c r="Q172">
        <v>1</v>
      </c>
      <c r="V172">
        <f t="shared" si="5"/>
        <v>1</v>
      </c>
    </row>
    <row r="173" spans="1:22" x14ac:dyDescent="0.25">
      <c r="A173">
        <v>28042</v>
      </c>
      <c r="B173" t="s">
        <v>72</v>
      </c>
      <c r="C173">
        <v>28</v>
      </c>
      <c r="D173">
        <v>57</v>
      </c>
      <c r="E173">
        <v>7.8</v>
      </c>
      <c r="F173">
        <v>20</v>
      </c>
      <c r="G173">
        <v>43.6</v>
      </c>
      <c r="H173">
        <v>4</v>
      </c>
      <c r="I173" t="s">
        <v>51</v>
      </c>
      <c r="J173" s="3">
        <v>57.13</v>
      </c>
      <c r="K173" s="3">
        <v>20.726666666666699</v>
      </c>
      <c r="L173" t="s">
        <v>37</v>
      </c>
      <c r="M173" t="str">
        <f t="shared" si="6"/>
        <v>LAT</v>
      </c>
      <c r="Q173">
        <v>1</v>
      </c>
      <c r="V173">
        <f t="shared" si="5"/>
        <v>1</v>
      </c>
    </row>
    <row r="174" spans="1:22" x14ac:dyDescent="0.25">
      <c r="A174">
        <v>28075</v>
      </c>
      <c r="B174" t="s">
        <v>72</v>
      </c>
      <c r="C174">
        <v>28</v>
      </c>
      <c r="D174">
        <v>57</v>
      </c>
      <c r="E174">
        <v>12.3</v>
      </c>
      <c r="F174">
        <v>20</v>
      </c>
      <c r="G174">
        <v>40.4</v>
      </c>
      <c r="H174">
        <v>5</v>
      </c>
      <c r="I174" t="s">
        <v>51</v>
      </c>
      <c r="J174" s="3">
        <v>57.204999999999998</v>
      </c>
      <c r="K174" s="3">
        <v>20.6733333333333</v>
      </c>
      <c r="L174" t="s">
        <v>37</v>
      </c>
      <c r="M174" t="str">
        <f t="shared" si="6"/>
        <v>LAT</v>
      </c>
      <c r="Q174">
        <v>1</v>
      </c>
      <c r="V174">
        <f t="shared" si="5"/>
        <v>1</v>
      </c>
    </row>
    <row r="175" spans="1:22" x14ac:dyDescent="0.25">
      <c r="A175">
        <v>28121</v>
      </c>
      <c r="B175" t="s">
        <v>71</v>
      </c>
      <c r="C175">
        <v>28</v>
      </c>
      <c r="D175">
        <v>57</v>
      </c>
      <c r="E175">
        <v>22.11</v>
      </c>
      <c r="F175">
        <v>21</v>
      </c>
      <c r="G175">
        <v>15.57</v>
      </c>
      <c r="H175">
        <v>3</v>
      </c>
      <c r="I175" t="s">
        <v>51</v>
      </c>
      <c r="J175" s="3">
        <v>57.368499999999997</v>
      </c>
      <c r="K175" s="3">
        <v>21.259499999999999</v>
      </c>
      <c r="L175" t="s">
        <v>37</v>
      </c>
      <c r="M175" t="str">
        <f t="shared" si="6"/>
        <v>LAT</v>
      </c>
      <c r="Q175">
        <v>1</v>
      </c>
      <c r="V175">
        <f t="shared" si="5"/>
        <v>1</v>
      </c>
    </row>
    <row r="176" spans="1:22" x14ac:dyDescent="0.25">
      <c r="A176">
        <v>28132</v>
      </c>
      <c r="B176" t="s">
        <v>71</v>
      </c>
      <c r="C176">
        <v>28</v>
      </c>
      <c r="D176">
        <v>57</v>
      </c>
      <c r="E176">
        <v>13.8</v>
      </c>
      <c r="F176">
        <v>21</v>
      </c>
      <c r="G176">
        <v>9.4</v>
      </c>
      <c r="H176">
        <v>3</v>
      </c>
      <c r="I176" t="s">
        <v>51</v>
      </c>
      <c r="J176" s="3">
        <v>57.23</v>
      </c>
      <c r="K176" s="3">
        <v>21.156666666666698</v>
      </c>
      <c r="L176" t="s">
        <v>37</v>
      </c>
      <c r="M176" t="str">
        <f t="shared" si="6"/>
        <v>LAT</v>
      </c>
      <c r="Q176">
        <v>1</v>
      </c>
      <c r="V176">
        <f t="shared" si="5"/>
        <v>1</v>
      </c>
    </row>
    <row r="177" spans="1:22" x14ac:dyDescent="0.25">
      <c r="A177">
        <v>28136</v>
      </c>
      <c r="B177" t="s">
        <v>71</v>
      </c>
      <c r="C177">
        <v>28</v>
      </c>
      <c r="D177">
        <v>57</v>
      </c>
      <c r="E177">
        <v>1.86</v>
      </c>
      <c r="F177">
        <v>21</v>
      </c>
      <c r="G177">
        <v>5.66</v>
      </c>
      <c r="H177">
        <v>2</v>
      </c>
      <c r="I177" t="s">
        <v>51</v>
      </c>
      <c r="J177" s="3">
        <v>57.030999999999999</v>
      </c>
      <c r="K177" s="3">
        <v>21.094333333333299</v>
      </c>
      <c r="L177" t="s">
        <v>37</v>
      </c>
      <c r="M177" t="str">
        <f t="shared" si="6"/>
        <v>LAT</v>
      </c>
      <c r="Q177">
        <v>1</v>
      </c>
      <c r="V177">
        <f t="shared" si="5"/>
        <v>1</v>
      </c>
    </row>
    <row r="178" spans="1:22" x14ac:dyDescent="0.25">
      <c r="A178">
        <v>28138</v>
      </c>
      <c r="B178" t="s">
        <v>71</v>
      </c>
      <c r="C178">
        <v>28</v>
      </c>
      <c r="D178">
        <v>57</v>
      </c>
      <c r="E178">
        <v>4.05</v>
      </c>
      <c r="F178">
        <v>21</v>
      </c>
      <c r="G178">
        <v>7.77</v>
      </c>
      <c r="H178">
        <v>2</v>
      </c>
      <c r="I178" t="s">
        <v>51</v>
      </c>
      <c r="J178" s="3">
        <v>57.067500000000003</v>
      </c>
      <c r="K178" s="3">
        <v>21.1295</v>
      </c>
      <c r="L178" t="s">
        <v>37</v>
      </c>
      <c r="M178" t="str">
        <f t="shared" si="6"/>
        <v>LAT</v>
      </c>
      <c r="Q178">
        <v>1</v>
      </c>
      <c r="V178">
        <f t="shared" si="5"/>
        <v>1</v>
      </c>
    </row>
    <row r="179" spans="1:22" x14ac:dyDescent="0.25">
      <c r="A179">
        <v>28157</v>
      </c>
      <c r="B179" t="s">
        <v>70</v>
      </c>
      <c r="C179">
        <v>28</v>
      </c>
      <c r="D179">
        <v>56</v>
      </c>
      <c r="E179">
        <v>39.380000000000003</v>
      </c>
      <c r="F179">
        <v>20</v>
      </c>
      <c r="G179">
        <v>45.92</v>
      </c>
      <c r="H179">
        <v>2</v>
      </c>
      <c r="I179" t="s">
        <v>51</v>
      </c>
      <c r="J179" s="3">
        <v>56.656333333333301</v>
      </c>
      <c r="K179" s="3">
        <v>20.765333333333299</v>
      </c>
      <c r="L179" t="s">
        <v>37</v>
      </c>
      <c r="M179" t="str">
        <f t="shared" si="6"/>
        <v>LAT</v>
      </c>
      <c r="Q179">
        <v>1</v>
      </c>
      <c r="V179">
        <f t="shared" si="5"/>
        <v>1</v>
      </c>
    </row>
    <row r="180" spans="1:22" x14ac:dyDescent="0.25">
      <c r="A180">
        <v>28161</v>
      </c>
      <c r="B180" t="s">
        <v>70</v>
      </c>
      <c r="C180">
        <v>28</v>
      </c>
      <c r="D180">
        <v>56</v>
      </c>
      <c r="E180">
        <v>38.1</v>
      </c>
      <c r="F180">
        <v>20</v>
      </c>
      <c r="G180">
        <v>43.9</v>
      </c>
      <c r="H180">
        <v>2</v>
      </c>
      <c r="I180" t="s">
        <v>51</v>
      </c>
      <c r="J180" s="3">
        <v>56.634999999999998</v>
      </c>
      <c r="K180" s="3">
        <v>20.731666666666701</v>
      </c>
      <c r="L180" t="s">
        <v>37</v>
      </c>
      <c r="M180" t="str">
        <f t="shared" si="6"/>
        <v>LAT</v>
      </c>
      <c r="Q180">
        <v>1</v>
      </c>
      <c r="V180">
        <f t="shared" si="5"/>
        <v>1</v>
      </c>
    </row>
    <row r="181" spans="1:22" x14ac:dyDescent="0.25">
      <c r="A181">
        <v>28162</v>
      </c>
      <c r="B181" t="s">
        <v>70</v>
      </c>
      <c r="C181">
        <v>28</v>
      </c>
      <c r="D181">
        <v>56</v>
      </c>
      <c r="E181">
        <v>39.99</v>
      </c>
      <c r="F181">
        <v>20</v>
      </c>
      <c r="G181">
        <v>42.4</v>
      </c>
      <c r="H181">
        <v>3</v>
      </c>
      <c r="I181" t="s">
        <v>51</v>
      </c>
      <c r="J181" s="3">
        <v>56.666499999999999</v>
      </c>
      <c r="K181" s="3">
        <v>20.706666666666699</v>
      </c>
      <c r="L181" t="s">
        <v>37</v>
      </c>
      <c r="M181" t="str">
        <f t="shared" si="6"/>
        <v>LAT</v>
      </c>
      <c r="Q181">
        <v>1</v>
      </c>
      <c r="V181">
        <f t="shared" si="5"/>
        <v>1</v>
      </c>
    </row>
    <row r="182" spans="1:22" x14ac:dyDescent="0.25">
      <c r="A182">
        <v>28165</v>
      </c>
      <c r="B182" t="s">
        <v>72</v>
      </c>
      <c r="C182">
        <v>28</v>
      </c>
      <c r="D182">
        <v>57</v>
      </c>
      <c r="E182">
        <v>7.18</v>
      </c>
      <c r="F182">
        <v>20</v>
      </c>
      <c r="G182">
        <v>39.42</v>
      </c>
      <c r="H182">
        <v>5</v>
      </c>
      <c r="I182" t="s">
        <v>51</v>
      </c>
      <c r="J182" s="3">
        <v>57.119666666666703</v>
      </c>
      <c r="K182" s="3">
        <v>20.657</v>
      </c>
      <c r="L182" t="s">
        <v>37</v>
      </c>
      <c r="M182" t="str">
        <f t="shared" si="6"/>
        <v>LAT</v>
      </c>
      <c r="Q182">
        <v>1</v>
      </c>
      <c r="V182">
        <f t="shared" si="5"/>
        <v>1</v>
      </c>
    </row>
    <row r="183" spans="1:22" x14ac:dyDescent="0.25">
      <c r="A183">
        <v>26027</v>
      </c>
      <c r="B183" t="s">
        <v>55</v>
      </c>
      <c r="C183">
        <v>26</v>
      </c>
      <c r="D183">
        <v>55</v>
      </c>
      <c r="E183">
        <v>47.4</v>
      </c>
      <c r="F183">
        <v>20</v>
      </c>
      <c r="G183">
        <v>23.2</v>
      </c>
      <c r="H183">
        <v>3</v>
      </c>
      <c r="I183" t="s">
        <v>56</v>
      </c>
      <c r="J183" s="3">
        <v>55.79</v>
      </c>
      <c r="K183" s="3">
        <v>20.386666666666699</v>
      </c>
      <c r="L183" t="s">
        <v>37</v>
      </c>
      <c r="M183" t="str">
        <f t="shared" si="6"/>
        <v>LTU</v>
      </c>
      <c r="T183">
        <v>1</v>
      </c>
      <c r="V183">
        <f t="shared" si="5"/>
        <v>1</v>
      </c>
    </row>
    <row r="184" spans="1:22" x14ac:dyDescent="0.25">
      <c r="A184">
        <v>26028</v>
      </c>
      <c r="B184" t="s">
        <v>55</v>
      </c>
      <c r="C184">
        <v>26</v>
      </c>
      <c r="D184">
        <v>55</v>
      </c>
      <c r="E184">
        <v>42.1</v>
      </c>
      <c r="F184">
        <v>20</v>
      </c>
      <c r="G184">
        <v>37.6</v>
      </c>
      <c r="H184">
        <v>3</v>
      </c>
      <c r="I184" t="s">
        <v>56</v>
      </c>
      <c r="J184" s="3">
        <v>55.701666666666704</v>
      </c>
      <c r="K184" s="3">
        <v>20.626666666666701</v>
      </c>
      <c r="L184" t="s">
        <v>37</v>
      </c>
      <c r="M184" t="str">
        <f t="shared" si="6"/>
        <v>LTU</v>
      </c>
      <c r="T184">
        <v>1</v>
      </c>
      <c r="V184">
        <f t="shared" si="5"/>
        <v>1</v>
      </c>
    </row>
    <row r="185" spans="1:22" x14ac:dyDescent="0.25">
      <c r="A185">
        <v>26052</v>
      </c>
      <c r="B185" t="s">
        <v>55</v>
      </c>
      <c r="C185">
        <v>26</v>
      </c>
      <c r="D185">
        <v>55</v>
      </c>
      <c r="E185">
        <v>30.4</v>
      </c>
      <c r="F185">
        <v>20</v>
      </c>
      <c r="G185">
        <v>36.6</v>
      </c>
      <c r="H185">
        <v>4</v>
      </c>
      <c r="I185" t="s">
        <v>56</v>
      </c>
      <c r="J185" s="3">
        <v>55.506666666666703</v>
      </c>
      <c r="K185" s="3">
        <v>20.61</v>
      </c>
      <c r="L185" t="s">
        <v>37</v>
      </c>
      <c r="M185" t="str">
        <f t="shared" si="6"/>
        <v>LTU</v>
      </c>
      <c r="T185">
        <v>1</v>
      </c>
      <c r="V185">
        <f t="shared" si="5"/>
        <v>1</v>
      </c>
    </row>
    <row r="186" spans="1:22" x14ac:dyDescent="0.25">
      <c r="A186">
        <v>26134</v>
      </c>
      <c r="B186" t="s">
        <v>55</v>
      </c>
      <c r="C186">
        <v>26</v>
      </c>
      <c r="D186">
        <v>55</v>
      </c>
      <c r="E186">
        <v>57.08</v>
      </c>
      <c r="F186">
        <v>20</v>
      </c>
      <c r="G186">
        <v>28.61</v>
      </c>
      <c r="H186">
        <v>2</v>
      </c>
      <c r="I186" t="s">
        <v>56</v>
      </c>
      <c r="J186" s="3">
        <v>55.951333333333302</v>
      </c>
      <c r="K186" s="3">
        <v>20.4768333333333</v>
      </c>
      <c r="L186" t="s">
        <v>37</v>
      </c>
      <c r="M186" t="str">
        <f t="shared" si="6"/>
        <v>LTU</v>
      </c>
      <c r="T186">
        <v>1</v>
      </c>
      <c r="V186">
        <f t="shared" si="5"/>
        <v>1</v>
      </c>
    </row>
    <row r="187" spans="1:22" x14ac:dyDescent="0.25">
      <c r="A187">
        <v>26158</v>
      </c>
      <c r="B187" t="s">
        <v>55</v>
      </c>
      <c r="C187">
        <v>26</v>
      </c>
      <c r="D187">
        <v>55</v>
      </c>
      <c r="E187">
        <v>51.7</v>
      </c>
      <c r="F187">
        <v>20</v>
      </c>
      <c r="G187">
        <v>6.2</v>
      </c>
      <c r="H187">
        <v>4</v>
      </c>
      <c r="I187" t="s">
        <v>56</v>
      </c>
      <c r="J187" s="3">
        <v>55.8616666666667</v>
      </c>
      <c r="K187" s="3">
        <v>20.1033333333333</v>
      </c>
      <c r="L187" t="s">
        <v>37</v>
      </c>
      <c r="M187" t="str">
        <f t="shared" si="6"/>
        <v>LTU</v>
      </c>
      <c r="T187">
        <v>1</v>
      </c>
      <c r="V187">
        <f t="shared" si="5"/>
        <v>1</v>
      </c>
    </row>
    <row r="188" spans="1:22" x14ac:dyDescent="0.25">
      <c r="A188">
        <v>26206</v>
      </c>
      <c r="B188" t="s">
        <v>55</v>
      </c>
      <c r="C188">
        <v>26</v>
      </c>
      <c r="D188">
        <v>55</v>
      </c>
      <c r="E188">
        <v>45.8</v>
      </c>
      <c r="F188">
        <v>20</v>
      </c>
      <c r="G188">
        <v>20</v>
      </c>
      <c r="H188">
        <v>3</v>
      </c>
      <c r="I188" t="s">
        <v>56</v>
      </c>
      <c r="J188" s="3">
        <v>55.7633333333333</v>
      </c>
      <c r="K188" s="3">
        <v>20.3333333333333</v>
      </c>
      <c r="L188" t="s">
        <v>37</v>
      </c>
      <c r="M188" t="str">
        <f t="shared" si="6"/>
        <v>LTU</v>
      </c>
      <c r="T188">
        <v>1</v>
      </c>
      <c r="V188">
        <f t="shared" si="5"/>
        <v>1</v>
      </c>
    </row>
    <row r="189" spans="1:22" x14ac:dyDescent="0.25">
      <c r="A189">
        <v>24004</v>
      </c>
      <c r="B189" t="s">
        <v>27</v>
      </c>
      <c r="C189">
        <v>24</v>
      </c>
      <c r="D189">
        <v>54</v>
      </c>
      <c r="E189">
        <v>29</v>
      </c>
      <c r="F189">
        <v>14</v>
      </c>
      <c r="G189">
        <v>45.2</v>
      </c>
      <c r="H189">
        <v>2</v>
      </c>
      <c r="I189" t="s">
        <v>28</v>
      </c>
      <c r="J189" s="3">
        <v>54.483333333333299</v>
      </c>
      <c r="K189" s="3">
        <v>14.7533333333333</v>
      </c>
      <c r="L189" t="s">
        <v>14</v>
      </c>
      <c r="M189" t="str">
        <f t="shared" si="6"/>
        <v>POL</v>
      </c>
      <c r="P189">
        <v>1</v>
      </c>
      <c r="V189">
        <f t="shared" si="5"/>
        <v>1</v>
      </c>
    </row>
    <row r="190" spans="1:22" x14ac:dyDescent="0.25">
      <c r="A190">
        <v>24022</v>
      </c>
      <c r="B190" t="s">
        <v>27</v>
      </c>
      <c r="C190">
        <v>24</v>
      </c>
      <c r="D190">
        <v>54</v>
      </c>
      <c r="E190">
        <v>26.75</v>
      </c>
      <c r="F190">
        <v>14</v>
      </c>
      <c r="G190">
        <v>57.3</v>
      </c>
      <c r="H190">
        <v>2</v>
      </c>
      <c r="I190" t="s">
        <v>28</v>
      </c>
      <c r="J190" s="3">
        <v>54.445833333333297</v>
      </c>
      <c r="K190" s="3">
        <v>14.955</v>
      </c>
      <c r="L190" t="s">
        <v>14</v>
      </c>
      <c r="M190" t="str">
        <f t="shared" si="6"/>
        <v>POL</v>
      </c>
      <c r="P190">
        <v>1</v>
      </c>
      <c r="V190">
        <f t="shared" si="5"/>
        <v>1</v>
      </c>
    </row>
    <row r="191" spans="1:22" x14ac:dyDescent="0.25">
      <c r="A191">
        <v>24057</v>
      </c>
      <c r="B191" t="s">
        <v>30</v>
      </c>
      <c r="C191">
        <v>24</v>
      </c>
      <c r="D191">
        <v>54</v>
      </c>
      <c r="E191">
        <v>32.299999999999997</v>
      </c>
      <c r="F191">
        <v>14</v>
      </c>
      <c r="G191">
        <v>56.3</v>
      </c>
      <c r="H191">
        <v>2</v>
      </c>
      <c r="I191" t="s">
        <v>28</v>
      </c>
      <c r="J191" s="3">
        <v>54.538333333333298</v>
      </c>
      <c r="K191" s="3">
        <v>14.938333333333301</v>
      </c>
      <c r="L191" t="s">
        <v>14</v>
      </c>
      <c r="M191" t="str">
        <f t="shared" si="6"/>
        <v>POL</v>
      </c>
      <c r="P191">
        <v>1</v>
      </c>
      <c r="V191">
        <f t="shared" si="5"/>
        <v>1</v>
      </c>
    </row>
    <row r="192" spans="1:22" x14ac:dyDescent="0.25">
      <c r="A192">
        <v>25004</v>
      </c>
      <c r="B192" t="s">
        <v>36</v>
      </c>
      <c r="C192">
        <v>25</v>
      </c>
      <c r="D192">
        <v>54</v>
      </c>
      <c r="E192">
        <v>52.7</v>
      </c>
      <c r="F192">
        <v>16</v>
      </c>
      <c r="G192">
        <v>38.6</v>
      </c>
      <c r="H192">
        <v>2</v>
      </c>
      <c r="I192" t="s">
        <v>28</v>
      </c>
      <c r="J192" s="3">
        <v>54.878333333333302</v>
      </c>
      <c r="K192" s="3">
        <v>16.643333333333299</v>
      </c>
      <c r="L192" t="s">
        <v>37</v>
      </c>
      <c r="M192" t="str">
        <f t="shared" si="6"/>
        <v>POL</v>
      </c>
      <c r="P192">
        <v>1</v>
      </c>
      <c r="V192">
        <f t="shared" si="5"/>
        <v>1</v>
      </c>
    </row>
    <row r="193" spans="1:22" x14ac:dyDescent="0.25">
      <c r="A193">
        <v>25006</v>
      </c>
      <c r="B193" t="s">
        <v>38</v>
      </c>
      <c r="C193">
        <v>25</v>
      </c>
      <c r="D193">
        <v>54</v>
      </c>
      <c r="E193">
        <v>26</v>
      </c>
      <c r="F193">
        <v>15</v>
      </c>
      <c r="G193">
        <v>8.8000000000000007</v>
      </c>
      <c r="H193">
        <v>2</v>
      </c>
      <c r="I193" t="s">
        <v>28</v>
      </c>
      <c r="J193" s="3">
        <v>54.433333333333302</v>
      </c>
      <c r="K193" s="3">
        <v>15.1466666666667</v>
      </c>
      <c r="L193" t="s">
        <v>37</v>
      </c>
      <c r="M193" t="str">
        <f t="shared" si="6"/>
        <v>POL</v>
      </c>
      <c r="P193">
        <v>1</v>
      </c>
      <c r="V193">
        <f t="shared" si="5"/>
        <v>1</v>
      </c>
    </row>
    <row r="194" spans="1:22" x14ac:dyDescent="0.25">
      <c r="A194">
        <v>25008</v>
      </c>
      <c r="B194" t="s">
        <v>38</v>
      </c>
      <c r="C194">
        <v>25</v>
      </c>
      <c r="D194">
        <v>54</v>
      </c>
      <c r="E194">
        <v>23</v>
      </c>
      <c r="F194">
        <v>15</v>
      </c>
      <c r="G194">
        <v>34</v>
      </c>
      <c r="H194">
        <v>2</v>
      </c>
      <c r="I194" t="s">
        <v>28</v>
      </c>
      <c r="J194" s="3">
        <v>54.383333333333297</v>
      </c>
      <c r="K194" s="3">
        <v>15.5666666666667</v>
      </c>
      <c r="L194" t="s">
        <v>37</v>
      </c>
      <c r="M194" t="str">
        <f t="shared" si="6"/>
        <v>POL</v>
      </c>
      <c r="P194">
        <v>1</v>
      </c>
      <c r="V194">
        <f t="shared" ref="V194:V257" si="7">SUM(N194:U194)</f>
        <v>1</v>
      </c>
    </row>
    <row r="195" spans="1:22" x14ac:dyDescent="0.25">
      <c r="A195">
        <v>25009</v>
      </c>
      <c r="B195" t="s">
        <v>38</v>
      </c>
      <c r="C195">
        <v>25</v>
      </c>
      <c r="D195">
        <v>54</v>
      </c>
      <c r="E195">
        <v>22.9</v>
      </c>
      <c r="F195">
        <v>15</v>
      </c>
      <c r="G195">
        <v>47.3</v>
      </c>
      <c r="H195">
        <v>2</v>
      </c>
      <c r="I195" t="s">
        <v>28</v>
      </c>
      <c r="J195" s="3">
        <v>54.381666666666703</v>
      </c>
      <c r="K195" s="3">
        <v>15.7883333333333</v>
      </c>
      <c r="L195" t="s">
        <v>37</v>
      </c>
      <c r="M195" t="str">
        <f t="shared" si="6"/>
        <v>POL</v>
      </c>
      <c r="P195">
        <v>1</v>
      </c>
      <c r="V195">
        <f t="shared" si="7"/>
        <v>1</v>
      </c>
    </row>
    <row r="196" spans="1:22" x14ac:dyDescent="0.25">
      <c r="A196">
        <v>25010</v>
      </c>
      <c r="B196" t="s">
        <v>39</v>
      </c>
      <c r="C196">
        <v>25</v>
      </c>
      <c r="D196">
        <v>54</v>
      </c>
      <c r="E196">
        <v>26.8</v>
      </c>
      <c r="F196">
        <v>16</v>
      </c>
      <c r="G196">
        <v>5.3</v>
      </c>
      <c r="H196">
        <v>2</v>
      </c>
      <c r="I196" t="s">
        <v>28</v>
      </c>
      <c r="J196" s="3">
        <v>54.446666666666701</v>
      </c>
      <c r="K196" s="3">
        <v>16.088333333333299</v>
      </c>
      <c r="L196" t="s">
        <v>37</v>
      </c>
      <c r="M196" t="str">
        <f t="shared" si="6"/>
        <v>POL</v>
      </c>
      <c r="P196">
        <v>1</v>
      </c>
      <c r="V196">
        <f t="shared" si="7"/>
        <v>1</v>
      </c>
    </row>
    <row r="197" spans="1:22" x14ac:dyDescent="0.25">
      <c r="A197">
        <v>25011</v>
      </c>
      <c r="B197" t="s">
        <v>39</v>
      </c>
      <c r="C197">
        <v>25</v>
      </c>
      <c r="D197">
        <v>54</v>
      </c>
      <c r="E197">
        <v>24.7</v>
      </c>
      <c r="F197">
        <v>16</v>
      </c>
      <c r="G197">
        <v>3</v>
      </c>
      <c r="H197">
        <v>2</v>
      </c>
      <c r="I197" t="s">
        <v>28</v>
      </c>
      <c r="J197" s="3">
        <v>54.411666666666697</v>
      </c>
      <c r="K197" s="3">
        <v>16.05</v>
      </c>
      <c r="L197" t="s">
        <v>37</v>
      </c>
      <c r="M197" t="str">
        <f t="shared" si="6"/>
        <v>POL</v>
      </c>
      <c r="P197">
        <v>1</v>
      </c>
      <c r="V197">
        <f t="shared" si="7"/>
        <v>1</v>
      </c>
    </row>
    <row r="198" spans="1:22" x14ac:dyDescent="0.25">
      <c r="A198">
        <v>25013</v>
      </c>
      <c r="B198" t="s">
        <v>36</v>
      </c>
      <c r="C198">
        <v>25</v>
      </c>
      <c r="D198">
        <v>54</v>
      </c>
      <c r="E198">
        <v>39</v>
      </c>
      <c r="F198">
        <v>16</v>
      </c>
      <c r="G198">
        <v>23.6</v>
      </c>
      <c r="H198">
        <v>2</v>
      </c>
      <c r="I198" t="s">
        <v>28</v>
      </c>
      <c r="J198" s="3">
        <v>54.65</v>
      </c>
      <c r="K198" s="3">
        <v>16.393333333333299</v>
      </c>
      <c r="L198" t="s">
        <v>37</v>
      </c>
      <c r="M198" t="str">
        <f t="shared" si="6"/>
        <v>POL</v>
      </c>
      <c r="P198">
        <v>1</v>
      </c>
      <c r="V198">
        <f t="shared" si="7"/>
        <v>1</v>
      </c>
    </row>
    <row r="199" spans="1:22" x14ac:dyDescent="0.25">
      <c r="A199">
        <v>25014</v>
      </c>
      <c r="B199" t="s">
        <v>36</v>
      </c>
      <c r="C199">
        <v>25</v>
      </c>
      <c r="D199">
        <v>54</v>
      </c>
      <c r="E199">
        <v>41.6</v>
      </c>
      <c r="F199">
        <v>16</v>
      </c>
      <c r="G199">
        <v>38.700000000000003</v>
      </c>
      <c r="H199">
        <v>2</v>
      </c>
      <c r="I199" t="s">
        <v>28</v>
      </c>
      <c r="J199" s="3">
        <v>54.6933333333333</v>
      </c>
      <c r="K199" s="3">
        <v>16.645</v>
      </c>
      <c r="L199" t="s">
        <v>37</v>
      </c>
      <c r="M199" t="str">
        <f t="shared" si="6"/>
        <v>POL</v>
      </c>
      <c r="P199">
        <v>1</v>
      </c>
      <c r="V199">
        <f t="shared" si="7"/>
        <v>1</v>
      </c>
    </row>
    <row r="200" spans="1:22" x14ac:dyDescent="0.25">
      <c r="A200">
        <v>25016</v>
      </c>
      <c r="B200" t="s">
        <v>36</v>
      </c>
      <c r="C200">
        <v>25</v>
      </c>
      <c r="D200">
        <v>54</v>
      </c>
      <c r="E200">
        <v>44.6</v>
      </c>
      <c r="F200">
        <v>16</v>
      </c>
      <c r="G200">
        <v>49</v>
      </c>
      <c r="H200">
        <v>2</v>
      </c>
      <c r="I200" t="s">
        <v>28</v>
      </c>
      <c r="J200" s="3">
        <v>54.743333333333297</v>
      </c>
      <c r="K200" s="3">
        <v>16.816666666666698</v>
      </c>
      <c r="L200" t="s">
        <v>37</v>
      </c>
      <c r="M200" t="str">
        <f t="shared" si="6"/>
        <v>POL</v>
      </c>
      <c r="P200">
        <v>1</v>
      </c>
      <c r="V200">
        <f t="shared" si="7"/>
        <v>1</v>
      </c>
    </row>
    <row r="201" spans="1:22" x14ac:dyDescent="0.25">
      <c r="A201">
        <v>25017</v>
      </c>
      <c r="B201" t="s">
        <v>36</v>
      </c>
      <c r="C201">
        <v>25</v>
      </c>
      <c r="D201">
        <v>54</v>
      </c>
      <c r="E201">
        <v>44.2</v>
      </c>
      <c r="F201">
        <v>16</v>
      </c>
      <c r="G201">
        <v>52.3</v>
      </c>
      <c r="H201">
        <v>2</v>
      </c>
      <c r="I201" t="s">
        <v>28</v>
      </c>
      <c r="J201" s="3">
        <v>54.7366666666667</v>
      </c>
      <c r="K201" s="3">
        <v>16.871666666666702</v>
      </c>
      <c r="L201" t="s">
        <v>37</v>
      </c>
      <c r="M201" t="str">
        <f t="shared" si="6"/>
        <v>POL</v>
      </c>
      <c r="P201">
        <v>1</v>
      </c>
      <c r="V201">
        <f t="shared" si="7"/>
        <v>1</v>
      </c>
    </row>
    <row r="202" spans="1:22" x14ac:dyDescent="0.25">
      <c r="A202">
        <v>25022</v>
      </c>
      <c r="B202" t="s">
        <v>40</v>
      </c>
      <c r="C202">
        <v>25</v>
      </c>
      <c r="D202">
        <v>54</v>
      </c>
      <c r="E202">
        <v>57.4</v>
      </c>
      <c r="F202">
        <v>17</v>
      </c>
      <c r="G202">
        <v>25</v>
      </c>
      <c r="H202">
        <v>2</v>
      </c>
      <c r="I202" t="s">
        <v>28</v>
      </c>
      <c r="J202" s="3">
        <v>54.956666666666699</v>
      </c>
      <c r="K202" s="3">
        <v>17.4166666666667</v>
      </c>
      <c r="L202" t="s">
        <v>37</v>
      </c>
      <c r="M202" t="str">
        <f t="shared" si="6"/>
        <v>POL</v>
      </c>
      <c r="P202">
        <v>1</v>
      </c>
      <c r="V202">
        <f t="shared" si="7"/>
        <v>1</v>
      </c>
    </row>
    <row r="203" spans="1:22" x14ac:dyDescent="0.25">
      <c r="A203">
        <v>25024</v>
      </c>
      <c r="B203" t="s">
        <v>40</v>
      </c>
      <c r="C203">
        <v>25</v>
      </c>
      <c r="D203">
        <v>54</v>
      </c>
      <c r="E203">
        <v>51</v>
      </c>
      <c r="F203">
        <v>17</v>
      </c>
      <c r="G203">
        <v>28</v>
      </c>
      <c r="H203">
        <v>2</v>
      </c>
      <c r="I203" t="s">
        <v>28</v>
      </c>
      <c r="J203" s="3">
        <v>54.85</v>
      </c>
      <c r="K203" s="3">
        <v>17.466666666666701</v>
      </c>
      <c r="L203" t="s">
        <v>37</v>
      </c>
      <c r="M203" t="str">
        <f t="shared" si="6"/>
        <v>POL</v>
      </c>
      <c r="P203">
        <v>1</v>
      </c>
      <c r="V203">
        <f t="shared" si="7"/>
        <v>1</v>
      </c>
    </row>
    <row r="204" spans="1:22" x14ac:dyDescent="0.25">
      <c r="A204">
        <v>25030</v>
      </c>
      <c r="B204" t="s">
        <v>41</v>
      </c>
      <c r="C204">
        <v>25</v>
      </c>
      <c r="D204">
        <v>55</v>
      </c>
      <c r="E204">
        <v>29.3</v>
      </c>
      <c r="F204">
        <v>17</v>
      </c>
      <c r="G204">
        <v>27.8</v>
      </c>
      <c r="H204">
        <v>3</v>
      </c>
      <c r="I204" t="s">
        <v>28</v>
      </c>
      <c r="J204" s="3">
        <v>55.488333333333301</v>
      </c>
      <c r="K204" s="3">
        <v>17.463333333333299</v>
      </c>
      <c r="L204" t="s">
        <v>37</v>
      </c>
      <c r="M204" t="str">
        <f t="shared" si="6"/>
        <v>POL</v>
      </c>
      <c r="P204">
        <v>1</v>
      </c>
      <c r="V204">
        <f t="shared" si="7"/>
        <v>1</v>
      </c>
    </row>
    <row r="205" spans="1:22" x14ac:dyDescent="0.25">
      <c r="A205">
        <v>25039</v>
      </c>
      <c r="B205" t="s">
        <v>38</v>
      </c>
      <c r="C205">
        <v>25</v>
      </c>
      <c r="D205">
        <v>54</v>
      </c>
      <c r="E205">
        <v>27.5</v>
      </c>
      <c r="F205">
        <v>15</v>
      </c>
      <c r="G205">
        <v>36.299999999999997</v>
      </c>
      <c r="H205">
        <v>3</v>
      </c>
      <c r="I205" t="s">
        <v>28</v>
      </c>
      <c r="J205" s="3">
        <v>54.4583333333333</v>
      </c>
      <c r="K205" s="3">
        <v>15.605</v>
      </c>
      <c r="L205" t="s">
        <v>37</v>
      </c>
      <c r="M205" t="str">
        <f t="shared" si="6"/>
        <v>POL</v>
      </c>
      <c r="P205">
        <v>1</v>
      </c>
      <c r="V205">
        <f t="shared" si="7"/>
        <v>1</v>
      </c>
    </row>
    <row r="206" spans="1:22" x14ac:dyDescent="0.25">
      <c r="A206">
        <v>25042</v>
      </c>
      <c r="B206" t="s">
        <v>43</v>
      </c>
      <c r="C206">
        <v>25</v>
      </c>
      <c r="D206">
        <v>54</v>
      </c>
      <c r="E206">
        <v>32</v>
      </c>
      <c r="F206">
        <v>16</v>
      </c>
      <c r="G206">
        <v>0</v>
      </c>
      <c r="H206">
        <v>3</v>
      </c>
      <c r="I206" t="s">
        <v>28</v>
      </c>
      <c r="J206" s="3">
        <v>54.533333333333303</v>
      </c>
      <c r="K206" s="3">
        <v>16</v>
      </c>
      <c r="L206" t="s">
        <v>37</v>
      </c>
      <c r="M206" t="str">
        <f t="shared" si="6"/>
        <v>POL</v>
      </c>
      <c r="P206">
        <v>1</v>
      </c>
      <c r="V206">
        <f t="shared" si="7"/>
        <v>1</v>
      </c>
    </row>
    <row r="207" spans="1:22" x14ac:dyDescent="0.25">
      <c r="A207">
        <v>25046</v>
      </c>
      <c r="B207" t="s">
        <v>43</v>
      </c>
      <c r="C207">
        <v>25</v>
      </c>
      <c r="D207">
        <v>54</v>
      </c>
      <c r="E207">
        <v>33.4</v>
      </c>
      <c r="F207">
        <v>15</v>
      </c>
      <c r="G207">
        <v>26.4</v>
      </c>
      <c r="H207">
        <v>3</v>
      </c>
      <c r="I207" t="s">
        <v>28</v>
      </c>
      <c r="J207" s="3">
        <v>54.5566666666667</v>
      </c>
      <c r="K207" s="3">
        <v>15.44</v>
      </c>
      <c r="L207" t="s">
        <v>37</v>
      </c>
      <c r="M207" t="str">
        <f t="shared" si="6"/>
        <v>POL</v>
      </c>
      <c r="P207">
        <v>1</v>
      </c>
      <c r="V207">
        <f t="shared" si="7"/>
        <v>1</v>
      </c>
    </row>
    <row r="208" spans="1:22" x14ac:dyDescent="0.25">
      <c r="A208">
        <v>25048</v>
      </c>
      <c r="B208" t="s">
        <v>43</v>
      </c>
      <c r="C208">
        <v>25</v>
      </c>
      <c r="D208">
        <v>54</v>
      </c>
      <c r="E208">
        <v>34.1</v>
      </c>
      <c r="F208">
        <v>15</v>
      </c>
      <c r="G208">
        <v>40.1</v>
      </c>
      <c r="H208">
        <v>4</v>
      </c>
      <c r="I208" t="s">
        <v>28</v>
      </c>
      <c r="J208" s="3">
        <v>54.5683333333333</v>
      </c>
      <c r="K208" s="3">
        <v>15.668333333333299</v>
      </c>
      <c r="L208" t="s">
        <v>37</v>
      </c>
      <c r="M208" t="str">
        <f t="shared" si="6"/>
        <v>POL</v>
      </c>
      <c r="P208">
        <v>1</v>
      </c>
      <c r="V208">
        <f t="shared" si="7"/>
        <v>1</v>
      </c>
    </row>
    <row r="209" spans="1:22" x14ac:dyDescent="0.25">
      <c r="A209">
        <v>25049</v>
      </c>
      <c r="B209" t="s">
        <v>43</v>
      </c>
      <c r="C209">
        <v>25</v>
      </c>
      <c r="D209">
        <v>54</v>
      </c>
      <c r="E209">
        <v>32.5</v>
      </c>
      <c r="F209">
        <v>15</v>
      </c>
      <c r="G209">
        <v>46.1</v>
      </c>
      <c r="H209">
        <v>3</v>
      </c>
      <c r="I209" t="s">
        <v>28</v>
      </c>
      <c r="J209" s="3">
        <v>54.5416666666667</v>
      </c>
      <c r="K209" s="3">
        <v>15.768333333333301</v>
      </c>
      <c r="L209" t="s">
        <v>37</v>
      </c>
      <c r="M209" t="str">
        <f t="shared" si="6"/>
        <v>POL</v>
      </c>
      <c r="P209">
        <v>1</v>
      </c>
      <c r="V209">
        <f t="shared" si="7"/>
        <v>1</v>
      </c>
    </row>
    <row r="210" spans="1:22" x14ac:dyDescent="0.25">
      <c r="A210">
        <v>25051</v>
      </c>
      <c r="B210" t="s">
        <v>43</v>
      </c>
      <c r="C210">
        <v>25</v>
      </c>
      <c r="D210">
        <v>54</v>
      </c>
      <c r="E210">
        <v>38.700000000000003</v>
      </c>
      <c r="F210">
        <v>15</v>
      </c>
      <c r="G210">
        <v>54.8</v>
      </c>
      <c r="H210">
        <v>3</v>
      </c>
      <c r="I210" t="s">
        <v>28</v>
      </c>
      <c r="J210" s="3">
        <v>54.645000000000003</v>
      </c>
      <c r="K210" s="3">
        <v>15.9133333333333</v>
      </c>
      <c r="L210" t="s">
        <v>37</v>
      </c>
      <c r="M210" t="str">
        <f t="shared" si="6"/>
        <v>POL</v>
      </c>
      <c r="P210">
        <v>1</v>
      </c>
      <c r="V210">
        <f t="shared" si="7"/>
        <v>1</v>
      </c>
    </row>
    <row r="211" spans="1:22" x14ac:dyDescent="0.25">
      <c r="A211">
        <v>25052</v>
      </c>
      <c r="B211" t="s">
        <v>36</v>
      </c>
      <c r="C211">
        <v>25</v>
      </c>
      <c r="D211">
        <v>54</v>
      </c>
      <c r="E211">
        <v>38.4</v>
      </c>
      <c r="F211">
        <v>16</v>
      </c>
      <c r="G211">
        <v>4.5</v>
      </c>
      <c r="H211">
        <v>3</v>
      </c>
      <c r="I211" t="s">
        <v>28</v>
      </c>
      <c r="J211" s="3">
        <v>54.64</v>
      </c>
      <c r="K211" s="3">
        <v>16.074999999999999</v>
      </c>
      <c r="L211" t="s">
        <v>37</v>
      </c>
      <c r="M211" t="str">
        <f t="shared" ref="M211:M274" si="8">IF(N211=1,"DEN",IF(O211=1,"SWE",IF(P211=1,"POL",IF(Q211=1,"LAT",IF(R211=1,"EST",IF(S211=1,"GER",IF(T211=1,"LTU",IF(U211=1,"RUS",""))))))))</f>
        <v>POL</v>
      </c>
      <c r="P211">
        <v>1</v>
      </c>
      <c r="V211">
        <f t="shared" si="7"/>
        <v>1</v>
      </c>
    </row>
    <row r="212" spans="1:22" x14ac:dyDescent="0.25">
      <c r="A212">
        <v>25055</v>
      </c>
      <c r="B212" t="s">
        <v>43</v>
      </c>
      <c r="C212">
        <v>25</v>
      </c>
      <c r="D212">
        <v>54</v>
      </c>
      <c r="E212">
        <v>49</v>
      </c>
      <c r="F212">
        <v>15</v>
      </c>
      <c r="G212">
        <v>55</v>
      </c>
      <c r="H212">
        <v>4</v>
      </c>
      <c r="I212" t="s">
        <v>28</v>
      </c>
      <c r="J212" s="3">
        <v>54.816666666666698</v>
      </c>
      <c r="K212" s="3">
        <v>15.9166666666667</v>
      </c>
      <c r="L212" t="s">
        <v>37</v>
      </c>
      <c r="M212" t="str">
        <f t="shared" si="8"/>
        <v>POL</v>
      </c>
      <c r="P212">
        <v>1</v>
      </c>
      <c r="V212">
        <f t="shared" si="7"/>
        <v>1</v>
      </c>
    </row>
    <row r="213" spans="1:22" x14ac:dyDescent="0.25">
      <c r="A213">
        <v>25056</v>
      </c>
      <c r="B213" t="s">
        <v>43</v>
      </c>
      <c r="C213">
        <v>25</v>
      </c>
      <c r="D213">
        <v>54</v>
      </c>
      <c r="E213">
        <v>44.7</v>
      </c>
      <c r="F213">
        <v>15</v>
      </c>
      <c r="G213">
        <v>57</v>
      </c>
      <c r="H213">
        <v>3</v>
      </c>
      <c r="I213" t="s">
        <v>28</v>
      </c>
      <c r="J213" s="3">
        <v>54.744999999999997</v>
      </c>
      <c r="K213" s="3">
        <v>15.95</v>
      </c>
      <c r="L213" t="s">
        <v>37</v>
      </c>
      <c r="M213" t="str">
        <f t="shared" si="8"/>
        <v>POL</v>
      </c>
      <c r="P213">
        <v>1</v>
      </c>
      <c r="V213">
        <f t="shared" si="7"/>
        <v>1</v>
      </c>
    </row>
    <row r="214" spans="1:22" x14ac:dyDescent="0.25">
      <c r="A214">
        <v>25060</v>
      </c>
      <c r="B214" t="s">
        <v>43</v>
      </c>
      <c r="C214">
        <v>25</v>
      </c>
      <c r="D214">
        <v>54</v>
      </c>
      <c r="E214">
        <v>50.3</v>
      </c>
      <c r="F214">
        <v>16</v>
      </c>
      <c r="G214">
        <v>3.1</v>
      </c>
      <c r="H214">
        <v>3</v>
      </c>
      <c r="I214" t="s">
        <v>28</v>
      </c>
      <c r="J214" s="3">
        <v>54.838333333333303</v>
      </c>
      <c r="K214" s="3">
        <v>16.051666666666701</v>
      </c>
      <c r="L214" t="s">
        <v>37</v>
      </c>
      <c r="M214" t="str">
        <f t="shared" si="8"/>
        <v>POL</v>
      </c>
      <c r="P214">
        <v>1</v>
      </c>
      <c r="V214">
        <f t="shared" si="7"/>
        <v>1</v>
      </c>
    </row>
    <row r="215" spans="1:22" x14ac:dyDescent="0.25">
      <c r="A215">
        <v>25061</v>
      </c>
      <c r="B215" t="s">
        <v>36</v>
      </c>
      <c r="C215">
        <v>25</v>
      </c>
      <c r="D215">
        <v>54</v>
      </c>
      <c r="E215">
        <v>49.5</v>
      </c>
      <c r="F215">
        <v>16</v>
      </c>
      <c r="G215">
        <v>2.1</v>
      </c>
      <c r="H215">
        <v>3</v>
      </c>
      <c r="I215" t="s">
        <v>28</v>
      </c>
      <c r="J215" s="3">
        <v>54.825000000000003</v>
      </c>
      <c r="K215" s="3">
        <v>16.035</v>
      </c>
      <c r="L215" t="s">
        <v>37</v>
      </c>
      <c r="M215" t="str">
        <f t="shared" si="8"/>
        <v>POL</v>
      </c>
      <c r="P215">
        <v>1</v>
      </c>
      <c r="V215">
        <f t="shared" si="7"/>
        <v>1</v>
      </c>
    </row>
    <row r="216" spans="1:22" x14ac:dyDescent="0.25">
      <c r="A216">
        <v>25062</v>
      </c>
      <c r="B216" t="s">
        <v>36</v>
      </c>
      <c r="C216">
        <v>25</v>
      </c>
      <c r="D216">
        <v>54</v>
      </c>
      <c r="E216">
        <v>56.3</v>
      </c>
      <c r="F216">
        <v>16</v>
      </c>
      <c r="G216">
        <v>14.6</v>
      </c>
      <c r="H216">
        <v>3</v>
      </c>
      <c r="I216" t="s">
        <v>28</v>
      </c>
      <c r="J216" s="3">
        <v>54.938333333333297</v>
      </c>
      <c r="K216" s="3">
        <v>16.2433333333333</v>
      </c>
      <c r="L216" t="s">
        <v>37</v>
      </c>
      <c r="M216" t="str">
        <f t="shared" si="8"/>
        <v>POL</v>
      </c>
      <c r="P216">
        <v>1</v>
      </c>
      <c r="V216">
        <f t="shared" si="7"/>
        <v>1</v>
      </c>
    </row>
    <row r="217" spans="1:22" x14ac:dyDescent="0.25">
      <c r="A217">
        <v>25066</v>
      </c>
      <c r="B217" t="s">
        <v>44</v>
      </c>
      <c r="C217">
        <v>25</v>
      </c>
      <c r="D217">
        <v>55</v>
      </c>
      <c r="E217">
        <v>0</v>
      </c>
      <c r="F217">
        <v>16</v>
      </c>
      <c r="G217">
        <v>17</v>
      </c>
      <c r="H217">
        <v>3</v>
      </c>
      <c r="I217" t="s">
        <v>28</v>
      </c>
      <c r="J217" s="3">
        <v>55</v>
      </c>
      <c r="K217" s="3">
        <v>16.283333333333299</v>
      </c>
      <c r="L217" t="s">
        <v>37</v>
      </c>
      <c r="M217" t="str">
        <f t="shared" si="8"/>
        <v>POL</v>
      </c>
      <c r="P217">
        <v>1</v>
      </c>
      <c r="V217">
        <f t="shared" si="7"/>
        <v>1</v>
      </c>
    </row>
    <row r="218" spans="1:22" x14ac:dyDescent="0.25">
      <c r="A218">
        <v>25067</v>
      </c>
      <c r="B218" t="s">
        <v>44</v>
      </c>
      <c r="C218">
        <v>25</v>
      </c>
      <c r="D218">
        <v>55</v>
      </c>
      <c r="E218">
        <v>2.6</v>
      </c>
      <c r="F218">
        <v>16</v>
      </c>
      <c r="G218">
        <v>24</v>
      </c>
      <c r="H218">
        <v>3</v>
      </c>
      <c r="I218" t="s">
        <v>28</v>
      </c>
      <c r="J218" s="3">
        <v>55.043333333333301</v>
      </c>
      <c r="K218" s="3">
        <v>16.399999999999999</v>
      </c>
      <c r="L218" t="s">
        <v>37</v>
      </c>
      <c r="M218" t="str">
        <f t="shared" si="8"/>
        <v>POL</v>
      </c>
      <c r="P218">
        <v>1</v>
      </c>
      <c r="V218">
        <f t="shared" si="7"/>
        <v>1</v>
      </c>
    </row>
    <row r="219" spans="1:22" x14ac:dyDescent="0.25">
      <c r="A219">
        <v>25080</v>
      </c>
      <c r="B219" t="s">
        <v>44</v>
      </c>
      <c r="C219">
        <v>25</v>
      </c>
      <c r="D219">
        <v>55</v>
      </c>
      <c r="E219">
        <v>24.3</v>
      </c>
      <c r="F219">
        <v>16</v>
      </c>
      <c r="G219">
        <v>44.9</v>
      </c>
      <c r="H219">
        <v>3</v>
      </c>
      <c r="I219" t="s">
        <v>28</v>
      </c>
      <c r="J219" s="3">
        <v>55.405000000000001</v>
      </c>
      <c r="K219" s="3">
        <v>16.748333333333299</v>
      </c>
      <c r="L219" t="s">
        <v>37</v>
      </c>
      <c r="M219" t="str">
        <f t="shared" si="8"/>
        <v>POL</v>
      </c>
      <c r="P219">
        <v>1</v>
      </c>
      <c r="V219">
        <f t="shared" si="7"/>
        <v>1</v>
      </c>
    </row>
    <row r="220" spans="1:22" x14ac:dyDescent="0.25">
      <c r="A220">
        <v>25084</v>
      </c>
      <c r="B220" t="s">
        <v>41</v>
      </c>
      <c r="C220">
        <v>25</v>
      </c>
      <c r="D220">
        <v>55</v>
      </c>
      <c r="E220">
        <v>23</v>
      </c>
      <c r="F220">
        <v>17</v>
      </c>
      <c r="G220">
        <v>22</v>
      </c>
      <c r="H220">
        <v>3</v>
      </c>
      <c r="I220" t="s">
        <v>28</v>
      </c>
      <c r="J220" s="3">
        <v>55.383333333333297</v>
      </c>
      <c r="K220" s="3">
        <v>17.366666666666699</v>
      </c>
      <c r="L220" t="s">
        <v>37</v>
      </c>
      <c r="M220" t="str">
        <f t="shared" si="8"/>
        <v>POL</v>
      </c>
      <c r="P220">
        <v>1</v>
      </c>
      <c r="V220">
        <f t="shared" si="7"/>
        <v>1</v>
      </c>
    </row>
    <row r="221" spans="1:22" x14ac:dyDescent="0.25">
      <c r="A221">
        <v>25089</v>
      </c>
      <c r="B221" t="s">
        <v>41</v>
      </c>
      <c r="C221">
        <v>25</v>
      </c>
      <c r="D221">
        <v>55</v>
      </c>
      <c r="E221">
        <v>23.4</v>
      </c>
      <c r="F221">
        <v>17</v>
      </c>
      <c r="G221">
        <v>45</v>
      </c>
      <c r="H221">
        <v>4</v>
      </c>
      <c r="I221" t="s">
        <v>28</v>
      </c>
      <c r="J221" s="3">
        <v>55.39</v>
      </c>
      <c r="K221" s="3">
        <v>17.75</v>
      </c>
      <c r="L221" t="s">
        <v>37</v>
      </c>
      <c r="M221" t="str">
        <f t="shared" si="8"/>
        <v>POL</v>
      </c>
      <c r="P221">
        <v>1</v>
      </c>
      <c r="V221">
        <f t="shared" si="7"/>
        <v>1</v>
      </c>
    </row>
    <row r="222" spans="1:22" x14ac:dyDescent="0.25">
      <c r="A222">
        <v>25229</v>
      </c>
      <c r="B222" t="s">
        <v>44</v>
      </c>
      <c r="C222">
        <v>25</v>
      </c>
      <c r="D222">
        <v>55</v>
      </c>
      <c r="E222">
        <v>16.7</v>
      </c>
      <c r="F222">
        <v>16</v>
      </c>
      <c r="G222">
        <v>52.3</v>
      </c>
      <c r="H222">
        <v>4</v>
      </c>
      <c r="I222" t="s">
        <v>28</v>
      </c>
      <c r="J222" s="3">
        <v>55.2783333333333</v>
      </c>
      <c r="K222" s="3">
        <v>16.871666666666702</v>
      </c>
      <c r="L222" t="s">
        <v>37</v>
      </c>
      <c r="M222" t="str">
        <f t="shared" si="8"/>
        <v>POL</v>
      </c>
      <c r="P222">
        <v>1</v>
      </c>
      <c r="V222">
        <f t="shared" si="7"/>
        <v>1</v>
      </c>
    </row>
    <row r="223" spans="1:22" x14ac:dyDescent="0.25">
      <c r="A223">
        <v>25231</v>
      </c>
      <c r="B223" t="s">
        <v>41</v>
      </c>
      <c r="C223">
        <v>25</v>
      </c>
      <c r="D223">
        <v>55</v>
      </c>
      <c r="E223">
        <v>19.3</v>
      </c>
      <c r="F223">
        <v>17</v>
      </c>
      <c r="G223">
        <v>17.399999999999999</v>
      </c>
      <c r="H223">
        <v>4</v>
      </c>
      <c r="I223" t="s">
        <v>28</v>
      </c>
      <c r="J223" s="3">
        <v>55.321666666666701</v>
      </c>
      <c r="K223" s="3">
        <v>17.29</v>
      </c>
      <c r="L223" t="s">
        <v>37</v>
      </c>
      <c r="M223" t="str">
        <f t="shared" si="8"/>
        <v>POL</v>
      </c>
      <c r="P223">
        <v>1</v>
      </c>
      <c r="V223">
        <f t="shared" si="7"/>
        <v>1</v>
      </c>
    </row>
    <row r="224" spans="1:22" x14ac:dyDescent="0.25">
      <c r="A224">
        <v>25248</v>
      </c>
      <c r="B224" t="s">
        <v>41</v>
      </c>
      <c r="C224">
        <v>25</v>
      </c>
      <c r="D224">
        <v>55</v>
      </c>
      <c r="E224">
        <v>21.1</v>
      </c>
      <c r="F224">
        <v>17</v>
      </c>
      <c r="G224">
        <v>27.7</v>
      </c>
      <c r="H224">
        <v>4</v>
      </c>
      <c r="I224" t="s">
        <v>28</v>
      </c>
      <c r="J224" s="3">
        <v>55.351666666666702</v>
      </c>
      <c r="K224" s="3">
        <v>17.461666666666702</v>
      </c>
      <c r="L224" t="s">
        <v>37</v>
      </c>
      <c r="M224" t="str">
        <f t="shared" si="8"/>
        <v>POL</v>
      </c>
      <c r="P224">
        <v>1</v>
      </c>
      <c r="V224">
        <f t="shared" si="7"/>
        <v>1</v>
      </c>
    </row>
    <row r="225" spans="1:22" x14ac:dyDescent="0.25">
      <c r="A225">
        <v>25250</v>
      </c>
      <c r="B225" t="s">
        <v>41</v>
      </c>
      <c r="C225">
        <v>25</v>
      </c>
      <c r="D225">
        <v>55</v>
      </c>
      <c r="E225">
        <v>24</v>
      </c>
      <c r="F225">
        <v>17</v>
      </c>
      <c r="G225">
        <v>30.3</v>
      </c>
      <c r="H225">
        <v>4</v>
      </c>
      <c r="I225" t="s">
        <v>28</v>
      </c>
      <c r="J225" s="3">
        <v>55.4</v>
      </c>
      <c r="K225" s="3">
        <v>17.504999999999999</v>
      </c>
      <c r="L225" t="s">
        <v>37</v>
      </c>
      <c r="M225" t="str">
        <f t="shared" si="8"/>
        <v>POL</v>
      </c>
      <c r="P225">
        <v>1</v>
      </c>
      <c r="V225">
        <f t="shared" si="7"/>
        <v>1</v>
      </c>
    </row>
    <row r="226" spans="1:22" x14ac:dyDescent="0.25">
      <c r="A226">
        <v>25252</v>
      </c>
      <c r="B226" t="s">
        <v>41</v>
      </c>
      <c r="C226">
        <v>25</v>
      </c>
      <c r="D226">
        <v>55</v>
      </c>
      <c r="E226">
        <v>29.8</v>
      </c>
      <c r="F226">
        <v>17</v>
      </c>
      <c r="G226">
        <v>48</v>
      </c>
      <c r="H226">
        <v>4</v>
      </c>
      <c r="I226" t="s">
        <v>28</v>
      </c>
      <c r="J226" s="3">
        <v>55.496666666666698</v>
      </c>
      <c r="K226" s="3">
        <v>17.8</v>
      </c>
      <c r="L226" t="s">
        <v>37</v>
      </c>
      <c r="M226" t="str">
        <f t="shared" si="8"/>
        <v>POL</v>
      </c>
      <c r="P226">
        <v>1</v>
      </c>
      <c r="V226">
        <f t="shared" si="7"/>
        <v>1</v>
      </c>
    </row>
    <row r="227" spans="1:22" x14ac:dyDescent="0.25">
      <c r="A227">
        <v>25253</v>
      </c>
      <c r="B227" t="s">
        <v>41</v>
      </c>
      <c r="C227">
        <v>25</v>
      </c>
      <c r="D227">
        <v>55</v>
      </c>
      <c r="E227">
        <v>29</v>
      </c>
      <c r="F227">
        <v>17</v>
      </c>
      <c r="G227">
        <v>51</v>
      </c>
      <c r="H227">
        <v>4</v>
      </c>
      <c r="I227" t="s">
        <v>28</v>
      </c>
      <c r="J227" s="3">
        <v>55.483333333333299</v>
      </c>
      <c r="K227" s="3">
        <v>17.850000000000001</v>
      </c>
      <c r="L227" t="s">
        <v>37</v>
      </c>
      <c r="M227" t="str">
        <f t="shared" si="8"/>
        <v>POL</v>
      </c>
      <c r="P227">
        <v>1</v>
      </c>
      <c r="V227">
        <f t="shared" si="7"/>
        <v>1</v>
      </c>
    </row>
    <row r="228" spans="1:22" x14ac:dyDescent="0.25">
      <c r="A228">
        <v>25339</v>
      </c>
      <c r="B228" t="s">
        <v>41</v>
      </c>
      <c r="C228">
        <v>25</v>
      </c>
      <c r="D228">
        <v>55</v>
      </c>
      <c r="E228">
        <v>15.5</v>
      </c>
      <c r="F228">
        <v>17</v>
      </c>
      <c r="G228">
        <v>25.5</v>
      </c>
      <c r="H228">
        <v>5</v>
      </c>
      <c r="I228" t="s">
        <v>28</v>
      </c>
      <c r="J228" s="3">
        <v>55.258333333333297</v>
      </c>
      <c r="K228" s="3">
        <v>17.425000000000001</v>
      </c>
      <c r="L228" t="s">
        <v>37</v>
      </c>
      <c r="M228" t="str">
        <f t="shared" si="8"/>
        <v>POL</v>
      </c>
      <c r="P228">
        <v>1</v>
      </c>
      <c r="V228">
        <f t="shared" si="7"/>
        <v>1</v>
      </c>
    </row>
    <row r="229" spans="1:22" x14ac:dyDescent="0.25">
      <c r="A229">
        <v>25364</v>
      </c>
      <c r="B229" t="s">
        <v>40</v>
      </c>
      <c r="C229">
        <v>25</v>
      </c>
      <c r="D229">
        <v>54</v>
      </c>
      <c r="E229">
        <v>59.8</v>
      </c>
      <c r="F229">
        <v>17</v>
      </c>
      <c r="G229">
        <v>28</v>
      </c>
      <c r="H229">
        <v>2</v>
      </c>
      <c r="I229" t="s">
        <v>28</v>
      </c>
      <c r="J229" s="3">
        <v>54.996666666666698</v>
      </c>
      <c r="K229" s="3">
        <v>17.466666666666701</v>
      </c>
      <c r="L229" t="s">
        <v>37</v>
      </c>
      <c r="M229" t="str">
        <f t="shared" si="8"/>
        <v>POL</v>
      </c>
      <c r="P229">
        <v>1</v>
      </c>
      <c r="V229">
        <f t="shared" si="7"/>
        <v>1</v>
      </c>
    </row>
    <row r="230" spans="1:22" x14ac:dyDescent="0.25">
      <c r="A230">
        <v>25455</v>
      </c>
      <c r="B230" t="s">
        <v>41</v>
      </c>
      <c r="C230">
        <v>25</v>
      </c>
      <c r="D230">
        <v>55</v>
      </c>
      <c r="E230">
        <v>27.4</v>
      </c>
      <c r="F230">
        <v>17</v>
      </c>
      <c r="G230">
        <v>17</v>
      </c>
      <c r="H230">
        <v>2</v>
      </c>
      <c r="I230" t="s">
        <v>28</v>
      </c>
      <c r="J230" s="3">
        <v>55.456666666666699</v>
      </c>
      <c r="K230" s="3">
        <v>17.283333333333299</v>
      </c>
      <c r="L230" t="s">
        <v>37</v>
      </c>
      <c r="M230" t="str">
        <f t="shared" si="8"/>
        <v>POL</v>
      </c>
      <c r="P230">
        <v>1</v>
      </c>
      <c r="V230">
        <f t="shared" si="7"/>
        <v>1</v>
      </c>
    </row>
    <row r="231" spans="1:22" x14ac:dyDescent="0.25">
      <c r="A231">
        <v>25457</v>
      </c>
      <c r="B231" t="s">
        <v>41</v>
      </c>
      <c r="C231">
        <v>25</v>
      </c>
      <c r="D231">
        <v>55</v>
      </c>
      <c r="E231">
        <v>20.7</v>
      </c>
      <c r="F231">
        <v>17</v>
      </c>
      <c r="G231">
        <v>10.9</v>
      </c>
      <c r="H231">
        <v>4</v>
      </c>
      <c r="I231" t="s">
        <v>28</v>
      </c>
      <c r="J231" s="3">
        <v>55.344999999999999</v>
      </c>
      <c r="K231" s="3">
        <v>17.1816666666667</v>
      </c>
      <c r="L231" t="s">
        <v>37</v>
      </c>
      <c r="M231" t="str">
        <f t="shared" si="8"/>
        <v>POL</v>
      </c>
      <c r="P231">
        <v>1</v>
      </c>
      <c r="V231">
        <f t="shared" si="7"/>
        <v>1</v>
      </c>
    </row>
    <row r="232" spans="1:22" x14ac:dyDescent="0.25">
      <c r="A232">
        <v>26014</v>
      </c>
      <c r="B232" t="s">
        <v>52</v>
      </c>
      <c r="C232">
        <v>26</v>
      </c>
      <c r="D232">
        <v>54</v>
      </c>
      <c r="E232">
        <v>26.1</v>
      </c>
      <c r="F232">
        <v>19</v>
      </c>
      <c r="G232">
        <v>3.9</v>
      </c>
      <c r="H232">
        <v>3</v>
      </c>
      <c r="I232" t="s">
        <v>28</v>
      </c>
      <c r="J232" s="3">
        <v>54.435000000000002</v>
      </c>
      <c r="K232" s="3">
        <v>19.065000000000001</v>
      </c>
      <c r="L232" t="s">
        <v>37</v>
      </c>
      <c r="M232" t="str">
        <f t="shared" si="8"/>
        <v>POL</v>
      </c>
      <c r="P232">
        <v>1</v>
      </c>
      <c r="V232">
        <f t="shared" si="7"/>
        <v>1</v>
      </c>
    </row>
    <row r="233" spans="1:22" x14ac:dyDescent="0.25">
      <c r="A233">
        <v>26050</v>
      </c>
      <c r="B233" t="s">
        <v>60</v>
      </c>
      <c r="C233">
        <v>26</v>
      </c>
      <c r="D233">
        <v>55</v>
      </c>
      <c r="E233">
        <v>38.299999999999997</v>
      </c>
      <c r="F233">
        <v>18</v>
      </c>
      <c r="G233">
        <v>3.6</v>
      </c>
      <c r="H233">
        <v>4</v>
      </c>
      <c r="I233" t="s">
        <v>28</v>
      </c>
      <c r="J233" s="3">
        <v>55.6383333333333</v>
      </c>
      <c r="K233" s="3">
        <v>18.059999999999999</v>
      </c>
      <c r="L233" t="s">
        <v>37</v>
      </c>
      <c r="M233" t="str">
        <f t="shared" si="8"/>
        <v>POL</v>
      </c>
      <c r="P233">
        <v>1</v>
      </c>
      <c r="V233">
        <f t="shared" si="7"/>
        <v>1</v>
      </c>
    </row>
    <row r="234" spans="1:22" x14ac:dyDescent="0.25">
      <c r="A234">
        <v>26055</v>
      </c>
      <c r="B234" t="s">
        <v>60</v>
      </c>
      <c r="C234">
        <v>26</v>
      </c>
      <c r="D234">
        <v>55</v>
      </c>
      <c r="E234">
        <v>48</v>
      </c>
      <c r="F234">
        <v>18</v>
      </c>
      <c r="G234">
        <v>8</v>
      </c>
      <c r="H234">
        <v>4</v>
      </c>
      <c r="I234" t="s">
        <v>28</v>
      </c>
      <c r="J234" s="3">
        <v>55.8</v>
      </c>
      <c r="K234" s="3">
        <v>18.133333333333301</v>
      </c>
      <c r="L234" t="s">
        <v>37</v>
      </c>
      <c r="M234" t="str">
        <f t="shared" si="8"/>
        <v>POL</v>
      </c>
      <c r="P234">
        <v>1</v>
      </c>
      <c r="V234">
        <f t="shared" si="7"/>
        <v>1</v>
      </c>
    </row>
    <row r="235" spans="1:22" x14ac:dyDescent="0.25">
      <c r="A235">
        <v>26087</v>
      </c>
      <c r="B235" t="s">
        <v>61</v>
      </c>
      <c r="C235">
        <v>26</v>
      </c>
      <c r="D235">
        <v>54</v>
      </c>
      <c r="E235">
        <v>53</v>
      </c>
      <c r="F235">
        <v>18</v>
      </c>
      <c r="G235">
        <v>54</v>
      </c>
      <c r="H235">
        <v>5</v>
      </c>
      <c r="I235" t="s">
        <v>28</v>
      </c>
      <c r="J235" s="3">
        <v>54.883333333333297</v>
      </c>
      <c r="K235" s="3">
        <v>18.899999999999999</v>
      </c>
      <c r="L235" t="s">
        <v>37</v>
      </c>
      <c r="M235" t="str">
        <f t="shared" si="8"/>
        <v>POL</v>
      </c>
      <c r="P235">
        <v>1</v>
      </c>
      <c r="V235">
        <f t="shared" si="7"/>
        <v>1</v>
      </c>
    </row>
    <row r="236" spans="1:22" x14ac:dyDescent="0.25">
      <c r="A236">
        <v>26106</v>
      </c>
      <c r="B236" t="s">
        <v>62</v>
      </c>
      <c r="C236">
        <v>26</v>
      </c>
      <c r="D236">
        <v>55</v>
      </c>
      <c r="E236">
        <v>26.5</v>
      </c>
      <c r="F236">
        <v>18</v>
      </c>
      <c r="G236">
        <v>55.5</v>
      </c>
      <c r="H236">
        <v>5</v>
      </c>
      <c r="I236" t="s">
        <v>28</v>
      </c>
      <c r="J236" s="3">
        <v>55.441666666666698</v>
      </c>
      <c r="K236" s="3">
        <v>18.925000000000001</v>
      </c>
      <c r="L236" t="s">
        <v>37</v>
      </c>
      <c r="M236" t="str">
        <f t="shared" si="8"/>
        <v>POL</v>
      </c>
      <c r="P236">
        <v>1</v>
      </c>
      <c r="V236">
        <f t="shared" si="7"/>
        <v>1</v>
      </c>
    </row>
    <row r="237" spans="1:22" x14ac:dyDescent="0.25">
      <c r="A237">
        <v>26138</v>
      </c>
      <c r="B237" t="s">
        <v>60</v>
      </c>
      <c r="C237">
        <v>26</v>
      </c>
      <c r="D237">
        <v>55</v>
      </c>
      <c r="E237">
        <v>52.8</v>
      </c>
      <c r="F237">
        <v>18</v>
      </c>
      <c r="G237">
        <v>49</v>
      </c>
      <c r="H237">
        <v>6</v>
      </c>
      <c r="I237" t="s">
        <v>28</v>
      </c>
      <c r="J237" s="3">
        <v>55.88</v>
      </c>
      <c r="K237" s="3">
        <v>18.816666666666698</v>
      </c>
      <c r="L237" t="s">
        <v>37</v>
      </c>
      <c r="M237" t="str">
        <f t="shared" si="8"/>
        <v>POL</v>
      </c>
      <c r="P237">
        <v>1</v>
      </c>
      <c r="V237">
        <f t="shared" si="7"/>
        <v>1</v>
      </c>
    </row>
    <row r="238" spans="1:22" x14ac:dyDescent="0.25">
      <c r="A238">
        <v>26166</v>
      </c>
      <c r="B238" t="s">
        <v>62</v>
      </c>
      <c r="C238">
        <v>26</v>
      </c>
      <c r="D238">
        <v>55</v>
      </c>
      <c r="E238">
        <v>22.3</v>
      </c>
      <c r="F238">
        <v>18</v>
      </c>
      <c r="G238">
        <v>25.6</v>
      </c>
      <c r="H238">
        <v>5</v>
      </c>
      <c r="I238" t="s">
        <v>28</v>
      </c>
      <c r="J238" s="3">
        <v>55.371666666666698</v>
      </c>
      <c r="K238" s="3">
        <v>18.426666666666701</v>
      </c>
      <c r="L238" t="s">
        <v>37</v>
      </c>
      <c r="M238" t="str">
        <f t="shared" si="8"/>
        <v>POL</v>
      </c>
      <c r="P238">
        <v>1</v>
      </c>
      <c r="V238">
        <f t="shared" si="7"/>
        <v>1</v>
      </c>
    </row>
    <row r="239" spans="1:22" x14ac:dyDescent="0.25">
      <c r="A239">
        <v>26169</v>
      </c>
      <c r="B239" t="s">
        <v>61</v>
      </c>
      <c r="C239">
        <v>26</v>
      </c>
      <c r="D239">
        <v>54</v>
      </c>
      <c r="E239">
        <v>46.3</v>
      </c>
      <c r="F239">
        <v>18</v>
      </c>
      <c r="G239">
        <v>41.5</v>
      </c>
      <c r="H239">
        <v>2</v>
      </c>
      <c r="I239" t="s">
        <v>28</v>
      </c>
      <c r="J239" s="3">
        <v>54.771666666666697</v>
      </c>
      <c r="K239" s="3">
        <v>18.691666666666698</v>
      </c>
      <c r="L239" t="s">
        <v>37</v>
      </c>
      <c r="M239" t="str">
        <f t="shared" si="8"/>
        <v>POL</v>
      </c>
      <c r="P239">
        <v>1</v>
      </c>
      <c r="V239">
        <f t="shared" si="7"/>
        <v>1</v>
      </c>
    </row>
    <row r="240" spans="1:22" x14ac:dyDescent="0.25">
      <c r="A240">
        <v>26182</v>
      </c>
      <c r="B240" t="s">
        <v>62</v>
      </c>
      <c r="C240">
        <v>26</v>
      </c>
      <c r="D240">
        <v>55</v>
      </c>
      <c r="E240">
        <v>2.8</v>
      </c>
      <c r="F240">
        <v>18</v>
      </c>
      <c r="G240">
        <v>18.7</v>
      </c>
      <c r="H240">
        <v>4</v>
      </c>
      <c r="I240" t="s">
        <v>28</v>
      </c>
      <c r="J240" s="3">
        <v>55.046666666666702</v>
      </c>
      <c r="K240" s="3">
        <v>18.311666666666699</v>
      </c>
      <c r="L240" t="s">
        <v>37</v>
      </c>
      <c r="M240" t="str">
        <f t="shared" si="8"/>
        <v>POL</v>
      </c>
      <c r="P240">
        <v>1</v>
      </c>
      <c r="V240">
        <f t="shared" si="7"/>
        <v>1</v>
      </c>
    </row>
    <row r="241" spans="1:22" x14ac:dyDescent="0.25">
      <c r="A241">
        <v>26263</v>
      </c>
      <c r="B241" t="s">
        <v>64</v>
      </c>
      <c r="C241">
        <v>26</v>
      </c>
      <c r="D241">
        <v>54</v>
      </c>
      <c r="E241">
        <v>23.7</v>
      </c>
      <c r="F241">
        <v>18</v>
      </c>
      <c r="G241">
        <v>59.5</v>
      </c>
      <c r="H241">
        <v>2</v>
      </c>
      <c r="I241" t="s">
        <v>28</v>
      </c>
      <c r="J241" s="3">
        <v>54.395000000000003</v>
      </c>
      <c r="K241" s="3">
        <v>18.991666666666699</v>
      </c>
      <c r="L241" t="s">
        <v>37</v>
      </c>
      <c r="M241" t="str">
        <f t="shared" si="8"/>
        <v>POL</v>
      </c>
      <c r="P241">
        <v>1</v>
      </c>
      <c r="V241">
        <f t="shared" si="7"/>
        <v>1</v>
      </c>
    </row>
    <row r="242" spans="1:22" x14ac:dyDescent="0.25">
      <c r="A242">
        <v>26266</v>
      </c>
      <c r="B242" t="s">
        <v>61</v>
      </c>
      <c r="C242">
        <v>26</v>
      </c>
      <c r="D242">
        <v>54</v>
      </c>
      <c r="E242">
        <v>48.2</v>
      </c>
      <c r="F242">
        <v>18</v>
      </c>
      <c r="G242">
        <v>32.9</v>
      </c>
      <c r="H242">
        <v>2</v>
      </c>
      <c r="I242" t="s">
        <v>28</v>
      </c>
      <c r="J242" s="3">
        <v>54.803333333333299</v>
      </c>
      <c r="K242" s="3">
        <v>18.5483333333333</v>
      </c>
      <c r="L242" t="s">
        <v>37</v>
      </c>
      <c r="M242" t="str">
        <f t="shared" si="8"/>
        <v>POL</v>
      </c>
      <c r="P242">
        <v>1</v>
      </c>
      <c r="V242">
        <f t="shared" si="7"/>
        <v>1</v>
      </c>
    </row>
    <row r="243" spans="1:22" x14ac:dyDescent="0.25">
      <c r="A243">
        <v>26267</v>
      </c>
      <c r="B243" t="s">
        <v>61</v>
      </c>
      <c r="C243">
        <v>26</v>
      </c>
      <c r="D243">
        <v>54</v>
      </c>
      <c r="E243">
        <v>54.6</v>
      </c>
      <c r="F243">
        <v>18</v>
      </c>
      <c r="G243">
        <v>36.1</v>
      </c>
      <c r="H243">
        <v>3</v>
      </c>
      <c r="I243" t="s">
        <v>28</v>
      </c>
      <c r="J243" s="3">
        <v>54.91</v>
      </c>
      <c r="K243" s="3">
        <v>18.601666666666699</v>
      </c>
      <c r="L243" t="s">
        <v>37</v>
      </c>
      <c r="M243" t="str">
        <f t="shared" si="8"/>
        <v>POL</v>
      </c>
      <c r="P243">
        <v>1</v>
      </c>
      <c r="V243">
        <f t="shared" si="7"/>
        <v>1</v>
      </c>
    </row>
    <row r="244" spans="1:22" x14ac:dyDescent="0.25">
      <c r="A244">
        <v>26269</v>
      </c>
      <c r="B244" t="s">
        <v>52</v>
      </c>
      <c r="C244">
        <v>26</v>
      </c>
      <c r="D244">
        <v>54</v>
      </c>
      <c r="E244">
        <v>36.700000000000003</v>
      </c>
      <c r="F244">
        <v>19</v>
      </c>
      <c r="G244">
        <v>9.1999999999999993</v>
      </c>
      <c r="H244">
        <v>5</v>
      </c>
      <c r="I244" t="s">
        <v>28</v>
      </c>
      <c r="J244" s="3">
        <v>54.6116666666667</v>
      </c>
      <c r="K244" s="3">
        <v>19.1533333333333</v>
      </c>
      <c r="L244" t="s">
        <v>37</v>
      </c>
      <c r="M244" t="str">
        <f t="shared" si="8"/>
        <v>POL</v>
      </c>
      <c r="P244">
        <v>1</v>
      </c>
      <c r="V244">
        <f t="shared" si="7"/>
        <v>1</v>
      </c>
    </row>
    <row r="245" spans="1:22" x14ac:dyDescent="0.25">
      <c r="A245">
        <v>26273</v>
      </c>
      <c r="B245" t="s">
        <v>62</v>
      </c>
      <c r="C245">
        <v>26</v>
      </c>
      <c r="D245">
        <v>55</v>
      </c>
      <c r="E245">
        <v>7.9</v>
      </c>
      <c r="F245">
        <v>18</v>
      </c>
      <c r="G245">
        <v>43.4</v>
      </c>
      <c r="H245">
        <v>5</v>
      </c>
      <c r="I245" t="s">
        <v>28</v>
      </c>
      <c r="J245" s="3">
        <v>55.131666666666703</v>
      </c>
      <c r="K245" s="3">
        <v>18.723333333333301</v>
      </c>
      <c r="L245" t="s">
        <v>37</v>
      </c>
      <c r="M245" t="str">
        <f t="shared" si="8"/>
        <v>POL</v>
      </c>
      <c r="P245">
        <v>1</v>
      </c>
      <c r="V245">
        <f t="shared" si="7"/>
        <v>1</v>
      </c>
    </row>
    <row r="246" spans="1:22" x14ac:dyDescent="0.25">
      <c r="A246">
        <v>26274</v>
      </c>
      <c r="B246" t="s">
        <v>61</v>
      </c>
      <c r="C246">
        <v>26</v>
      </c>
      <c r="D246">
        <v>54</v>
      </c>
      <c r="E246">
        <v>53.8</v>
      </c>
      <c r="F246">
        <v>18</v>
      </c>
      <c r="G246">
        <v>10.199999999999999</v>
      </c>
      <c r="H246">
        <v>2</v>
      </c>
      <c r="I246" t="s">
        <v>28</v>
      </c>
      <c r="J246" s="3">
        <v>54.896666666666697</v>
      </c>
      <c r="K246" s="3">
        <v>18.170000000000002</v>
      </c>
      <c r="L246" t="s">
        <v>37</v>
      </c>
      <c r="M246" t="str">
        <f t="shared" si="8"/>
        <v>POL</v>
      </c>
      <c r="P246">
        <v>1</v>
      </c>
      <c r="V246">
        <f t="shared" si="7"/>
        <v>1</v>
      </c>
    </row>
    <row r="247" spans="1:22" x14ac:dyDescent="0.25">
      <c r="A247">
        <v>26280</v>
      </c>
      <c r="B247" t="s">
        <v>64</v>
      </c>
      <c r="C247">
        <v>26</v>
      </c>
      <c r="D247">
        <v>54</v>
      </c>
      <c r="E247">
        <v>29.6</v>
      </c>
      <c r="F247">
        <v>18</v>
      </c>
      <c r="G247">
        <v>53.4</v>
      </c>
      <c r="H247">
        <v>4</v>
      </c>
      <c r="I247" t="s">
        <v>28</v>
      </c>
      <c r="J247" s="3">
        <v>54.493333333333297</v>
      </c>
      <c r="K247" s="3">
        <v>18.89</v>
      </c>
      <c r="L247" t="s">
        <v>37</v>
      </c>
      <c r="M247" t="str">
        <f t="shared" si="8"/>
        <v>POL</v>
      </c>
      <c r="P247">
        <v>1</v>
      </c>
      <c r="V247">
        <f t="shared" si="7"/>
        <v>1</v>
      </c>
    </row>
    <row r="248" spans="1:22" x14ac:dyDescent="0.25">
      <c r="A248">
        <v>26286</v>
      </c>
      <c r="B248" t="s">
        <v>60</v>
      </c>
      <c r="C248">
        <v>26</v>
      </c>
      <c r="D248">
        <v>55</v>
      </c>
      <c r="E248">
        <v>37.6</v>
      </c>
      <c r="F248">
        <v>18</v>
      </c>
      <c r="G248">
        <v>32.200000000000003</v>
      </c>
      <c r="H248">
        <v>5</v>
      </c>
      <c r="I248" t="s">
        <v>28</v>
      </c>
      <c r="J248" s="3">
        <v>55.626666666666701</v>
      </c>
      <c r="K248" s="3">
        <v>18.536666666666701</v>
      </c>
      <c r="L248" t="s">
        <v>37</v>
      </c>
      <c r="M248" t="str">
        <f t="shared" si="8"/>
        <v>POL</v>
      </c>
      <c r="P248">
        <v>1</v>
      </c>
      <c r="V248">
        <f t="shared" si="7"/>
        <v>1</v>
      </c>
    </row>
    <row r="249" spans="1:22" x14ac:dyDescent="0.25">
      <c r="A249">
        <v>25292</v>
      </c>
      <c r="B249" t="s">
        <v>49</v>
      </c>
      <c r="C249">
        <v>25</v>
      </c>
      <c r="D249">
        <v>55</v>
      </c>
      <c r="E249">
        <v>41.6</v>
      </c>
      <c r="F249">
        <v>14</v>
      </c>
      <c r="G249">
        <v>50.5</v>
      </c>
      <c r="H249">
        <v>3</v>
      </c>
      <c r="I249" t="s">
        <v>34</v>
      </c>
      <c r="J249" s="3">
        <v>55.6933333333333</v>
      </c>
      <c r="K249" s="3">
        <v>14.841666666666701</v>
      </c>
      <c r="L249" t="s">
        <v>37</v>
      </c>
      <c r="M249" t="str">
        <f t="shared" si="8"/>
        <v>SWE</v>
      </c>
      <c r="O249">
        <v>1</v>
      </c>
      <c r="V249">
        <f t="shared" si="7"/>
        <v>1</v>
      </c>
    </row>
    <row r="250" spans="1:22" x14ac:dyDescent="0.25">
      <c r="A250">
        <v>25401</v>
      </c>
      <c r="B250" t="s">
        <v>49</v>
      </c>
      <c r="C250">
        <v>25</v>
      </c>
      <c r="D250">
        <v>55</v>
      </c>
      <c r="E250">
        <v>42.15</v>
      </c>
      <c r="F250">
        <v>14</v>
      </c>
      <c r="G250">
        <v>22.21</v>
      </c>
      <c r="H250">
        <v>2</v>
      </c>
      <c r="I250" t="s">
        <v>34</v>
      </c>
      <c r="J250" s="3">
        <v>55.702500000000001</v>
      </c>
      <c r="K250" s="3">
        <v>14.3701666666667</v>
      </c>
      <c r="L250" t="s">
        <v>37</v>
      </c>
      <c r="M250" t="str">
        <f t="shared" si="8"/>
        <v>SWE</v>
      </c>
      <c r="O250">
        <v>1</v>
      </c>
      <c r="V250">
        <f t="shared" si="7"/>
        <v>1</v>
      </c>
    </row>
    <row r="251" spans="1:22" x14ac:dyDescent="0.25">
      <c r="A251">
        <v>25404</v>
      </c>
      <c r="B251" t="s">
        <v>45</v>
      </c>
      <c r="C251">
        <v>25</v>
      </c>
      <c r="D251">
        <v>55</v>
      </c>
      <c r="E251">
        <v>49.6</v>
      </c>
      <c r="F251">
        <v>15</v>
      </c>
      <c r="G251">
        <v>26.4</v>
      </c>
      <c r="H251">
        <v>3</v>
      </c>
      <c r="I251" t="s">
        <v>34</v>
      </c>
      <c r="J251" s="3">
        <v>55.826666666666704</v>
      </c>
      <c r="K251" s="3">
        <v>15.44</v>
      </c>
      <c r="L251" t="s">
        <v>37</v>
      </c>
      <c r="M251" t="str">
        <f t="shared" si="8"/>
        <v>SWE</v>
      </c>
      <c r="O251">
        <v>1</v>
      </c>
      <c r="V251">
        <f t="shared" si="7"/>
        <v>1</v>
      </c>
    </row>
    <row r="252" spans="1:22" x14ac:dyDescent="0.25">
      <c r="A252">
        <v>25418</v>
      </c>
      <c r="B252" t="s">
        <v>49</v>
      </c>
      <c r="C252">
        <v>25</v>
      </c>
      <c r="D252">
        <v>55</v>
      </c>
      <c r="E252">
        <v>42.4</v>
      </c>
      <c r="F252">
        <v>14</v>
      </c>
      <c r="G252">
        <v>22.5</v>
      </c>
      <c r="H252">
        <v>2</v>
      </c>
      <c r="I252" t="s">
        <v>34</v>
      </c>
      <c r="J252" s="3">
        <v>55.706666666666699</v>
      </c>
      <c r="K252" s="3">
        <v>14.375</v>
      </c>
      <c r="L252" t="s">
        <v>37</v>
      </c>
      <c r="M252" t="str">
        <f t="shared" si="8"/>
        <v>SWE</v>
      </c>
      <c r="O252">
        <v>1</v>
      </c>
      <c r="V252">
        <f t="shared" si="7"/>
        <v>1</v>
      </c>
    </row>
    <row r="253" spans="1:22" x14ac:dyDescent="0.25">
      <c r="A253">
        <v>25419</v>
      </c>
      <c r="B253" t="s">
        <v>49</v>
      </c>
      <c r="C253">
        <v>25</v>
      </c>
      <c r="D253">
        <v>55</v>
      </c>
      <c r="E253">
        <v>41.5</v>
      </c>
      <c r="F253">
        <v>14</v>
      </c>
      <c r="G253">
        <v>22.35</v>
      </c>
      <c r="H253">
        <v>2</v>
      </c>
      <c r="I253" t="s">
        <v>34</v>
      </c>
      <c r="J253" s="3">
        <v>55.691666666666698</v>
      </c>
      <c r="K253" s="3">
        <v>14.3725</v>
      </c>
      <c r="L253" t="s">
        <v>37</v>
      </c>
      <c r="M253" t="str">
        <f t="shared" si="8"/>
        <v>SWE</v>
      </c>
      <c r="O253">
        <v>1</v>
      </c>
      <c r="V253">
        <f t="shared" si="7"/>
        <v>1</v>
      </c>
    </row>
    <row r="254" spans="1:22" x14ac:dyDescent="0.25">
      <c r="A254">
        <v>25426</v>
      </c>
      <c r="B254" t="s">
        <v>45</v>
      </c>
      <c r="C254">
        <v>25</v>
      </c>
      <c r="D254">
        <v>55</v>
      </c>
      <c r="E254">
        <v>49.1</v>
      </c>
      <c r="F254">
        <v>15</v>
      </c>
      <c r="G254">
        <v>15.6</v>
      </c>
      <c r="H254">
        <v>3</v>
      </c>
      <c r="I254" t="s">
        <v>34</v>
      </c>
      <c r="J254" s="3">
        <v>55.8183333333333</v>
      </c>
      <c r="K254" s="3">
        <v>15.26</v>
      </c>
      <c r="L254" t="s">
        <v>37</v>
      </c>
      <c r="M254" t="str">
        <f t="shared" si="8"/>
        <v>SWE</v>
      </c>
      <c r="O254">
        <v>1</v>
      </c>
      <c r="V254">
        <f t="shared" si="7"/>
        <v>1</v>
      </c>
    </row>
    <row r="255" spans="1:22" x14ac:dyDescent="0.25">
      <c r="A255">
        <v>25439</v>
      </c>
      <c r="B255" t="s">
        <v>49</v>
      </c>
      <c r="C255">
        <v>25</v>
      </c>
      <c r="D255">
        <v>55</v>
      </c>
      <c r="E255">
        <v>35.9</v>
      </c>
      <c r="F255">
        <v>14</v>
      </c>
      <c r="G255">
        <v>33.6</v>
      </c>
      <c r="H255">
        <v>4</v>
      </c>
      <c r="I255" t="s">
        <v>34</v>
      </c>
      <c r="J255" s="3">
        <v>55.598333333333301</v>
      </c>
      <c r="K255" s="3">
        <v>14.56</v>
      </c>
      <c r="L255" t="s">
        <v>37</v>
      </c>
      <c r="M255" t="str">
        <f t="shared" si="8"/>
        <v>SWE</v>
      </c>
      <c r="O255">
        <v>1</v>
      </c>
      <c r="V255">
        <f t="shared" si="7"/>
        <v>1</v>
      </c>
    </row>
    <row r="256" spans="1:22" x14ac:dyDescent="0.25">
      <c r="A256">
        <v>25500</v>
      </c>
      <c r="B256" t="s">
        <v>33</v>
      </c>
      <c r="C256">
        <v>25</v>
      </c>
      <c r="D256">
        <v>55</v>
      </c>
      <c r="E256">
        <v>28.42</v>
      </c>
      <c r="F256">
        <v>14</v>
      </c>
      <c r="G256">
        <v>39.32</v>
      </c>
      <c r="H256">
        <v>4</v>
      </c>
      <c r="I256" t="s">
        <v>34</v>
      </c>
      <c r="J256" s="3">
        <v>55.473666666666702</v>
      </c>
      <c r="K256" s="3">
        <v>14.655333333333299</v>
      </c>
      <c r="L256" t="s">
        <v>37</v>
      </c>
      <c r="M256" t="str">
        <f t="shared" si="8"/>
        <v>SWE</v>
      </c>
      <c r="O256">
        <v>1</v>
      </c>
      <c r="V256">
        <f t="shared" si="7"/>
        <v>1</v>
      </c>
    </row>
    <row r="257" spans="1:22" x14ac:dyDescent="0.25">
      <c r="A257">
        <v>25502</v>
      </c>
      <c r="B257" t="s">
        <v>33</v>
      </c>
      <c r="C257">
        <v>25</v>
      </c>
      <c r="D257">
        <v>55</v>
      </c>
      <c r="E257">
        <v>27.5</v>
      </c>
      <c r="F257">
        <v>14</v>
      </c>
      <c r="G257">
        <v>28.1</v>
      </c>
      <c r="H257">
        <v>3</v>
      </c>
      <c r="I257" t="s">
        <v>34</v>
      </c>
      <c r="J257" s="3">
        <v>55.4583333333333</v>
      </c>
      <c r="K257" s="3">
        <v>14.4683333333333</v>
      </c>
      <c r="L257" t="s">
        <v>37</v>
      </c>
      <c r="M257" t="str">
        <f t="shared" si="8"/>
        <v>SWE</v>
      </c>
      <c r="O257">
        <v>1</v>
      </c>
      <c r="V257">
        <f t="shared" si="7"/>
        <v>1</v>
      </c>
    </row>
    <row r="258" spans="1:22" x14ac:dyDescent="0.25">
      <c r="A258">
        <v>26221</v>
      </c>
      <c r="B258" t="s">
        <v>60</v>
      </c>
      <c r="C258">
        <v>26</v>
      </c>
      <c r="D258">
        <v>55</v>
      </c>
      <c r="E258">
        <v>55.2</v>
      </c>
      <c r="F258">
        <v>18</v>
      </c>
      <c r="G258">
        <v>35.21</v>
      </c>
      <c r="H258">
        <v>6</v>
      </c>
      <c r="I258" t="s">
        <v>34</v>
      </c>
      <c r="J258" s="3">
        <v>55.92</v>
      </c>
      <c r="K258" s="3">
        <v>18.586833333333299</v>
      </c>
      <c r="L258" t="s">
        <v>37</v>
      </c>
      <c r="M258" t="str">
        <f t="shared" si="8"/>
        <v>SWE</v>
      </c>
      <c r="O258">
        <v>1</v>
      </c>
      <c r="V258">
        <f t="shared" ref="V258:V278" si="9">SUM(N258:U258)</f>
        <v>1</v>
      </c>
    </row>
    <row r="259" spans="1:22" x14ac:dyDescent="0.25">
      <c r="A259">
        <v>27001</v>
      </c>
      <c r="B259" t="s">
        <v>65</v>
      </c>
      <c r="C259">
        <v>27</v>
      </c>
      <c r="D259">
        <v>57</v>
      </c>
      <c r="E259">
        <v>23.06</v>
      </c>
      <c r="F259">
        <v>16</v>
      </c>
      <c r="G259">
        <v>53.08</v>
      </c>
      <c r="H259">
        <v>3</v>
      </c>
      <c r="I259" t="s">
        <v>34</v>
      </c>
      <c r="J259" s="3">
        <v>57.384333333333302</v>
      </c>
      <c r="K259" s="3">
        <v>16.8846666666667</v>
      </c>
      <c r="L259" t="s">
        <v>37</v>
      </c>
      <c r="M259" t="str">
        <f t="shared" si="8"/>
        <v>SWE</v>
      </c>
      <c r="O259">
        <v>1</v>
      </c>
      <c r="V259">
        <f t="shared" si="9"/>
        <v>1</v>
      </c>
    </row>
    <row r="260" spans="1:22" x14ac:dyDescent="0.25">
      <c r="A260">
        <v>27003</v>
      </c>
      <c r="B260" t="s">
        <v>66</v>
      </c>
      <c r="C260">
        <v>27</v>
      </c>
      <c r="D260">
        <v>57</v>
      </c>
      <c r="E260">
        <v>24.8</v>
      </c>
      <c r="F260">
        <v>17</v>
      </c>
      <c r="G260">
        <v>1.5</v>
      </c>
      <c r="H260">
        <v>3</v>
      </c>
      <c r="I260" t="s">
        <v>34</v>
      </c>
      <c r="J260" s="3">
        <v>57.413333333333298</v>
      </c>
      <c r="K260" s="3">
        <v>17.024999999999999</v>
      </c>
      <c r="L260" t="s">
        <v>37</v>
      </c>
      <c r="M260" t="str">
        <f t="shared" si="8"/>
        <v>SWE</v>
      </c>
      <c r="O260">
        <v>1</v>
      </c>
      <c r="V260">
        <f t="shared" si="9"/>
        <v>1</v>
      </c>
    </row>
    <row r="261" spans="1:22" x14ac:dyDescent="0.25">
      <c r="A261">
        <v>27004</v>
      </c>
      <c r="B261" t="s">
        <v>67</v>
      </c>
      <c r="C261">
        <v>27</v>
      </c>
      <c r="D261">
        <v>56</v>
      </c>
      <c r="E261">
        <v>31.6</v>
      </c>
      <c r="F261">
        <v>16</v>
      </c>
      <c r="G261">
        <v>55</v>
      </c>
      <c r="H261">
        <v>4</v>
      </c>
      <c r="I261" t="s">
        <v>34</v>
      </c>
      <c r="J261" s="3">
        <v>56.526666666666699</v>
      </c>
      <c r="K261" s="3">
        <v>16.9166666666667</v>
      </c>
      <c r="L261" t="s">
        <v>37</v>
      </c>
      <c r="M261" t="str">
        <f t="shared" si="8"/>
        <v>SWE</v>
      </c>
      <c r="O261">
        <v>1</v>
      </c>
      <c r="V261">
        <f t="shared" si="9"/>
        <v>1</v>
      </c>
    </row>
    <row r="262" spans="1:22" x14ac:dyDescent="0.25">
      <c r="A262">
        <v>27011</v>
      </c>
      <c r="B262" t="s">
        <v>66</v>
      </c>
      <c r="C262">
        <v>27</v>
      </c>
      <c r="D262">
        <v>57</v>
      </c>
      <c r="E262">
        <v>27.5</v>
      </c>
      <c r="F262">
        <v>17</v>
      </c>
      <c r="G262">
        <v>32.799999999999997</v>
      </c>
      <c r="H262">
        <v>4</v>
      </c>
      <c r="I262" t="s">
        <v>34</v>
      </c>
      <c r="J262" s="3">
        <v>57.4583333333333</v>
      </c>
      <c r="K262" s="3">
        <v>17.546666666666699</v>
      </c>
      <c r="L262" t="s">
        <v>37</v>
      </c>
      <c r="M262" t="str">
        <f t="shared" si="8"/>
        <v>SWE</v>
      </c>
      <c r="O262">
        <v>1</v>
      </c>
      <c r="V262">
        <f t="shared" si="9"/>
        <v>1</v>
      </c>
    </row>
    <row r="263" spans="1:22" x14ac:dyDescent="0.25">
      <c r="A263">
        <v>27013</v>
      </c>
      <c r="B263" t="s">
        <v>66</v>
      </c>
      <c r="C263">
        <v>27</v>
      </c>
      <c r="D263">
        <v>57</v>
      </c>
      <c r="E263">
        <v>2.4</v>
      </c>
      <c r="F263">
        <v>17</v>
      </c>
      <c r="G263">
        <v>52.4</v>
      </c>
      <c r="H263">
        <v>5</v>
      </c>
      <c r="I263" t="s">
        <v>34</v>
      </c>
      <c r="J263" s="3">
        <v>57.04</v>
      </c>
      <c r="K263" s="3">
        <v>17.873333333333299</v>
      </c>
      <c r="L263" t="s">
        <v>37</v>
      </c>
      <c r="M263" t="str">
        <f t="shared" si="8"/>
        <v>SWE</v>
      </c>
      <c r="O263">
        <v>1</v>
      </c>
      <c r="V263">
        <f t="shared" si="9"/>
        <v>1</v>
      </c>
    </row>
    <row r="264" spans="1:22" x14ac:dyDescent="0.25">
      <c r="A264">
        <v>27014</v>
      </c>
      <c r="B264" t="s">
        <v>68</v>
      </c>
      <c r="C264">
        <v>27</v>
      </c>
      <c r="D264">
        <v>57</v>
      </c>
      <c r="E264">
        <v>37</v>
      </c>
      <c r="F264">
        <v>17</v>
      </c>
      <c r="G264">
        <v>6.05</v>
      </c>
      <c r="H264">
        <v>5</v>
      </c>
      <c r="I264" t="s">
        <v>34</v>
      </c>
      <c r="J264" s="3">
        <v>57.616666666666703</v>
      </c>
      <c r="K264" s="3">
        <v>17.100833333333298</v>
      </c>
      <c r="L264" t="s">
        <v>37</v>
      </c>
      <c r="M264" t="str">
        <f t="shared" si="8"/>
        <v>SWE</v>
      </c>
      <c r="O264">
        <v>1</v>
      </c>
      <c r="V264">
        <f t="shared" si="9"/>
        <v>1</v>
      </c>
    </row>
    <row r="265" spans="1:22" x14ac:dyDescent="0.25">
      <c r="A265">
        <v>27015</v>
      </c>
      <c r="B265" t="s">
        <v>69</v>
      </c>
      <c r="C265">
        <v>27</v>
      </c>
      <c r="D265">
        <v>57</v>
      </c>
      <c r="E265">
        <v>49</v>
      </c>
      <c r="F265">
        <v>18</v>
      </c>
      <c r="G265">
        <v>7</v>
      </c>
      <c r="H265">
        <v>5</v>
      </c>
      <c r="I265" t="s">
        <v>34</v>
      </c>
      <c r="J265" s="3">
        <v>57.816666666666698</v>
      </c>
      <c r="K265" s="3">
        <v>18.116666666666699</v>
      </c>
      <c r="L265" t="s">
        <v>37</v>
      </c>
      <c r="M265" t="str">
        <f t="shared" si="8"/>
        <v>SWE</v>
      </c>
      <c r="O265">
        <v>1</v>
      </c>
      <c r="V265">
        <f t="shared" si="9"/>
        <v>1</v>
      </c>
    </row>
    <row r="266" spans="1:22" x14ac:dyDescent="0.25">
      <c r="A266">
        <v>27022</v>
      </c>
      <c r="B266" t="s">
        <v>67</v>
      </c>
      <c r="C266">
        <v>27</v>
      </c>
      <c r="D266">
        <v>56</v>
      </c>
      <c r="E266">
        <v>42.2</v>
      </c>
      <c r="F266">
        <v>16</v>
      </c>
      <c r="G266">
        <v>59.1</v>
      </c>
      <c r="H266">
        <v>4</v>
      </c>
      <c r="I266" t="s">
        <v>34</v>
      </c>
      <c r="J266" s="3">
        <v>56.703333333333298</v>
      </c>
      <c r="K266" s="3">
        <v>16.984999999999999</v>
      </c>
      <c r="L266" t="s">
        <v>37</v>
      </c>
      <c r="M266" t="str">
        <f t="shared" si="8"/>
        <v>SWE</v>
      </c>
      <c r="O266">
        <v>1</v>
      </c>
      <c r="V266">
        <f t="shared" si="9"/>
        <v>1</v>
      </c>
    </row>
    <row r="267" spans="1:22" x14ac:dyDescent="0.25">
      <c r="A267">
        <v>27024</v>
      </c>
      <c r="B267" t="s">
        <v>66</v>
      </c>
      <c r="C267">
        <v>27</v>
      </c>
      <c r="D267">
        <v>57</v>
      </c>
      <c r="E267">
        <v>1.9</v>
      </c>
      <c r="F267">
        <v>17</v>
      </c>
      <c r="G267">
        <v>57.5</v>
      </c>
      <c r="H267">
        <v>4</v>
      </c>
      <c r="I267" t="s">
        <v>34</v>
      </c>
      <c r="J267" s="3">
        <v>57.031666666666702</v>
      </c>
      <c r="K267" s="3">
        <v>17.9583333333333</v>
      </c>
      <c r="L267" t="s">
        <v>37</v>
      </c>
      <c r="M267" t="str">
        <f t="shared" si="8"/>
        <v>SWE</v>
      </c>
      <c r="O267">
        <v>1</v>
      </c>
      <c r="V267">
        <f t="shared" si="9"/>
        <v>1</v>
      </c>
    </row>
    <row r="268" spans="1:22" x14ac:dyDescent="0.25">
      <c r="A268">
        <v>27025</v>
      </c>
      <c r="B268" t="s">
        <v>66</v>
      </c>
      <c r="C268">
        <v>27</v>
      </c>
      <c r="D268">
        <v>57</v>
      </c>
      <c r="E268">
        <v>26.9</v>
      </c>
      <c r="F268">
        <v>17</v>
      </c>
      <c r="G268">
        <v>6.3</v>
      </c>
      <c r="H268">
        <v>4</v>
      </c>
      <c r="I268" t="s">
        <v>34</v>
      </c>
      <c r="J268" s="3">
        <v>57.448333333333302</v>
      </c>
      <c r="K268" s="3">
        <v>17.105</v>
      </c>
      <c r="L268" t="s">
        <v>37</v>
      </c>
      <c r="M268" t="str">
        <f t="shared" si="8"/>
        <v>SWE</v>
      </c>
      <c r="O268">
        <v>1</v>
      </c>
      <c r="V268">
        <f t="shared" si="9"/>
        <v>1</v>
      </c>
    </row>
    <row r="269" spans="1:22" x14ac:dyDescent="0.25">
      <c r="A269">
        <v>28053</v>
      </c>
      <c r="B269" t="s">
        <v>73</v>
      </c>
      <c r="C269">
        <v>28</v>
      </c>
      <c r="D269">
        <v>57</v>
      </c>
      <c r="E269">
        <v>32.1</v>
      </c>
      <c r="F269">
        <v>19</v>
      </c>
      <c r="G269">
        <v>17.5</v>
      </c>
      <c r="H269">
        <v>4</v>
      </c>
      <c r="I269" t="s">
        <v>34</v>
      </c>
      <c r="J269" s="3">
        <v>57.534999999999997</v>
      </c>
      <c r="K269" s="3">
        <v>19.2916666666667</v>
      </c>
      <c r="L269" t="s">
        <v>37</v>
      </c>
      <c r="M269" t="str">
        <f t="shared" si="8"/>
        <v>SWE</v>
      </c>
      <c r="O269">
        <v>1</v>
      </c>
      <c r="V269">
        <f t="shared" si="9"/>
        <v>1</v>
      </c>
    </row>
    <row r="270" spans="1:22" x14ac:dyDescent="0.25">
      <c r="A270">
        <v>28078</v>
      </c>
      <c r="B270" t="s">
        <v>76</v>
      </c>
      <c r="C270">
        <v>28</v>
      </c>
      <c r="D270">
        <v>58</v>
      </c>
      <c r="E270">
        <v>3.4</v>
      </c>
      <c r="F270">
        <v>19</v>
      </c>
      <c r="G270">
        <v>27.9</v>
      </c>
      <c r="H270">
        <v>5</v>
      </c>
      <c r="I270" t="s">
        <v>34</v>
      </c>
      <c r="J270" s="3">
        <v>58.0566666666667</v>
      </c>
      <c r="K270" s="3">
        <v>19.465</v>
      </c>
      <c r="L270" t="s">
        <v>37</v>
      </c>
      <c r="M270" t="str">
        <f t="shared" si="8"/>
        <v>SWE</v>
      </c>
      <c r="O270">
        <v>1</v>
      </c>
      <c r="V270">
        <f t="shared" si="9"/>
        <v>1</v>
      </c>
    </row>
    <row r="271" spans="1:22" x14ac:dyDescent="0.25">
      <c r="A271">
        <v>28098</v>
      </c>
      <c r="B271" t="s">
        <v>77</v>
      </c>
      <c r="C271">
        <v>28</v>
      </c>
      <c r="D271">
        <v>57</v>
      </c>
      <c r="E271">
        <v>20.2</v>
      </c>
      <c r="F271">
        <v>19</v>
      </c>
      <c r="G271">
        <v>8.1</v>
      </c>
      <c r="H271">
        <v>5</v>
      </c>
      <c r="I271" t="s">
        <v>34</v>
      </c>
      <c r="J271" s="3">
        <v>57.336666666666702</v>
      </c>
      <c r="K271" s="3">
        <v>19.135000000000002</v>
      </c>
      <c r="L271" t="s">
        <v>37</v>
      </c>
      <c r="M271" t="str">
        <f t="shared" si="8"/>
        <v>SWE</v>
      </c>
      <c r="O271">
        <v>1</v>
      </c>
      <c r="V271">
        <f t="shared" si="9"/>
        <v>1</v>
      </c>
    </row>
    <row r="272" spans="1:22" x14ac:dyDescent="0.25">
      <c r="A272">
        <v>28101</v>
      </c>
      <c r="B272" t="s">
        <v>78</v>
      </c>
      <c r="C272">
        <v>28</v>
      </c>
      <c r="D272">
        <v>57</v>
      </c>
      <c r="E272">
        <v>2.4</v>
      </c>
      <c r="F272">
        <v>18</v>
      </c>
      <c r="G272">
        <v>49.2</v>
      </c>
      <c r="H272">
        <v>4</v>
      </c>
      <c r="I272" t="s">
        <v>34</v>
      </c>
      <c r="J272" s="3">
        <v>57.04</v>
      </c>
      <c r="K272" s="3">
        <v>18.82</v>
      </c>
      <c r="L272" t="s">
        <v>37</v>
      </c>
      <c r="M272" t="str">
        <f t="shared" si="8"/>
        <v>SWE</v>
      </c>
      <c r="O272">
        <v>1</v>
      </c>
      <c r="V272">
        <f t="shared" si="9"/>
        <v>1</v>
      </c>
    </row>
    <row r="273" spans="1:25" x14ac:dyDescent="0.25">
      <c r="A273">
        <v>28103</v>
      </c>
      <c r="B273" t="s">
        <v>77</v>
      </c>
      <c r="C273">
        <v>28</v>
      </c>
      <c r="D273">
        <v>57</v>
      </c>
      <c r="E273">
        <v>19.8</v>
      </c>
      <c r="F273">
        <v>19</v>
      </c>
      <c r="G273">
        <v>5.0999999999999996</v>
      </c>
      <c r="H273">
        <v>4</v>
      </c>
      <c r="I273" t="s">
        <v>34</v>
      </c>
      <c r="J273" s="3">
        <v>57.33</v>
      </c>
      <c r="K273" s="3">
        <v>19.085000000000001</v>
      </c>
      <c r="L273" t="s">
        <v>37</v>
      </c>
      <c r="M273" t="str">
        <f t="shared" si="8"/>
        <v>SWE</v>
      </c>
      <c r="O273">
        <v>1</v>
      </c>
      <c r="V273">
        <f t="shared" si="9"/>
        <v>1</v>
      </c>
    </row>
    <row r="274" spans="1:25" x14ac:dyDescent="0.25">
      <c r="A274">
        <v>28177</v>
      </c>
      <c r="B274" t="s">
        <v>78</v>
      </c>
      <c r="C274">
        <v>28</v>
      </c>
      <c r="D274">
        <v>57</v>
      </c>
      <c r="E274">
        <v>11.07</v>
      </c>
      <c r="F274">
        <v>18</v>
      </c>
      <c r="G274">
        <v>48.65</v>
      </c>
      <c r="H274">
        <v>3</v>
      </c>
      <c r="I274" t="s">
        <v>34</v>
      </c>
      <c r="J274" s="3">
        <v>57.1845</v>
      </c>
      <c r="K274" s="3">
        <v>18.810833333333299</v>
      </c>
      <c r="L274" t="s">
        <v>37</v>
      </c>
      <c r="M274" t="str">
        <f t="shared" si="8"/>
        <v>SWE</v>
      </c>
      <c r="O274">
        <v>1</v>
      </c>
      <c r="V274">
        <f t="shared" si="9"/>
        <v>1</v>
      </c>
    </row>
    <row r="275" spans="1:25" x14ac:dyDescent="0.25">
      <c r="A275">
        <v>28181</v>
      </c>
      <c r="B275" t="s">
        <v>77</v>
      </c>
      <c r="C275">
        <v>28</v>
      </c>
      <c r="D275">
        <v>57</v>
      </c>
      <c r="E275">
        <v>21.64</v>
      </c>
      <c r="F275">
        <v>19</v>
      </c>
      <c r="G275">
        <v>5.28</v>
      </c>
      <c r="H275">
        <v>4</v>
      </c>
      <c r="I275" t="s">
        <v>34</v>
      </c>
      <c r="J275" s="3">
        <v>57.360666666666702</v>
      </c>
      <c r="K275" s="3">
        <v>19.088000000000001</v>
      </c>
      <c r="L275" t="s">
        <v>37</v>
      </c>
      <c r="M275" t="str">
        <f>IF(N275=1,"DEN",IF(O275=1,"SWE",IF(P275=1,"POL",IF(Q275=1,"LAT",IF(R275=1,"EST",IF(S275=1,"GER",IF(T275=1,"LTU",IF(U275=1,"RUS",""))))))))</f>
        <v>SWE</v>
      </c>
      <c r="O275">
        <v>1</v>
      </c>
      <c r="V275">
        <f t="shared" si="9"/>
        <v>1</v>
      </c>
    </row>
    <row r="276" spans="1:25" x14ac:dyDescent="0.25">
      <c r="A276">
        <v>28182</v>
      </c>
      <c r="B276" t="s">
        <v>73</v>
      </c>
      <c r="C276">
        <v>28</v>
      </c>
      <c r="D276">
        <v>57</v>
      </c>
      <c r="E276">
        <v>46.71</v>
      </c>
      <c r="F276">
        <v>19</v>
      </c>
      <c r="G276">
        <v>28.85</v>
      </c>
      <c r="H276">
        <v>5</v>
      </c>
      <c r="I276" t="s">
        <v>34</v>
      </c>
      <c r="J276" s="3">
        <v>57.778500000000001</v>
      </c>
      <c r="K276" s="3">
        <v>19.480833333333301</v>
      </c>
      <c r="L276" t="s">
        <v>37</v>
      </c>
      <c r="M276" t="str">
        <f>IF(N276=1,"DEN",IF(O276=1,"SWE",IF(P276=1,"POL",IF(Q276=1,"LAT",IF(R276=1,"EST",IF(S276=1,"GER",IF(T276=1,"LTU",IF(U276=1,"RUS",""))))))))</f>
        <v>SWE</v>
      </c>
      <c r="O276">
        <v>1</v>
      </c>
      <c r="V276">
        <f t="shared" si="9"/>
        <v>1</v>
      </c>
    </row>
    <row r="277" spans="1:25" x14ac:dyDescent="0.25">
      <c r="A277">
        <v>28186</v>
      </c>
      <c r="B277" t="s">
        <v>73</v>
      </c>
      <c r="C277">
        <v>28</v>
      </c>
      <c r="D277">
        <v>57</v>
      </c>
      <c r="E277">
        <v>43.06</v>
      </c>
      <c r="F277">
        <v>19</v>
      </c>
      <c r="G277">
        <v>10.32</v>
      </c>
      <c r="H277">
        <v>3</v>
      </c>
      <c r="I277" t="s">
        <v>34</v>
      </c>
      <c r="J277" s="3">
        <v>57.717666666666702</v>
      </c>
      <c r="K277" s="3">
        <v>19.172000000000001</v>
      </c>
      <c r="L277" t="s">
        <v>37</v>
      </c>
      <c r="M277" t="str">
        <f>IF(N277=1,"DEN",IF(O277=1,"SWE",IF(P277=1,"POL",IF(Q277=1,"LAT",IF(R277=1,"EST",IF(S277=1,"GER",IF(T277=1,"LTU",IF(U277=1,"RUS",""))))))))</f>
        <v>SWE</v>
      </c>
      <c r="O277">
        <v>1</v>
      </c>
      <c r="V277">
        <f t="shared" si="9"/>
        <v>1</v>
      </c>
    </row>
    <row r="278" spans="1:25" x14ac:dyDescent="0.25">
      <c r="A278">
        <v>28187</v>
      </c>
      <c r="B278" t="s">
        <v>73</v>
      </c>
      <c r="C278">
        <v>28</v>
      </c>
      <c r="D278">
        <v>57</v>
      </c>
      <c r="E278">
        <v>39.840000000000003</v>
      </c>
      <c r="F278">
        <v>19</v>
      </c>
      <c r="G278">
        <v>7.77</v>
      </c>
      <c r="H278">
        <v>3</v>
      </c>
      <c r="I278" t="s">
        <v>34</v>
      </c>
      <c r="J278" s="3">
        <v>57.664000000000001</v>
      </c>
      <c r="K278" s="3">
        <v>19.1295</v>
      </c>
      <c r="L278" t="s">
        <v>37</v>
      </c>
      <c r="M278" t="str">
        <f>IF(N278=1,"DEN",IF(O278=1,"SWE",IF(P278=1,"POL",IF(Q278=1,"LAT",IF(R278=1,"EST",IF(S278=1,"GER",IF(T278=1,"LTU",IF(U278=1,"RUS",""))))))))</f>
        <v>SWE</v>
      </c>
      <c r="O278">
        <v>1</v>
      </c>
      <c r="V278">
        <f t="shared" si="9"/>
        <v>1</v>
      </c>
    </row>
    <row r="279" spans="1:25" x14ac:dyDescent="0.25">
      <c r="N279">
        <f t="shared" ref="N279:T279" si="10">SUBTOTAL(9,N2:N259)</f>
        <v>77</v>
      </c>
      <c r="O279">
        <f t="shared" si="10"/>
        <v>11</v>
      </c>
      <c r="P279">
        <f t="shared" si="10"/>
        <v>60</v>
      </c>
      <c r="Q279">
        <f t="shared" si="10"/>
        <v>25</v>
      </c>
      <c r="R279">
        <f t="shared" si="10"/>
        <v>5</v>
      </c>
      <c r="S279">
        <f t="shared" si="10"/>
        <v>57</v>
      </c>
      <c r="T279">
        <f t="shared" si="10"/>
        <v>6</v>
      </c>
      <c r="U279">
        <f>SUBTOTAL(9,U2:U259)</f>
        <v>15</v>
      </c>
      <c r="V279" t="s">
        <v>88</v>
      </c>
      <c r="W279">
        <f>SUM(N279:U279)</f>
        <v>256</v>
      </c>
    </row>
    <row r="280" spans="1:25" x14ac:dyDescent="0.25">
      <c r="M280" s="1"/>
      <c r="N280" s="1">
        <v>77</v>
      </c>
      <c r="O280" s="1">
        <v>30</v>
      </c>
      <c r="P280" s="1">
        <v>60</v>
      </c>
      <c r="Q280" s="1">
        <v>25</v>
      </c>
      <c r="R280" s="1">
        <v>5</v>
      </c>
      <c r="S280" s="1">
        <v>57</v>
      </c>
      <c r="T280" s="1">
        <v>6</v>
      </c>
      <c r="U280" s="1">
        <v>7</v>
      </c>
      <c r="V280" s="1" t="s">
        <v>88</v>
      </c>
      <c r="W280" s="1">
        <f>SUM(N280:U280)</f>
        <v>267</v>
      </c>
    </row>
    <row r="281" spans="1:25" x14ac:dyDescent="0.25">
      <c r="N281" s="2">
        <f t="shared" ref="N281:U281" si="11">N280-N279</f>
        <v>0</v>
      </c>
      <c r="O281" s="2">
        <f t="shared" si="11"/>
        <v>19</v>
      </c>
      <c r="P281" s="2">
        <f t="shared" si="11"/>
        <v>0</v>
      </c>
      <c r="Q281" s="2">
        <f t="shared" si="11"/>
        <v>0</v>
      </c>
      <c r="R281" s="2">
        <f t="shared" si="11"/>
        <v>0</v>
      </c>
      <c r="S281" s="2">
        <f t="shared" si="11"/>
        <v>0</v>
      </c>
      <c r="T281" s="2">
        <f t="shared" si="11"/>
        <v>0</v>
      </c>
      <c r="U281" s="2">
        <f t="shared" si="11"/>
        <v>-8</v>
      </c>
      <c r="W281" s="2">
        <f>W280-W279</f>
        <v>11</v>
      </c>
      <c r="Y281" s="2"/>
    </row>
  </sheetData>
  <autoFilter ref="A1:U280"/>
  <sortState ref="A2:Y300">
    <sortCondition ref="M2:M300"/>
    <sortCondition ref="A2:A30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allocated hauls pr country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2017-05-18T10:05:15Z</dcterms:created>
  <dcterms:modified xsi:type="dcterms:W3CDTF">2017-08-15T15:52:57Z</dcterms:modified>
</cp:coreProperties>
</file>