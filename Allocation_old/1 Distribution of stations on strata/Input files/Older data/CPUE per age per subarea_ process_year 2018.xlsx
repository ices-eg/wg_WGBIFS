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Input files\"/>
    </mc:Choice>
  </mc:AlternateContent>
  <bookViews>
    <workbookView xWindow="-290" yWindow="0" windowWidth="25440" windowHeight="12590" activeTab="1"/>
  </bookViews>
  <sheets>
    <sheet name="Sheet1" sheetId="2" r:id="rId1"/>
    <sheet name="Sheet3" sheetId="4" r:id="rId2"/>
    <sheet name="CPUE per age per subarea_2017-0" sheetId="1" r:id="rId3"/>
  </sheets>
  <calcPr calcId="162913"/>
  <pivotCaches>
    <pivotCache cacheId="17" r:id="rId4"/>
    <pivotCache cacheId="18" r:id="rId5"/>
  </pivotCaches>
</workbook>
</file>

<file path=xl/calcChain.xml><?xml version="1.0" encoding="utf-8"?>
<calcChain xmlns="http://schemas.openxmlformats.org/spreadsheetml/2006/main">
  <c r="Q10" i="4" l="1"/>
  <c r="Q11" i="4"/>
  <c r="Q12" i="4"/>
  <c r="Q13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1" i="4"/>
  <c r="Q32" i="4"/>
  <c r="Q33" i="4"/>
  <c r="Q34" i="4"/>
  <c r="Q35" i="4"/>
  <c r="Q36" i="4"/>
  <c r="Q37" i="4"/>
  <c r="Q38" i="4"/>
  <c r="Q30" i="4"/>
  <c r="P38" i="4"/>
  <c r="P37" i="4"/>
  <c r="P36" i="4"/>
  <c r="P35" i="4"/>
  <c r="P34" i="4"/>
  <c r="P33" i="4"/>
  <c r="P32" i="4"/>
  <c r="P31" i="4"/>
  <c r="P30" i="4"/>
  <c r="P27" i="4"/>
  <c r="P26" i="4"/>
  <c r="P25" i="4"/>
  <c r="P24" i="4"/>
  <c r="P22" i="4"/>
  <c r="P21" i="4"/>
  <c r="P20" i="4"/>
  <c r="P19" i="4"/>
  <c r="N28" i="4"/>
  <c r="N14" i="4"/>
  <c r="N9" i="4"/>
  <c r="N30" i="4"/>
  <c r="N31" i="4"/>
  <c r="N38" i="4"/>
  <c r="N37" i="4"/>
  <c r="N36" i="4"/>
  <c r="N35" i="4"/>
  <c r="N33" i="4"/>
  <c r="N32" i="4"/>
  <c r="N34" i="4"/>
  <c r="N27" i="4"/>
  <c r="N26" i="4"/>
  <c r="N25" i="4"/>
  <c r="N24" i="4"/>
  <c r="N22" i="4"/>
  <c r="N21" i="4"/>
  <c r="N20" i="4"/>
  <c r="N19" i="4"/>
  <c r="N15" i="4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2" i="1"/>
</calcChain>
</file>

<file path=xl/sharedStrings.xml><?xml version="1.0" encoding="utf-8"?>
<sst xmlns="http://schemas.openxmlformats.org/spreadsheetml/2006/main" count="400" uniqueCount="62">
  <si>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</si>
  <si>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</si>
  <si>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</si>
  <si>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</si>
  <si>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</si>
  <si>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</si>
  <si>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</si>
  <si>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</si>
  <si>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</si>
  <si>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</si>
  <si>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</si>
  <si>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</si>
  <si>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</si>
  <si>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</si>
  <si>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</si>
  <si>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</si>
  <si>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</si>
  <si>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</si>
  <si>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</si>
  <si>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</si>
  <si>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</si>
  <si>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</si>
  <si>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</si>
  <si>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</si>
  <si>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Total Sum of Age_2</t>
  </si>
  <si>
    <t>Sum of Age_2</t>
  </si>
  <si>
    <t>Total Sum of Age_3</t>
  </si>
  <si>
    <t>Sum of Age_3</t>
  </si>
  <si>
    <t>Total Sum of Age_4</t>
  </si>
  <si>
    <t>Sum of Age_4</t>
  </si>
  <si>
    <t>Total Sum of Age_1</t>
  </si>
  <si>
    <t>Sum of Age_1</t>
  </si>
  <si>
    <t>Sum of Age_5</t>
  </si>
  <si>
    <t>Sum of Age_6</t>
  </si>
  <si>
    <t>Sum of Age_7</t>
  </si>
  <si>
    <t>Sum of Age_8</t>
  </si>
  <si>
    <t>Sum of Age_9</t>
  </si>
  <si>
    <t>Sum of Age_10</t>
  </si>
  <si>
    <t>Total Sum of Age_5</t>
  </si>
  <si>
    <t>Total Sum of Age_6</t>
  </si>
  <si>
    <t>Total Sum of Age_7</t>
  </si>
  <si>
    <t>Total Sum of Age_8</t>
  </si>
  <si>
    <t>Total Sum of Age_9</t>
  </si>
  <si>
    <t>Total Sum of Age_10</t>
  </si>
  <si>
    <t>Age_1+</t>
  </si>
  <si>
    <t>Average of Age_1+</t>
  </si>
  <si>
    <t>SD</t>
  </si>
  <si>
    <t>DepthInterval</t>
  </si>
  <si>
    <t>Layer</t>
  </si>
  <si>
    <t xml:space="preserve"> 10 - 39</t>
  </si>
  <si>
    <t xml:space="preserve"> 40 - 59</t>
  </si>
  <si>
    <t xml:space="preserve"> 60 - 79</t>
  </si>
  <si>
    <t xml:space="preserve"> 80 - 99</t>
  </si>
  <si>
    <t>100 - 119</t>
  </si>
  <si>
    <t xml:space="preserve"> 20 - 39</t>
  </si>
  <si>
    <t>Depth strata in TD</t>
  </si>
  <si>
    <t>Sub-strata in DATRAS</t>
  </si>
  <si>
    <t>CPUE</t>
  </si>
  <si>
    <t>Indput file</t>
  </si>
  <si>
    <t>Check</t>
  </si>
  <si>
    <t>Sum of 1+2</t>
  </si>
  <si>
    <t>Sum of 6+7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</si>
</sst>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3206.914763773151" createdVersion="4" refreshedVersion="6" minRefreshableVersion="3" recordCount="135">
  <cacheSource type="worksheet">
    <worksheetSource ref="A1:T136" sheet="CPUE per age per subarea_2017-0"/>
  </cacheSource>
  <cacheFields count="20">
    <cacheField name="Survey" numFmtId="0">
      <sharedItems/>
    </cacheField>
    <cacheField name="Year" numFmtId="0">
      <sharedItems containsSemiMixedTypes="0" containsString="0" containsNumber="1" containsInteger="1" minValue="2011" maxValue="2017" count="7">
        <n v="2013"/>
        <n v="2014"/>
        <n v="2015"/>
        <n v="2016"/>
        <n v="2017"/>
        <n v="2011" u="1"/>
        <n v="2012" u="1"/>
      </sharedItems>
    </cacheField>
    <cacheField name="Quarter" numFmtId="0">
      <sharedItems containsSemiMixedTypes="0" containsString="0" containsNumber="1" containsInteger="1" minValue="1" maxValue="1"/>
    </cacheField>
    <cacheField name="Area" numFmtId="0">
      <sharedItems containsSemiMixedTypes="0" containsString="0" containsNumber="1" containsInteger="1" minValue="21" maxValue="28" count="8">
        <n v="21"/>
        <n v="22"/>
        <n v="23"/>
        <n v="24"/>
        <n v="25"/>
        <n v="26"/>
        <n v="27"/>
        <n v="28"/>
      </sharedItems>
    </cacheField>
    <cacheField name="SubArea" numFmtId="0">
      <sharedItems containsSemiMixedTypes="0" containsString="0" containsNumber="1" containsInteger="1" minValue="8" maxValue="14" count="7">
        <n v="10"/>
        <n v="11"/>
        <n v="9"/>
        <n v="8"/>
        <n v="12"/>
        <n v="13"/>
        <n v="14"/>
      </sharedItems>
    </cacheField>
    <cacheField name="AphiaID" numFmtId="0">
      <sharedItems containsSemiMixedTypes="0" containsString="0" containsNumber="1" containsInteger="1" minValue="126436" maxValue="126436"/>
    </cacheField>
    <cacheField name="Species" numFmtId="0">
      <sharedItems/>
    </cacheField>
    <cacheField name="Age_0" numFmtId="0">
      <sharedItems containsSemiMixedTypes="0" containsString="0" containsNumber="1" containsInteger="1" minValue="0" maxValue="0"/>
    </cacheField>
    <cacheField name="Age_1" numFmtId="0">
      <sharedItems containsSemiMixedTypes="0" containsString="0" containsNumber="1" minValue="0" maxValue="1005.7243999999999"/>
    </cacheField>
    <cacheField name="Age_2" numFmtId="0">
      <sharedItems containsSemiMixedTypes="0" containsString="0" containsNumber="1" minValue="0" maxValue="2206.7676999999999"/>
    </cacheField>
    <cacheField name="Age_3" numFmtId="0">
      <sharedItems containsSemiMixedTypes="0" containsString="0" containsNumber="1" minValue="0" maxValue="1315.5862"/>
    </cacheField>
    <cacheField name="Age_4" numFmtId="0">
      <sharedItems containsSemiMixedTypes="0" containsString="0" containsNumber="1" minValue="0" maxValue="824.57360000000006"/>
    </cacheField>
    <cacheField name="Age_5" numFmtId="0">
      <sharedItems containsSemiMixedTypes="0" containsString="0" containsNumber="1" minValue="0" maxValue="374.91230000000002"/>
    </cacheField>
    <cacheField name="Age_6" numFmtId="0">
      <sharedItems containsSemiMixedTypes="0" containsString="0" containsNumber="1" minValue="0" maxValue="85.188500000000005"/>
    </cacheField>
    <cacheField name="Age_7" numFmtId="0">
      <sharedItems containsSemiMixedTypes="0" containsString="0" containsNumber="1" minValue="0" maxValue="19.2973"/>
    </cacheField>
    <cacheField name="Age_8" numFmtId="0">
      <sharedItems containsSemiMixedTypes="0" containsString="0" containsNumber="1" minValue="0" maxValue="5.6360999999999999"/>
    </cacheField>
    <cacheField name="Age_9" numFmtId="0">
      <sharedItems containsSemiMixedTypes="0" containsString="0" containsNumber="1" minValue="0" maxValue="2.3635999999999999"/>
    </cacheField>
    <cacheField name="Age_10" numFmtId="0">
      <sharedItems containsSemiMixedTypes="0" containsString="0" containsNumber="1" minValue="0" maxValue="0.42280000000000001"/>
    </cacheField>
    <cacheField name="DateofCalculation" numFmtId="0">
      <sharedItems containsNonDate="0" containsString="0" containsBlank="1"/>
    </cacheField>
    <cacheField name="Age_1+" numFmtId="0">
      <sharedItems containsSemiMixedTypes="0" containsString="0" containsNumber="1" minValue="0" maxValue="3911.94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3206.914886458333" createdVersion="4" refreshedVersion="6" minRefreshableVersion="3" recordCount="136">
  <cacheSource type="worksheet">
    <worksheetSource ref="A1:S1048576" sheet="CPUE per age per subarea_2017-0"/>
  </cacheSource>
  <cacheFields count="19">
    <cacheField name="Survey" numFmtId="0">
      <sharedItems containsBlank="1"/>
    </cacheField>
    <cacheField name="Year" numFmtId="0">
      <sharedItems containsString="0" containsBlank="1" containsNumber="1" containsInteger="1" minValue="2011" maxValue="2017" count="8">
        <n v="2013"/>
        <n v="2014"/>
        <n v="2015"/>
        <n v="2016"/>
        <n v="2017"/>
        <m/>
        <n v="2011" u="1"/>
        <n v="2012" u="1"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SubArea" numFmtId="0">
      <sharedItems containsString="0" containsBlank="1" containsNumber="1" containsInteger="1" minValue="8" maxValue="14" count="8">
        <n v="10"/>
        <n v="11"/>
        <n v="9"/>
        <n v="8"/>
        <n v="12"/>
        <n v="13"/>
        <n v="14"/>
        <m/>
      </sharedItems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1005.7243999999999"/>
    </cacheField>
    <cacheField name="Age_2" numFmtId="0">
      <sharedItems containsString="0" containsBlank="1" containsNumber="1" minValue="0" maxValue="2206.7676999999999"/>
    </cacheField>
    <cacheField name="Age_3" numFmtId="0">
      <sharedItems containsString="0" containsBlank="1" containsNumber="1" minValue="0" maxValue="1315.5862"/>
    </cacheField>
    <cacheField name="Age_4" numFmtId="0">
      <sharedItems containsString="0" containsBlank="1" containsNumber="1" minValue="0" maxValue="824.57360000000006"/>
    </cacheField>
    <cacheField name="Age_5" numFmtId="0">
      <sharedItems containsString="0" containsBlank="1" containsNumber="1" minValue="0" maxValue="374.91230000000002"/>
    </cacheField>
    <cacheField name="Age_6" numFmtId="0">
      <sharedItems containsString="0" containsBlank="1" containsNumber="1" minValue="0" maxValue="85.188500000000005"/>
    </cacheField>
    <cacheField name="Age_7" numFmtId="0">
      <sharedItems containsString="0" containsBlank="1" containsNumber="1" minValue="0" maxValue="19.2973"/>
    </cacheField>
    <cacheField name="Age_8" numFmtId="0">
      <sharedItems containsString="0" containsBlank="1" containsNumber="1" minValue="0" maxValue="5.6360999999999999"/>
    </cacheField>
    <cacheField name="Age_9" numFmtId="0">
      <sharedItems containsString="0" containsBlank="1" containsNumber="1" minValue="0" maxValue="2.3635999999999999"/>
    </cacheField>
    <cacheField name="Age_10" numFmtId="0">
      <sharedItems containsString="0" containsBlank="1" containsNumber="1" minValue="0" maxValue="0.42280000000000001"/>
    </cacheField>
    <cacheField name="DateofCalcula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">
  <r>
    <s v="BITS"/>
    <x v="0"/>
    <n v="1"/>
    <x v="0"/>
    <x v="0"/>
    <n v="126436"/>
    <s v="Gadus morhua"/>
    <n v="0"/>
    <n v="63.674799999999998"/>
    <n v="14.0586"/>
    <n v="1.7566999999999999"/>
    <n v="0.93"/>
    <n v="0"/>
    <n v="0"/>
    <n v="0"/>
    <n v="0"/>
    <n v="0"/>
    <n v="0"/>
    <m/>
    <n v="80.420100000000005"/>
  </r>
  <r>
    <s v="BITS"/>
    <x v="0"/>
    <n v="1"/>
    <x v="0"/>
    <x v="1"/>
    <n v="126436"/>
    <s v="Gadus morhua"/>
    <n v="0"/>
    <n v="47.7348"/>
    <n v="61.185600000000001"/>
    <n v="5.9130000000000003"/>
    <n v="0"/>
    <n v="0"/>
    <n v="0"/>
    <n v="0"/>
    <n v="0"/>
    <n v="0"/>
    <n v="0"/>
    <m/>
    <n v="114.8334"/>
  </r>
  <r>
    <s v="BITS"/>
    <x v="0"/>
    <n v="1"/>
    <x v="0"/>
    <x v="2"/>
    <n v="126436"/>
    <s v="Gadus morhua"/>
    <n v="0"/>
    <n v="272.7817"/>
    <n v="62.453600000000002"/>
    <n v="13.312799999999999"/>
    <n v="0"/>
    <n v="0.56359999999999999"/>
    <n v="0"/>
    <n v="0"/>
    <n v="0"/>
    <n v="0"/>
    <n v="0"/>
    <m/>
    <n v="349.11169999999998"/>
  </r>
  <r>
    <s v="BITS"/>
    <x v="0"/>
    <n v="1"/>
    <x v="1"/>
    <x v="3"/>
    <n v="126436"/>
    <s v="Gadus morhua"/>
    <n v="0"/>
    <n v="104.1443"/>
    <n v="27.831900000000001"/>
    <n v="13.8634"/>
    <n v="1.3084"/>
    <n v="1.0082"/>
    <n v="0"/>
    <n v="0"/>
    <n v="0"/>
    <n v="0"/>
    <n v="0"/>
    <m/>
    <n v="148.15620000000001"/>
  </r>
  <r>
    <s v="BITS"/>
    <x v="0"/>
    <n v="1"/>
    <x v="1"/>
    <x v="2"/>
    <n v="126436"/>
    <s v="Gadus morhua"/>
    <n v="0"/>
    <n v="178.71340000000001"/>
    <n v="28.4956"/>
    <n v="34.088700000000003"/>
    <n v="3.7921999999999998"/>
    <n v="3.1831999999999998"/>
    <n v="0.77500000000000002"/>
    <n v="0"/>
    <n v="0"/>
    <n v="0"/>
    <n v="0"/>
    <m/>
    <n v="249.04810000000003"/>
  </r>
  <r>
    <s v="BITS"/>
    <x v="0"/>
    <n v="1"/>
    <x v="2"/>
    <x v="3"/>
    <n v="126436"/>
    <s v="Gadus morhua"/>
    <n v="0"/>
    <n v="135.30000000000001"/>
    <n v="462.86500000000001"/>
    <n v="768.07669999999996"/>
    <n v="108.75830000000001"/>
    <n v="53.475000000000001"/>
    <n v="0"/>
    <n v="0"/>
    <n v="0"/>
    <n v="0"/>
    <n v="0"/>
    <m/>
    <n v="1528.4749999999999"/>
  </r>
  <r>
    <s v="BITS"/>
    <x v="0"/>
    <n v="1"/>
    <x v="2"/>
    <x v="2"/>
    <n v="126436"/>
    <s v="Gadus morhua"/>
    <n v="0"/>
    <n v="134.19999999999999"/>
    <n v="77.846699999999998"/>
    <n v="26.453299999999999"/>
    <n v="0"/>
    <n v="3.1"/>
    <n v="0"/>
    <n v="0"/>
    <n v="0"/>
    <n v="0"/>
    <n v="0"/>
    <m/>
    <n v="241.6"/>
  </r>
  <r>
    <s v="BITS"/>
    <x v="0"/>
    <n v="1"/>
    <x v="3"/>
    <x v="0"/>
    <n v="126436"/>
    <s v="Gadus morhua"/>
    <n v="0"/>
    <n v="729.63699999999994"/>
    <n v="361.5949"/>
    <n v="68.501099999999994"/>
    <n v="39.414499999999997"/>
    <n v="4.0400999999999998"/>
    <n v="0.46250000000000002"/>
    <n v="0"/>
    <n v="0.29520000000000002"/>
    <n v="0"/>
    <n v="0"/>
    <m/>
    <n v="1203.9453000000001"/>
  </r>
  <r>
    <s v="BITS"/>
    <x v="0"/>
    <n v="1"/>
    <x v="3"/>
    <x v="3"/>
    <n v="126436"/>
    <s v="Gadus morhua"/>
    <n v="0"/>
    <n v="20.453800000000001"/>
    <n v="13.245900000000001"/>
    <n v="7.0267999999999997"/>
    <n v="3.7299000000000002"/>
    <n v="0.39389999999999997"/>
    <n v="2.3E-2"/>
    <n v="0"/>
    <n v="0"/>
    <n v="0"/>
    <n v="0"/>
    <m/>
    <n v="44.873300000000008"/>
  </r>
  <r>
    <s v="BITS"/>
    <x v="0"/>
    <n v="1"/>
    <x v="3"/>
    <x v="2"/>
    <n v="126436"/>
    <s v="Gadus morhua"/>
    <n v="0"/>
    <n v="91.211799999999997"/>
    <n v="25.1845"/>
    <n v="10.0014"/>
    <n v="5.8097000000000003"/>
    <n v="0.66100000000000003"/>
    <n v="6.2199999999999998E-2"/>
    <n v="0"/>
    <n v="0"/>
    <n v="0"/>
    <n v="0"/>
    <m/>
    <n v="132.9306"/>
  </r>
  <r>
    <s v="BITS"/>
    <x v="0"/>
    <n v="1"/>
    <x v="4"/>
    <x v="0"/>
    <n v="126436"/>
    <s v="Gadus morhua"/>
    <n v="0"/>
    <n v="50.839100000000002"/>
    <n v="2206.7676999999999"/>
    <n v="1194.1274000000001"/>
    <n v="347.96420000000001"/>
    <n v="73.318899999999999"/>
    <n v="33.474800000000002"/>
    <n v="5.0063000000000004"/>
    <n v="0.42049999999999998"/>
    <n v="2.6700000000000002E-2"/>
    <n v="0"/>
    <m/>
    <n v="3911.9456"/>
  </r>
  <r>
    <s v="BITS"/>
    <x v="0"/>
    <n v="1"/>
    <x v="4"/>
    <x v="1"/>
    <n v="126436"/>
    <s v="Gadus morhua"/>
    <n v="0"/>
    <n v="15.3269"/>
    <n v="662.79819999999995"/>
    <n v="562.33429999999998"/>
    <n v="229.49629999999999"/>
    <n v="67.850800000000007"/>
    <n v="29.787800000000001"/>
    <n v="5.63"/>
    <n v="1.0615000000000001"/>
    <n v="0.11310000000000001"/>
    <n v="0.2334"/>
    <m/>
    <n v="1574.6323000000002"/>
  </r>
  <r>
    <s v="BITS"/>
    <x v="0"/>
    <n v="1"/>
    <x v="4"/>
    <x v="4"/>
    <n v="126436"/>
    <s v="Gadus morhua"/>
    <n v="0"/>
    <n v="6.1905999999999999"/>
    <n v="105.5902"/>
    <n v="204.44120000000001"/>
    <n v="119.8943"/>
    <n v="46.803199999999997"/>
    <n v="21.086400000000001"/>
    <n v="4.0568"/>
    <n v="0.57799999999999996"/>
    <n v="1.52E-2"/>
    <n v="0"/>
    <m/>
    <n v="508.65589999999997"/>
  </r>
  <r>
    <s v="BITS"/>
    <x v="0"/>
    <n v="1"/>
    <x v="4"/>
    <x v="2"/>
    <n v="126436"/>
    <s v="Gadus morhua"/>
    <n v="0"/>
    <n v="3.0468000000000002"/>
    <n v="184.9486"/>
    <n v="167.5027"/>
    <n v="68.796599999999998"/>
    <n v="12.8512"/>
    <n v="6.2415000000000003"/>
    <n v="0.7873"/>
    <n v="1.3599999999999999E-2"/>
    <n v="2.5999999999999999E-2"/>
    <n v="0"/>
    <m/>
    <n v="444.21430000000004"/>
  </r>
  <r>
    <s v="BITS"/>
    <x v="0"/>
    <n v="1"/>
    <x v="5"/>
    <x v="0"/>
    <n v="126436"/>
    <s v="Gadus morhua"/>
    <n v="0"/>
    <n v="7.8827999999999996"/>
    <n v="386.9348"/>
    <n v="483.7672"/>
    <n v="145.05539999999999"/>
    <n v="48.6066"/>
    <n v="13.5938"/>
    <n v="1.196"/>
    <n v="1.4612000000000001"/>
    <n v="5.21E-2"/>
    <n v="9.3299999999999994E-2"/>
    <m/>
    <n v="1088.6432"/>
  </r>
  <r>
    <s v="BITS"/>
    <x v="0"/>
    <n v="1"/>
    <x v="5"/>
    <x v="1"/>
    <n v="126436"/>
    <s v="Gadus morhua"/>
    <n v="0"/>
    <n v="83.440200000000004"/>
    <n v="882.18889999999999"/>
    <n v="489.42669999999998"/>
    <n v="140.50040000000001"/>
    <n v="50.922699999999999"/>
    <n v="15.749599999999999"/>
    <n v="2.8902000000000001"/>
    <n v="1.7497"/>
    <n v="0.1716"/>
    <n v="0.1986"/>
    <m/>
    <n v="1667.2386000000001"/>
  </r>
  <r>
    <s v="BITS"/>
    <x v="0"/>
    <n v="1"/>
    <x v="5"/>
    <x v="4"/>
    <n v="126436"/>
    <s v="Gadus morhua"/>
    <n v="0"/>
    <n v="4.8312999999999997"/>
    <n v="151.93209999999999"/>
    <n v="275.73700000000002"/>
    <n v="104.1947"/>
    <n v="47.7898"/>
    <n v="18.6281"/>
    <n v="5.5807000000000002"/>
    <n v="2.3037000000000001"/>
    <n v="0.21129999999999999"/>
    <n v="0.42280000000000001"/>
    <m/>
    <n v="611.63150000000019"/>
  </r>
  <r>
    <s v="BITS"/>
    <x v="0"/>
    <n v="1"/>
    <x v="5"/>
    <x v="5"/>
    <n v="126436"/>
    <s v="Gadus morhua"/>
    <n v="0"/>
    <n v="0.12989999999999999"/>
    <n v="14.8453"/>
    <n v="25.777100000000001"/>
    <n v="14.628299999999999"/>
    <n v="8.4591999999999992"/>
    <n v="4.0587999999999997"/>
    <n v="1.3781000000000001"/>
    <n v="0.41670000000000001"/>
    <n v="7.3099999999999998E-2"/>
    <n v="0.4"/>
    <m/>
    <n v="70.166500000000013"/>
  </r>
  <r>
    <s v="BITS"/>
    <x v="0"/>
    <n v="1"/>
    <x v="5"/>
    <x v="2"/>
    <n v="126436"/>
    <s v="Gadus morhua"/>
    <n v="0"/>
    <n v="1.0238"/>
    <n v="28.3185"/>
    <n v="70.0929"/>
    <n v="22.989100000000001"/>
    <n v="9.9558999999999997"/>
    <n v="2.4769000000000001"/>
    <n v="0.1142"/>
    <n v="0.2787"/>
    <n v="0"/>
    <n v="0"/>
    <m/>
    <n v="135.25"/>
  </r>
  <r>
    <s v="BITS"/>
    <x v="0"/>
    <n v="1"/>
    <x v="6"/>
    <x v="0"/>
    <n v="126436"/>
    <s v="Gadus morhua"/>
    <n v="0"/>
    <n v="0"/>
    <n v="8.8800000000000008"/>
    <n v="18.369900000000001"/>
    <n v="1.75"/>
    <n v="0"/>
    <n v="0"/>
    <n v="0"/>
    <n v="0"/>
    <n v="0"/>
    <n v="0"/>
    <m/>
    <n v="28.999900000000004"/>
  </r>
  <r>
    <s v="BITS"/>
    <x v="0"/>
    <n v="1"/>
    <x v="6"/>
    <x v="1"/>
    <n v="126436"/>
    <s v="Gadus morhua"/>
    <n v="0"/>
    <n v="4.5"/>
    <n v="69.584699999999998"/>
    <n v="23.165299999999998"/>
    <n v="2.75"/>
    <n v="1.875"/>
    <n v="0.625"/>
    <n v="0"/>
    <n v="0"/>
    <n v="0"/>
    <n v="0"/>
    <m/>
    <n v="102.5"/>
  </r>
  <r>
    <s v="BITS"/>
    <x v="0"/>
    <n v="1"/>
    <x v="6"/>
    <x v="4"/>
    <n v="126436"/>
    <s v="Gadus morhua"/>
    <n v="0"/>
    <n v="0"/>
    <n v="439.49439999999998"/>
    <n v="66.005600000000001"/>
    <n v="0"/>
    <n v="0.5"/>
    <n v="0"/>
    <n v="0"/>
    <n v="0"/>
    <n v="0"/>
    <n v="0"/>
    <m/>
    <n v="506"/>
  </r>
  <r>
    <s v="BITS"/>
    <x v="0"/>
    <n v="1"/>
    <x v="6"/>
    <x v="5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0"/>
    <n v="1"/>
    <x v="7"/>
    <x v="0"/>
    <n v="126436"/>
    <s v="Gadus morhua"/>
    <n v="0"/>
    <n v="4.3250000000000002"/>
    <n v="34.210900000000002"/>
    <n v="17.436"/>
    <n v="6.8003"/>
    <n v="1.9333"/>
    <n v="0.49440000000000001"/>
    <n v="0"/>
    <n v="0"/>
    <n v="0"/>
    <n v="0"/>
    <m/>
    <n v="65.1999"/>
  </r>
  <r>
    <s v="BITS"/>
    <x v="0"/>
    <n v="1"/>
    <x v="7"/>
    <x v="1"/>
    <n v="126436"/>
    <s v="Gadus morhua"/>
    <n v="0"/>
    <n v="3.8462000000000001"/>
    <n v="27.481300000000001"/>
    <n v="10.951499999999999"/>
    <n v="3.8792"/>
    <n v="1.7649999999999999"/>
    <n v="0.3846"/>
    <n v="0"/>
    <n v="0"/>
    <n v="0"/>
    <n v="0"/>
    <m/>
    <n v="48.307799999999993"/>
  </r>
  <r>
    <s v="BITS"/>
    <x v="0"/>
    <n v="1"/>
    <x v="7"/>
    <x v="4"/>
    <n v="126436"/>
    <s v="Gadus morhua"/>
    <n v="0"/>
    <n v="0"/>
    <n v="2.7355999999999998"/>
    <n v="2.6093999999999999"/>
    <n v="1.3203"/>
    <n v="0.3347"/>
    <n v="0"/>
    <n v="0"/>
    <n v="0"/>
    <n v="0"/>
    <n v="0"/>
    <m/>
    <n v="7"/>
  </r>
  <r>
    <s v="BITS"/>
    <x v="0"/>
    <n v="1"/>
    <x v="7"/>
    <x v="2"/>
    <n v="126436"/>
    <s v="Gadus morhua"/>
    <n v="0"/>
    <n v="0"/>
    <n v="0"/>
    <n v="0.86670000000000003"/>
    <n v="0.7"/>
    <n v="0.26669999999999999"/>
    <n v="0.16669999999999999"/>
    <n v="0"/>
    <n v="0"/>
    <n v="0"/>
    <n v="0"/>
    <m/>
    <n v="2.0000999999999998"/>
  </r>
  <r>
    <s v="BITS"/>
    <x v="1"/>
    <n v="1"/>
    <x v="0"/>
    <x v="0"/>
    <n v="126436"/>
    <s v="Gadus morhua"/>
    <n v="0"/>
    <n v="20.758600000000001"/>
    <n v="19.101400000000002"/>
    <n v="1.86"/>
    <n v="1.24"/>
    <n v="0"/>
    <n v="0"/>
    <n v="0"/>
    <n v="0"/>
    <n v="0"/>
    <n v="0"/>
    <m/>
    <n v="42.96"/>
  </r>
  <r>
    <s v="BITS"/>
    <x v="1"/>
    <n v="1"/>
    <x v="0"/>
    <x v="1"/>
    <n v="126436"/>
    <s v="Gadus morhua"/>
    <n v="0"/>
    <n v="13.346299999999999"/>
    <n v="11.053699999999999"/>
    <n v="12.4"/>
    <n v="0"/>
    <n v="0"/>
    <n v="0"/>
    <n v="0"/>
    <n v="0"/>
    <n v="0"/>
    <n v="0"/>
    <m/>
    <n v="36.799999999999997"/>
  </r>
  <r>
    <s v="BITS"/>
    <x v="1"/>
    <n v="1"/>
    <x v="0"/>
    <x v="2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m/>
    <n v="1233.8828000000001"/>
  </r>
  <r>
    <s v="BITS"/>
    <x v="1"/>
    <n v="1"/>
    <x v="1"/>
    <x v="3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m/>
    <n v="25.510099999999994"/>
  </r>
  <r>
    <s v="BITS"/>
    <x v="1"/>
    <n v="1"/>
    <x v="1"/>
    <x v="2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m/>
    <n v="90.030500000000004"/>
  </r>
  <r>
    <s v="BITS"/>
    <x v="1"/>
    <n v="1"/>
    <x v="2"/>
    <x v="3"/>
    <n v="126436"/>
    <s v="Gadus morhua"/>
    <n v="0"/>
    <n v="38.484000000000002"/>
    <n v="988.39739999999995"/>
    <n v="79.533600000000007"/>
    <n v="0"/>
    <n v="0"/>
    <n v="0"/>
    <n v="0"/>
    <n v="0"/>
    <n v="0"/>
    <n v="0"/>
    <m/>
    <n v="1106.415"/>
  </r>
  <r>
    <s v="BITS"/>
    <x v="1"/>
    <n v="1"/>
    <x v="2"/>
    <x v="2"/>
    <n v="126436"/>
    <s v="Gadus morhua"/>
    <n v="0"/>
    <n v="10.980399999999999"/>
    <n v="411.84269999999998"/>
    <n v="103.9624"/>
    <n v="5.6707000000000001"/>
    <n v="0"/>
    <n v="0"/>
    <n v="0"/>
    <n v="0"/>
    <n v="0"/>
    <n v="0"/>
    <m/>
    <n v="532.45619999999997"/>
  </r>
  <r>
    <s v="BITS"/>
    <x v="1"/>
    <n v="1"/>
    <x v="3"/>
    <x v="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m/>
    <n v="1977.0254"/>
  </r>
  <r>
    <s v="BITS"/>
    <x v="1"/>
    <n v="1"/>
    <x v="3"/>
    <x v="3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m/>
    <n v="154.13550000000001"/>
  </r>
  <r>
    <s v="BITS"/>
    <x v="1"/>
    <n v="1"/>
    <x v="3"/>
    <x v="2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m/>
    <n v="724.50019999999995"/>
  </r>
  <r>
    <s v="BITS"/>
    <x v="1"/>
    <n v="1"/>
    <x v="4"/>
    <x v="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m/>
    <n v="2975.0027000000005"/>
  </r>
  <r>
    <s v="BITS"/>
    <x v="1"/>
    <n v="1"/>
    <x v="4"/>
    <x v="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m/>
    <n v="2283.5723000000003"/>
  </r>
  <r>
    <s v="BITS"/>
    <x v="1"/>
    <n v="1"/>
    <x v="4"/>
    <x v="4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m/>
    <n v="291.25830000000002"/>
  </r>
  <r>
    <s v="BITS"/>
    <x v="1"/>
    <n v="1"/>
    <x v="4"/>
    <x v="2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m/>
    <n v="58.615200000000002"/>
  </r>
  <r>
    <s v="BITS"/>
    <x v="1"/>
    <n v="1"/>
    <x v="5"/>
    <x v="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m/>
    <n v="1191.9429"/>
  </r>
  <r>
    <s v="BITS"/>
    <x v="1"/>
    <n v="1"/>
    <x v="5"/>
    <x v="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m/>
    <n v="217.85999999999999"/>
  </r>
  <r>
    <s v="BITS"/>
    <x v="1"/>
    <n v="1"/>
    <x v="5"/>
    <x v="4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m/>
    <n v="252.57140000000001"/>
  </r>
  <r>
    <s v="BITS"/>
    <x v="1"/>
    <n v="1"/>
    <x v="5"/>
    <x v="5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m/>
    <n v="14"/>
  </r>
  <r>
    <s v="BITS"/>
    <x v="1"/>
    <n v="1"/>
    <x v="5"/>
    <x v="2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m/>
    <n v="201.20000000000002"/>
  </r>
  <r>
    <s v="BITS"/>
    <x v="1"/>
    <n v="1"/>
    <x v="6"/>
    <x v="1"/>
    <n v="126436"/>
    <s v="Gadus morhua"/>
    <n v="0"/>
    <n v="0.5"/>
    <n v="446.39170000000001"/>
    <n v="242.75829999999999"/>
    <n v="9"/>
    <n v="1.6"/>
    <n v="0"/>
    <n v="0"/>
    <n v="0"/>
    <n v="0"/>
    <n v="0"/>
    <m/>
    <n v="700.25"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1"/>
    <n v="1"/>
    <x v="7"/>
    <x v="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m/>
    <n v="41.999900000000004"/>
  </r>
  <r>
    <s v="BITS"/>
    <x v="1"/>
    <n v="1"/>
    <x v="7"/>
    <x v="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m/>
    <n v="187.41659999999996"/>
  </r>
  <r>
    <s v="BITS"/>
    <x v="1"/>
    <n v="1"/>
    <x v="7"/>
    <x v="4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1"/>
    <n v="1"/>
    <x v="7"/>
    <x v="2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2"/>
    <n v="1"/>
    <x v="0"/>
    <x v="0"/>
    <n v="126436"/>
    <s v="Gadus morhua"/>
    <n v="0"/>
    <n v="4.8183999999999996"/>
    <n v="7.6687000000000003"/>
    <n v="10.5406"/>
    <n v="0.68889999999999996"/>
    <n v="0"/>
    <n v="0"/>
    <n v="0"/>
    <n v="0"/>
    <n v="0"/>
    <n v="0"/>
    <m/>
    <n v="23.7166"/>
  </r>
  <r>
    <s v="BITS"/>
    <x v="2"/>
    <n v="1"/>
    <x v="0"/>
    <x v="1"/>
    <n v="126436"/>
    <s v="Gadus morhua"/>
    <n v="0"/>
    <n v="10.594900000000001"/>
    <n v="17.6326"/>
    <n v="30.4575"/>
    <n v="2.0150000000000001"/>
    <n v="0"/>
    <n v="0"/>
    <n v="0"/>
    <n v="0"/>
    <n v="0"/>
    <n v="0"/>
    <m/>
    <n v="60.7"/>
  </r>
  <r>
    <s v="BITS"/>
    <x v="2"/>
    <n v="1"/>
    <x v="0"/>
    <x v="2"/>
    <n v="126436"/>
    <s v="Gadus morhua"/>
    <n v="0"/>
    <n v="49.8386"/>
    <n v="20.6676"/>
    <n v="15.445"/>
    <n v="2.3109000000000002"/>
    <n v="0.28179999999999999"/>
    <n v="0"/>
    <n v="0"/>
    <n v="0"/>
    <n v="0"/>
    <n v="0.38329999999999997"/>
    <m/>
    <n v="88.927200000000013"/>
  </r>
  <r>
    <s v="BITS"/>
    <x v="2"/>
    <n v="1"/>
    <x v="1"/>
    <x v="3"/>
    <n v="126436"/>
    <s v="Gadus morhua"/>
    <n v="0"/>
    <n v="13.130100000000001"/>
    <n v="51.026800000000001"/>
    <n v="13.8607"/>
    <n v="2.8227000000000002"/>
    <n v="2.0667"/>
    <n v="0.22140000000000001"/>
    <n v="0"/>
    <n v="0"/>
    <n v="0"/>
    <n v="0"/>
    <m/>
    <n v="83.128399999999999"/>
  </r>
  <r>
    <s v="BITS"/>
    <x v="2"/>
    <n v="1"/>
    <x v="1"/>
    <x v="2"/>
    <n v="126436"/>
    <s v="Gadus morhua"/>
    <n v="0"/>
    <n v="49.503999999999998"/>
    <n v="107.40170000000001"/>
    <n v="52.506300000000003"/>
    <n v="2.6869000000000001"/>
    <n v="0.86109999999999998"/>
    <n v="0"/>
    <n v="0"/>
    <n v="0"/>
    <n v="0"/>
    <n v="0"/>
    <m/>
    <n v="212.96"/>
  </r>
  <r>
    <s v="BITS"/>
    <x v="2"/>
    <n v="1"/>
    <x v="2"/>
    <x v="3"/>
    <n v="126436"/>
    <s v="Gadus morhua"/>
    <n v="0"/>
    <n v="533.33280000000002"/>
    <n v="1496.3154999999999"/>
    <n v="647.45870000000002"/>
    <n v="23.1235"/>
    <n v="0"/>
    <n v="0"/>
    <n v="0"/>
    <n v="0"/>
    <n v="0"/>
    <n v="0"/>
    <m/>
    <n v="2700.2305000000001"/>
  </r>
  <r>
    <s v="BITS"/>
    <x v="2"/>
    <n v="1"/>
    <x v="2"/>
    <x v="2"/>
    <n v="126436"/>
    <s v="Gadus morhua"/>
    <n v="0"/>
    <n v="59.103000000000002"/>
    <n v="718.74570000000006"/>
    <n v="588.77139999999997"/>
    <n v="6.5635000000000003"/>
    <n v="3.2132000000000001"/>
    <n v="0"/>
    <n v="0"/>
    <n v="0"/>
    <n v="0"/>
    <n v="0"/>
    <m/>
    <n v="1376.3968"/>
  </r>
  <r>
    <s v="BITS"/>
    <x v="2"/>
    <n v="1"/>
    <x v="3"/>
    <x v="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m/>
    <n v="2081.3507"/>
  </r>
  <r>
    <s v="BITS"/>
    <x v="2"/>
    <n v="1"/>
    <x v="3"/>
    <x v="3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m/>
    <n v="114.71799999999999"/>
  </r>
  <r>
    <s v="BITS"/>
    <x v="2"/>
    <n v="1"/>
    <x v="3"/>
    <x v="2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m/>
    <n v="233.81480000000002"/>
  </r>
  <r>
    <s v="BITS"/>
    <x v="2"/>
    <n v="1"/>
    <x v="4"/>
    <x v="0"/>
    <n v="126436"/>
    <s v="Gadus morhua"/>
    <n v="0"/>
    <n v="7.4968000000000004"/>
    <n v="473.18470000000002"/>
    <n v="728.57680000000005"/>
    <n v="181.3218"/>
    <n v="20.287099999999999"/>
    <n v="3.5602999999999998"/>
    <n v="0.2535"/>
    <n v="0"/>
    <n v="3.8100000000000002E-2"/>
    <n v="0"/>
    <m/>
    <n v="1414.7191"/>
  </r>
  <r>
    <s v="BITS"/>
    <x v="2"/>
    <n v="1"/>
    <x v="4"/>
    <x v="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m/>
    <n v="1552.2413000000001"/>
  </r>
  <r>
    <s v="BITS"/>
    <x v="2"/>
    <n v="1"/>
    <x v="4"/>
    <x v="4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m/>
    <n v="2081.1457000000005"/>
  </r>
  <r>
    <s v="BITS"/>
    <x v="2"/>
    <n v="1"/>
    <x v="4"/>
    <x v="2"/>
    <n v="126436"/>
    <s v="Gadus morhua"/>
    <n v="0"/>
    <n v="0.5"/>
    <n v="26.114000000000001"/>
    <n v="417.65550000000002"/>
    <n v="134.82849999999999"/>
    <n v="11.1174"/>
    <n v="1.631"/>
    <n v="0.15359999999999999"/>
    <n v="0"/>
    <n v="0"/>
    <n v="0"/>
    <m/>
    <n v="591.99999999999989"/>
  </r>
  <r>
    <s v="BITS"/>
    <x v="2"/>
    <n v="1"/>
    <x v="5"/>
    <x v="0"/>
    <n v="126436"/>
    <s v="Gadus morhua"/>
    <n v="0"/>
    <n v="6.5845000000000002"/>
    <n v="65.898899999999998"/>
    <n v="230.3947"/>
    <n v="131.2527"/>
    <n v="53.0349"/>
    <n v="9.2098999999999993"/>
    <n v="2.6444000000000001"/>
    <n v="0.372"/>
    <n v="0"/>
    <n v="0"/>
    <m/>
    <n v="499.39200000000005"/>
  </r>
  <r>
    <s v="BITS"/>
    <x v="2"/>
    <n v="1"/>
    <x v="5"/>
    <x v="1"/>
    <n v="126436"/>
    <s v="Gadus morhua"/>
    <n v="0"/>
    <n v="3.6915"/>
    <n v="69.141000000000005"/>
    <n v="154.7116"/>
    <n v="86.247100000000003"/>
    <n v="31.922499999999999"/>
    <n v="5.0561999999999996"/>
    <n v="1.7359"/>
    <n v="0.29409999999999997"/>
    <n v="0"/>
    <n v="0"/>
    <m/>
    <n v="352.79990000000004"/>
  </r>
  <r>
    <s v="BITS"/>
    <x v="2"/>
    <n v="1"/>
    <x v="5"/>
    <x v="4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m/>
    <n v="404.19990000000001"/>
  </r>
  <r>
    <s v="BITS"/>
    <x v="2"/>
    <n v="1"/>
    <x v="5"/>
    <x v="5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m/>
    <n v="283.33330000000001"/>
  </r>
  <r>
    <s v="BITS"/>
    <x v="2"/>
    <n v="1"/>
    <x v="5"/>
    <x v="6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m/>
    <n v="405.99990000000008"/>
  </r>
  <r>
    <s v="BITS"/>
    <x v="2"/>
    <n v="1"/>
    <x v="5"/>
    <x v="2"/>
    <n v="126436"/>
    <s v="Gadus morhua"/>
    <n v="0"/>
    <n v="7.8277999999999999"/>
    <n v="18.6859"/>
    <n v="48.572699999999998"/>
    <n v="28.4635"/>
    <n v="11.041700000000001"/>
    <n v="1.9664999999999999"/>
    <n v="0.65300000000000002"/>
    <n v="0"/>
    <n v="0"/>
    <n v="0"/>
    <m/>
    <n v="117.2111"/>
  </r>
  <r>
    <s v="BITS"/>
    <x v="2"/>
    <n v="1"/>
    <x v="6"/>
    <x v="1"/>
    <n v="126436"/>
    <s v="Gadus morhua"/>
    <n v="0"/>
    <n v="0"/>
    <n v="0.8"/>
    <n v="0.2"/>
    <n v="0"/>
    <n v="0.5"/>
    <n v="0"/>
    <n v="0"/>
    <n v="0"/>
    <n v="0"/>
    <n v="0"/>
    <m/>
    <n v="1.5"/>
  </r>
  <r>
    <s v="BITS"/>
    <x v="2"/>
    <n v="1"/>
    <x v="6"/>
    <x v="4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2"/>
    <n v="1"/>
    <x v="6"/>
    <x v="5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2"/>
    <n v="1"/>
    <x v="7"/>
    <x v="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m/>
    <n v="54.857000000000006"/>
  </r>
  <r>
    <s v="BITS"/>
    <x v="2"/>
    <n v="1"/>
    <x v="7"/>
    <x v="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m/>
    <n v="68.545299999999997"/>
  </r>
  <r>
    <s v="BITS"/>
    <x v="2"/>
    <n v="1"/>
    <x v="7"/>
    <x v="4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m/>
    <n v="4.2499999999999991"/>
  </r>
  <r>
    <s v="BITS"/>
    <x v="2"/>
    <n v="1"/>
    <x v="7"/>
    <x v="2"/>
    <n v="126436"/>
    <s v="Gadus morhua"/>
    <n v="0"/>
    <n v="0"/>
    <n v="0.1111"/>
    <n v="1.8889"/>
    <n v="2"/>
    <n v="1"/>
    <n v="0.33329999999999999"/>
    <n v="0"/>
    <n v="0"/>
    <n v="0"/>
    <n v="0"/>
    <m/>
    <n v="5.3333000000000004"/>
  </r>
  <r>
    <s v="BITS"/>
    <x v="3"/>
    <n v="1"/>
    <x v="0"/>
    <x v="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m/>
    <n v="1.8699999999999999"/>
  </r>
  <r>
    <s v="BITS"/>
    <x v="3"/>
    <n v="1"/>
    <x v="0"/>
    <x v="1"/>
    <n v="126436"/>
    <s v="Gadus morhua"/>
    <n v="0"/>
    <n v="0"/>
    <n v="4.18"/>
    <n v="0"/>
    <n v="0"/>
    <n v="0"/>
    <n v="0"/>
    <n v="0"/>
    <n v="0"/>
    <n v="0"/>
    <n v="0"/>
    <m/>
    <n v="4.18"/>
  </r>
  <r>
    <s v="BITS"/>
    <x v="3"/>
    <n v="1"/>
    <x v="0"/>
    <x v="2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m/>
    <n v="15.144599999999999"/>
  </r>
  <r>
    <s v="BITS"/>
    <x v="3"/>
    <n v="1"/>
    <x v="1"/>
    <x v="3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m/>
    <n v="3.5872000000000002"/>
  </r>
  <r>
    <s v="BITS"/>
    <x v="3"/>
    <n v="1"/>
    <x v="1"/>
    <x v="2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m/>
    <n v="31.362500000000004"/>
  </r>
  <r>
    <s v="BITS"/>
    <x v="3"/>
    <n v="1"/>
    <x v="2"/>
    <x v="3"/>
    <n v="126436"/>
    <s v="Gadus morhua"/>
    <n v="0"/>
    <n v="0"/>
    <n v="107.9218"/>
    <n v="89.459800000000001"/>
    <n v="45.296799999999998"/>
    <n v="3.9308000000000001"/>
    <n v="0"/>
    <n v="0"/>
    <n v="0"/>
    <n v="0"/>
    <n v="0"/>
    <m/>
    <n v="246.60919999999999"/>
  </r>
  <r>
    <s v="BITS"/>
    <x v="3"/>
    <n v="1"/>
    <x v="2"/>
    <x v="2"/>
    <n v="126436"/>
    <s v="Gadus morhua"/>
    <n v="0"/>
    <n v="0"/>
    <n v="1.5732999999999999"/>
    <n v="1.4"/>
    <n v="5.9226999999999999"/>
    <n v="3.3239999999999998"/>
    <n v="0"/>
    <n v="0"/>
    <n v="0"/>
    <n v="0"/>
    <n v="0"/>
    <m/>
    <n v="12.22"/>
  </r>
  <r>
    <s v="BITS"/>
    <x v="3"/>
    <n v="1"/>
    <x v="3"/>
    <x v="0"/>
    <n v="126436"/>
    <s v="Gadus morhua"/>
    <n v="0"/>
    <n v="4.1344000000000003"/>
    <n v="0"/>
    <n v="742.44100000000003"/>
    <n v="469.57499999999999"/>
    <n v="0"/>
    <n v="0"/>
    <n v="0"/>
    <n v="0"/>
    <n v="0"/>
    <n v="0"/>
    <m/>
    <n v="1216.1504"/>
  </r>
  <r>
    <s v="BITS"/>
    <x v="3"/>
    <n v="1"/>
    <x v="3"/>
    <x v="3"/>
    <n v="126436"/>
    <s v="Gadus morhua"/>
    <n v="0"/>
    <n v="0"/>
    <n v="0"/>
    <n v="18.312000000000001"/>
    <n v="26.16"/>
    <n v="0"/>
    <n v="0"/>
    <n v="0"/>
    <n v="0"/>
    <n v="0"/>
    <n v="0"/>
    <m/>
    <n v="44.472000000000001"/>
  </r>
  <r>
    <s v="BITS"/>
    <x v="3"/>
    <n v="1"/>
    <x v="3"/>
    <x v="2"/>
    <n v="126436"/>
    <s v="Gadus morhua"/>
    <n v="0"/>
    <n v="0.73329999999999995"/>
    <n v="0"/>
    <n v="211.8587"/>
    <n v="116.2617"/>
    <n v="0"/>
    <n v="0"/>
    <n v="0"/>
    <n v="0"/>
    <n v="0"/>
    <n v="0"/>
    <m/>
    <n v="328.8537"/>
  </r>
  <r>
    <s v="BITS"/>
    <x v="3"/>
    <n v="1"/>
    <x v="4"/>
    <x v="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m/>
    <n v="2293.0344"/>
  </r>
  <r>
    <s v="BITS"/>
    <x v="3"/>
    <n v="1"/>
    <x v="4"/>
    <x v="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m/>
    <n v="1586.5517000000004"/>
  </r>
  <r>
    <s v="BITS"/>
    <x v="3"/>
    <n v="1"/>
    <x v="4"/>
    <x v="4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m/>
    <n v="1075.0058999999999"/>
  </r>
  <r>
    <s v="BITS"/>
    <x v="3"/>
    <n v="1"/>
    <x v="4"/>
    <x v="2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m/>
    <n v="341.83340000000004"/>
  </r>
  <r>
    <s v="BITS"/>
    <x v="3"/>
    <n v="1"/>
    <x v="5"/>
    <x v="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m/>
    <n v="297.45999999999998"/>
  </r>
  <r>
    <s v="BITS"/>
    <x v="3"/>
    <n v="1"/>
    <x v="5"/>
    <x v="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m/>
    <n v="759.89749999999981"/>
  </r>
  <r>
    <s v="BITS"/>
    <x v="3"/>
    <n v="1"/>
    <x v="5"/>
    <x v="4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m/>
    <n v="1070.9411"/>
  </r>
  <r>
    <s v="BITS"/>
    <x v="3"/>
    <n v="1"/>
    <x v="5"/>
    <x v="5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m/>
    <n v="337.24999999999994"/>
  </r>
  <r>
    <s v="BITS"/>
    <x v="3"/>
    <n v="1"/>
    <x v="5"/>
    <x v="6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m/>
    <n v="1603.9998999999996"/>
  </r>
  <r>
    <s v="BITS"/>
    <x v="3"/>
    <n v="1"/>
    <x v="5"/>
    <x v="2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m/>
    <n v="147.13320000000002"/>
  </r>
  <r>
    <s v="BITS"/>
    <x v="3"/>
    <n v="1"/>
    <x v="6"/>
    <x v="1"/>
    <n v="126436"/>
    <s v="Gadus morhua"/>
    <n v="0"/>
    <n v="0"/>
    <n v="18.083300000000001"/>
    <n v="15.333299999999999"/>
    <n v="5.5833000000000004"/>
    <n v="1"/>
    <n v="0"/>
    <n v="0"/>
    <n v="0"/>
    <n v="0"/>
    <n v="0"/>
    <m/>
    <n v="39.999900000000004"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3"/>
    <n v="1"/>
    <x v="6"/>
    <x v="5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3"/>
    <n v="1"/>
    <x v="7"/>
    <x v="0"/>
    <n v="126436"/>
    <s v="Gadus morhua"/>
    <n v="0"/>
    <n v="1"/>
    <n v="4.1666999999999996"/>
    <n v="3"/>
    <n v="0.83330000000000004"/>
    <n v="0"/>
    <n v="0"/>
    <n v="0"/>
    <n v="0"/>
    <n v="0"/>
    <n v="0"/>
    <m/>
    <n v="8.9999999999999982"/>
  </r>
  <r>
    <s v="BITS"/>
    <x v="3"/>
    <n v="1"/>
    <x v="7"/>
    <x v="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m/>
    <n v="32.8887"/>
  </r>
  <r>
    <s v="BITS"/>
    <x v="3"/>
    <n v="1"/>
    <x v="7"/>
    <x v="4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m/>
    <n v="3.4285000000000001"/>
  </r>
  <r>
    <s v="BITS"/>
    <x v="3"/>
    <n v="1"/>
    <x v="7"/>
    <x v="2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m/>
    <n v="3"/>
  </r>
  <r>
    <s v="BITS"/>
    <x v="4"/>
    <n v="1"/>
    <x v="0"/>
    <x v="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m/>
    <n v="14.666599999999999"/>
  </r>
  <r>
    <s v="BITS"/>
    <x v="4"/>
    <n v="1"/>
    <x v="0"/>
    <x v="1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4"/>
    <n v="1"/>
    <x v="0"/>
    <x v="4"/>
    <n v="126436"/>
    <s v="Gadus morhua"/>
    <n v="0"/>
    <n v="174.059"/>
    <n v="4.681"/>
    <n v="0"/>
    <n v="0.88"/>
    <n v="0"/>
    <n v="0"/>
    <n v="0"/>
    <n v="0"/>
    <n v="0"/>
    <n v="0"/>
    <m/>
    <n v="179.62"/>
  </r>
  <r>
    <s v="BITS"/>
    <x v="4"/>
    <n v="1"/>
    <x v="0"/>
    <x v="2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m/>
    <n v="69.235199999999992"/>
  </r>
  <r>
    <s v="BITS"/>
    <x v="4"/>
    <n v="1"/>
    <x v="1"/>
    <x v="3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m/>
    <n v="78.395200000000003"/>
  </r>
  <r>
    <s v="BITS"/>
    <x v="4"/>
    <n v="1"/>
    <x v="1"/>
    <x v="2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m/>
    <n v="179.21919999999997"/>
  </r>
  <r>
    <s v="BITS"/>
    <x v="4"/>
    <n v="1"/>
    <x v="2"/>
    <x v="3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m/>
    <n v="578.49599999999998"/>
  </r>
  <r>
    <s v="BITS"/>
    <x v="4"/>
    <n v="1"/>
    <x v="2"/>
    <x v="2"/>
    <n v="126436"/>
    <s v="Gadus morhua"/>
    <n v="0"/>
    <n v="35.948900000000002"/>
    <n v="29.102799999999998"/>
    <n v="108.0309"/>
    <n v="10.6774"/>
    <n v="1.94"/>
    <n v="0.22"/>
    <n v="0"/>
    <n v="0"/>
    <n v="0"/>
    <n v="0"/>
    <m/>
    <n v="185.92000000000002"/>
  </r>
  <r>
    <s v="BITS"/>
    <x v="4"/>
    <n v="1"/>
    <x v="3"/>
    <x v="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m/>
    <n v="1203.0292000000002"/>
  </r>
  <r>
    <s v="BITS"/>
    <x v="4"/>
    <n v="1"/>
    <x v="3"/>
    <x v="3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m/>
    <n v="139.99989999999997"/>
  </r>
  <r>
    <s v="BITS"/>
    <x v="4"/>
    <n v="1"/>
    <x v="3"/>
    <x v="2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m/>
    <n v="468.11470000000003"/>
  </r>
  <r>
    <s v="BITS"/>
    <x v="4"/>
    <n v="1"/>
    <x v="4"/>
    <x v="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m/>
    <n v="725.78369999999995"/>
  </r>
  <r>
    <s v="BITS"/>
    <x v="4"/>
    <n v="1"/>
    <x v="4"/>
    <x v="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m/>
    <n v="915.62630000000001"/>
  </r>
  <r>
    <s v="BITS"/>
    <x v="4"/>
    <n v="1"/>
    <x v="4"/>
    <x v="4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m/>
    <n v="646.87340000000006"/>
  </r>
  <r>
    <s v="BITS"/>
    <x v="4"/>
    <n v="1"/>
    <x v="4"/>
    <x v="2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m/>
    <n v="175.64289999999997"/>
  </r>
  <r>
    <s v="BITS"/>
    <x v="4"/>
    <n v="1"/>
    <x v="5"/>
    <x v="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m/>
    <n v="77.349900000000019"/>
  </r>
  <r>
    <s v="BITS"/>
    <x v="4"/>
    <n v="1"/>
    <x v="5"/>
    <x v="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m/>
    <n v="392.85979999999995"/>
  </r>
  <r>
    <s v="BITS"/>
    <x v="4"/>
    <n v="1"/>
    <x v="5"/>
    <x v="4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m/>
    <n v="452.58879999999999"/>
  </r>
  <r>
    <s v="BITS"/>
    <x v="4"/>
    <n v="1"/>
    <x v="5"/>
    <x v="5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m/>
    <n v="561.25009999999997"/>
  </r>
  <r>
    <s v="BITS"/>
    <x v="4"/>
    <n v="1"/>
    <x v="5"/>
    <x v="2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m/>
    <n v="46.999899999999997"/>
  </r>
  <r>
    <s v="BITS"/>
    <x v="4"/>
    <n v="1"/>
    <x v="6"/>
    <x v="0"/>
    <n v="126436"/>
    <s v="Gadus morhua"/>
    <n v="0"/>
    <n v="0"/>
    <n v="0"/>
    <n v="1"/>
    <n v="0"/>
    <n v="0"/>
    <n v="0"/>
    <n v="0"/>
    <n v="0"/>
    <n v="0"/>
    <n v="0"/>
    <m/>
    <n v="1"/>
  </r>
  <r>
    <s v="BITS"/>
    <x v="4"/>
    <n v="1"/>
    <x v="6"/>
    <x v="1"/>
    <n v="126436"/>
    <s v="Gadus morhua"/>
    <n v="0"/>
    <n v="0"/>
    <n v="0.16669999999999999"/>
    <n v="6.1238000000000001"/>
    <n v="2.2094999999999998"/>
    <n v="0.5"/>
    <n v="0"/>
    <n v="0"/>
    <n v="0"/>
    <n v="0"/>
    <n v="0"/>
    <m/>
    <n v="9"/>
  </r>
  <r>
    <s v="BITS"/>
    <x v="4"/>
    <n v="1"/>
    <x v="6"/>
    <x v="4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4"/>
    <n v="1"/>
    <x v="6"/>
    <x v="5"/>
    <n v="126436"/>
    <s v="Gadus morhua"/>
    <n v="0"/>
    <n v="0"/>
    <n v="0"/>
    <n v="0"/>
    <n v="0"/>
    <n v="0"/>
    <n v="0"/>
    <n v="0"/>
    <n v="0"/>
    <n v="0"/>
    <n v="0"/>
    <m/>
    <n v="0"/>
  </r>
  <r>
    <s v="BITS"/>
    <x v="4"/>
    <n v="1"/>
    <x v="7"/>
    <x v="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m/>
    <n v="16.200099999999999"/>
  </r>
  <r>
    <s v="BITS"/>
    <x v="4"/>
    <n v="1"/>
    <x v="7"/>
    <x v="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m/>
    <n v="15.1999"/>
  </r>
  <r>
    <s v="BITS"/>
    <x v="4"/>
    <n v="1"/>
    <x v="7"/>
    <x v="4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m/>
    <n v="649.59990000000005"/>
  </r>
  <r>
    <s v="BITS"/>
    <x v="4"/>
    <n v="1"/>
    <x v="7"/>
    <x v="5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m/>
    <n v="128"/>
  </r>
  <r>
    <s v="BITS"/>
    <x v="4"/>
    <n v="1"/>
    <x v="7"/>
    <x v="2"/>
    <n v="126436"/>
    <s v="Gadus morhua"/>
    <n v="0"/>
    <n v="0"/>
    <n v="0"/>
    <n v="0"/>
    <n v="0"/>
    <n v="0"/>
    <n v="0"/>
    <n v="0"/>
    <n v="0"/>
    <n v="0"/>
    <n v="0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6">
  <r>
    <s v="BITS"/>
    <x v="0"/>
    <n v="1"/>
    <x v="0"/>
    <x v="0"/>
    <n v="126436"/>
    <s v="Gadus morhua"/>
    <n v="0"/>
    <n v="63.674799999999998"/>
    <n v="14.0586"/>
    <n v="1.7566999999999999"/>
    <n v="0.93"/>
    <n v="0"/>
    <n v="0"/>
    <n v="0"/>
    <n v="0"/>
    <n v="0"/>
    <n v="0"/>
    <m/>
  </r>
  <r>
    <s v="BITS"/>
    <x v="0"/>
    <n v="1"/>
    <x v="0"/>
    <x v="1"/>
    <n v="126436"/>
    <s v="Gadus morhua"/>
    <n v="0"/>
    <n v="47.7348"/>
    <n v="61.185600000000001"/>
    <n v="5.9130000000000003"/>
    <n v="0"/>
    <n v="0"/>
    <n v="0"/>
    <n v="0"/>
    <n v="0"/>
    <n v="0"/>
    <n v="0"/>
    <m/>
  </r>
  <r>
    <s v="BITS"/>
    <x v="0"/>
    <n v="1"/>
    <x v="0"/>
    <x v="2"/>
    <n v="126436"/>
    <s v="Gadus morhua"/>
    <n v="0"/>
    <n v="272.7817"/>
    <n v="62.453600000000002"/>
    <n v="13.312799999999999"/>
    <n v="0"/>
    <n v="0.56359999999999999"/>
    <n v="0"/>
    <n v="0"/>
    <n v="0"/>
    <n v="0"/>
    <n v="0"/>
    <m/>
  </r>
  <r>
    <s v="BITS"/>
    <x v="0"/>
    <n v="1"/>
    <x v="1"/>
    <x v="3"/>
    <n v="126436"/>
    <s v="Gadus morhua"/>
    <n v="0"/>
    <n v="104.1443"/>
    <n v="27.831900000000001"/>
    <n v="13.8634"/>
    <n v="1.3084"/>
    <n v="1.0082"/>
    <n v="0"/>
    <n v="0"/>
    <n v="0"/>
    <n v="0"/>
    <n v="0"/>
    <m/>
  </r>
  <r>
    <s v="BITS"/>
    <x v="0"/>
    <n v="1"/>
    <x v="1"/>
    <x v="2"/>
    <n v="126436"/>
    <s v="Gadus morhua"/>
    <n v="0"/>
    <n v="178.71340000000001"/>
    <n v="28.4956"/>
    <n v="34.088700000000003"/>
    <n v="3.7921999999999998"/>
    <n v="3.1831999999999998"/>
    <n v="0.77500000000000002"/>
    <n v="0"/>
    <n v="0"/>
    <n v="0"/>
    <n v="0"/>
    <m/>
  </r>
  <r>
    <s v="BITS"/>
    <x v="0"/>
    <n v="1"/>
    <x v="2"/>
    <x v="3"/>
    <n v="126436"/>
    <s v="Gadus morhua"/>
    <n v="0"/>
    <n v="135.30000000000001"/>
    <n v="462.86500000000001"/>
    <n v="768.07669999999996"/>
    <n v="108.75830000000001"/>
    <n v="53.475000000000001"/>
    <n v="0"/>
    <n v="0"/>
    <n v="0"/>
    <n v="0"/>
    <n v="0"/>
    <m/>
  </r>
  <r>
    <s v="BITS"/>
    <x v="0"/>
    <n v="1"/>
    <x v="2"/>
    <x v="2"/>
    <n v="126436"/>
    <s v="Gadus morhua"/>
    <n v="0"/>
    <n v="134.19999999999999"/>
    <n v="77.846699999999998"/>
    <n v="26.453299999999999"/>
    <n v="0"/>
    <n v="3.1"/>
    <n v="0"/>
    <n v="0"/>
    <n v="0"/>
    <n v="0"/>
    <n v="0"/>
    <m/>
  </r>
  <r>
    <s v="BITS"/>
    <x v="0"/>
    <n v="1"/>
    <x v="3"/>
    <x v="0"/>
    <n v="126436"/>
    <s v="Gadus morhua"/>
    <n v="0"/>
    <n v="729.63699999999994"/>
    <n v="361.5949"/>
    <n v="68.501099999999994"/>
    <n v="39.414499999999997"/>
    <n v="4.0400999999999998"/>
    <n v="0.46250000000000002"/>
    <n v="0"/>
    <n v="0.29520000000000002"/>
    <n v="0"/>
    <n v="0"/>
    <m/>
  </r>
  <r>
    <s v="BITS"/>
    <x v="0"/>
    <n v="1"/>
    <x v="3"/>
    <x v="3"/>
    <n v="126436"/>
    <s v="Gadus morhua"/>
    <n v="0"/>
    <n v="20.453800000000001"/>
    <n v="13.245900000000001"/>
    <n v="7.0267999999999997"/>
    <n v="3.7299000000000002"/>
    <n v="0.39389999999999997"/>
    <n v="2.3E-2"/>
    <n v="0"/>
    <n v="0"/>
    <n v="0"/>
    <n v="0"/>
    <m/>
  </r>
  <r>
    <s v="BITS"/>
    <x v="0"/>
    <n v="1"/>
    <x v="3"/>
    <x v="2"/>
    <n v="126436"/>
    <s v="Gadus morhua"/>
    <n v="0"/>
    <n v="91.211799999999997"/>
    <n v="25.1845"/>
    <n v="10.0014"/>
    <n v="5.8097000000000003"/>
    <n v="0.66100000000000003"/>
    <n v="6.2199999999999998E-2"/>
    <n v="0"/>
    <n v="0"/>
    <n v="0"/>
    <n v="0"/>
    <m/>
  </r>
  <r>
    <s v="BITS"/>
    <x v="0"/>
    <n v="1"/>
    <x v="4"/>
    <x v="0"/>
    <n v="126436"/>
    <s v="Gadus morhua"/>
    <n v="0"/>
    <n v="50.839100000000002"/>
    <n v="2206.7676999999999"/>
    <n v="1194.1274000000001"/>
    <n v="347.96420000000001"/>
    <n v="73.318899999999999"/>
    <n v="33.474800000000002"/>
    <n v="5.0063000000000004"/>
    <n v="0.42049999999999998"/>
    <n v="2.6700000000000002E-2"/>
    <n v="0"/>
    <m/>
  </r>
  <r>
    <s v="BITS"/>
    <x v="0"/>
    <n v="1"/>
    <x v="4"/>
    <x v="1"/>
    <n v="126436"/>
    <s v="Gadus morhua"/>
    <n v="0"/>
    <n v="15.3269"/>
    <n v="662.79819999999995"/>
    <n v="562.33429999999998"/>
    <n v="229.49629999999999"/>
    <n v="67.850800000000007"/>
    <n v="29.787800000000001"/>
    <n v="5.63"/>
    <n v="1.0615000000000001"/>
    <n v="0.11310000000000001"/>
    <n v="0.2334"/>
    <m/>
  </r>
  <r>
    <s v="BITS"/>
    <x v="0"/>
    <n v="1"/>
    <x v="4"/>
    <x v="4"/>
    <n v="126436"/>
    <s v="Gadus morhua"/>
    <n v="0"/>
    <n v="6.1905999999999999"/>
    <n v="105.5902"/>
    <n v="204.44120000000001"/>
    <n v="119.8943"/>
    <n v="46.803199999999997"/>
    <n v="21.086400000000001"/>
    <n v="4.0568"/>
    <n v="0.57799999999999996"/>
    <n v="1.52E-2"/>
    <n v="0"/>
    <m/>
  </r>
  <r>
    <s v="BITS"/>
    <x v="0"/>
    <n v="1"/>
    <x v="4"/>
    <x v="2"/>
    <n v="126436"/>
    <s v="Gadus morhua"/>
    <n v="0"/>
    <n v="3.0468000000000002"/>
    <n v="184.9486"/>
    <n v="167.5027"/>
    <n v="68.796599999999998"/>
    <n v="12.8512"/>
    <n v="6.2415000000000003"/>
    <n v="0.7873"/>
    <n v="1.3599999999999999E-2"/>
    <n v="2.5999999999999999E-2"/>
    <n v="0"/>
    <m/>
  </r>
  <r>
    <s v="BITS"/>
    <x v="0"/>
    <n v="1"/>
    <x v="5"/>
    <x v="0"/>
    <n v="126436"/>
    <s v="Gadus morhua"/>
    <n v="0"/>
    <n v="7.8827999999999996"/>
    <n v="386.9348"/>
    <n v="483.7672"/>
    <n v="145.05539999999999"/>
    <n v="48.6066"/>
    <n v="13.5938"/>
    <n v="1.196"/>
    <n v="1.4612000000000001"/>
    <n v="5.21E-2"/>
    <n v="9.3299999999999994E-2"/>
    <m/>
  </r>
  <r>
    <s v="BITS"/>
    <x v="0"/>
    <n v="1"/>
    <x v="5"/>
    <x v="1"/>
    <n v="126436"/>
    <s v="Gadus morhua"/>
    <n v="0"/>
    <n v="83.440200000000004"/>
    <n v="882.18889999999999"/>
    <n v="489.42669999999998"/>
    <n v="140.50040000000001"/>
    <n v="50.922699999999999"/>
    <n v="15.749599999999999"/>
    <n v="2.8902000000000001"/>
    <n v="1.7497"/>
    <n v="0.1716"/>
    <n v="0.1986"/>
    <m/>
  </r>
  <r>
    <s v="BITS"/>
    <x v="0"/>
    <n v="1"/>
    <x v="5"/>
    <x v="4"/>
    <n v="126436"/>
    <s v="Gadus morhua"/>
    <n v="0"/>
    <n v="4.8312999999999997"/>
    <n v="151.93209999999999"/>
    <n v="275.73700000000002"/>
    <n v="104.1947"/>
    <n v="47.7898"/>
    <n v="18.6281"/>
    <n v="5.5807000000000002"/>
    <n v="2.3037000000000001"/>
    <n v="0.21129999999999999"/>
    <n v="0.42280000000000001"/>
    <m/>
  </r>
  <r>
    <s v="BITS"/>
    <x v="0"/>
    <n v="1"/>
    <x v="5"/>
    <x v="5"/>
    <n v="126436"/>
    <s v="Gadus morhua"/>
    <n v="0"/>
    <n v="0.12989999999999999"/>
    <n v="14.8453"/>
    <n v="25.777100000000001"/>
    <n v="14.628299999999999"/>
    <n v="8.4591999999999992"/>
    <n v="4.0587999999999997"/>
    <n v="1.3781000000000001"/>
    <n v="0.41670000000000001"/>
    <n v="7.3099999999999998E-2"/>
    <n v="0.4"/>
    <m/>
  </r>
  <r>
    <s v="BITS"/>
    <x v="0"/>
    <n v="1"/>
    <x v="5"/>
    <x v="2"/>
    <n v="126436"/>
    <s v="Gadus morhua"/>
    <n v="0"/>
    <n v="1.0238"/>
    <n v="28.3185"/>
    <n v="70.0929"/>
    <n v="22.989100000000001"/>
    <n v="9.9558999999999997"/>
    <n v="2.4769000000000001"/>
    <n v="0.1142"/>
    <n v="0.2787"/>
    <n v="0"/>
    <n v="0"/>
    <m/>
  </r>
  <r>
    <s v="BITS"/>
    <x v="0"/>
    <n v="1"/>
    <x v="6"/>
    <x v="0"/>
    <n v="126436"/>
    <s v="Gadus morhua"/>
    <n v="0"/>
    <n v="0"/>
    <n v="8.8800000000000008"/>
    <n v="18.369900000000001"/>
    <n v="1.75"/>
    <n v="0"/>
    <n v="0"/>
    <n v="0"/>
    <n v="0"/>
    <n v="0"/>
    <n v="0"/>
    <m/>
  </r>
  <r>
    <s v="BITS"/>
    <x v="0"/>
    <n v="1"/>
    <x v="6"/>
    <x v="1"/>
    <n v="126436"/>
    <s v="Gadus morhua"/>
    <n v="0"/>
    <n v="4.5"/>
    <n v="69.584699999999998"/>
    <n v="23.165299999999998"/>
    <n v="2.75"/>
    <n v="1.875"/>
    <n v="0.625"/>
    <n v="0"/>
    <n v="0"/>
    <n v="0"/>
    <n v="0"/>
    <m/>
  </r>
  <r>
    <s v="BITS"/>
    <x v="0"/>
    <n v="1"/>
    <x v="6"/>
    <x v="4"/>
    <n v="126436"/>
    <s v="Gadus morhua"/>
    <n v="0"/>
    <n v="0"/>
    <n v="439.49439999999998"/>
    <n v="66.005600000000001"/>
    <n v="0"/>
    <n v="0.5"/>
    <n v="0"/>
    <n v="0"/>
    <n v="0"/>
    <n v="0"/>
    <n v="0"/>
    <m/>
  </r>
  <r>
    <s v="BITS"/>
    <x v="0"/>
    <n v="1"/>
    <x v="6"/>
    <x v="5"/>
    <n v="126436"/>
    <s v="Gadus morhua"/>
    <n v="0"/>
    <n v="0"/>
    <n v="0"/>
    <n v="0"/>
    <n v="0"/>
    <n v="0"/>
    <n v="0"/>
    <n v="0"/>
    <n v="0"/>
    <n v="0"/>
    <n v="0"/>
    <m/>
  </r>
  <r>
    <s v="BITS"/>
    <x v="0"/>
    <n v="1"/>
    <x v="7"/>
    <x v="0"/>
    <n v="126436"/>
    <s v="Gadus morhua"/>
    <n v="0"/>
    <n v="4.3250000000000002"/>
    <n v="34.210900000000002"/>
    <n v="17.436"/>
    <n v="6.8003"/>
    <n v="1.9333"/>
    <n v="0.49440000000000001"/>
    <n v="0"/>
    <n v="0"/>
    <n v="0"/>
    <n v="0"/>
    <m/>
  </r>
  <r>
    <s v="BITS"/>
    <x v="0"/>
    <n v="1"/>
    <x v="7"/>
    <x v="1"/>
    <n v="126436"/>
    <s v="Gadus morhua"/>
    <n v="0"/>
    <n v="3.8462000000000001"/>
    <n v="27.481300000000001"/>
    <n v="10.951499999999999"/>
    <n v="3.8792"/>
    <n v="1.7649999999999999"/>
    <n v="0.3846"/>
    <n v="0"/>
    <n v="0"/>
    <n v="0"/>
    <n v="0"/>
    <m/>
  </r>
  <r>
    <s v="BITS"/>
    <x v="0"/>
    <n v="1"/>
    <x v="7"/>
    <x v="4"/>
    <n v="126436"/>
    <s v="Gadus morhua"/>
    <n v="0"/>
    <n v="0"/>
    <n v="2.7355999999999998"/>
    <n v="2.6093999999999999"/>
    <n v="1.3203"/>
    <n v="0.3347"/>
    <n v="0"/>
    <n v="0"/>
    <n v="0"/>
    <n v="0"/>
    <n v="0"/>
    <m/>
  </r>
  <r>
    <s v="BITS"/>
    <x v="0"/>
    <n v="1"/>
    <x v="7"/>
    <x v="2"/>
    <n v="126436"/>
    <s v="Gadus morhua"/>
    <n v="0"/>
    <n v="0"/>
    <n v="0"/>
    <n v="0.86670000000000003"/>
    <n v="0.7"/>
    <n v="0.26669999999999999"/>
    <n v="0.16669999999999999"/>
    <n v="0"/>
    <n v="0"/>
    <n v="0"/>
    <n v="0"/>
    <m/>
  </r>
  <r>
    <s v="BITS"/>
    <x v="1"/>
    <n v="1"/>
    <x v="0"/>
    <x v="0"/>
    <n v="126436"/>
    <s v="Gadus morhua"/>
    <n v="0"/>
    <n v="20.758600000000001"/>
    <n v="19.101400000000002"/>
    <n v="1.86"/>
    <n v="1.24"/>
    <n v="0"/>
    <n v="0"/>
    <n v="0"/>
    <n v="0"/>
    <n v="0"/>
    <n v="0"/>
    <m/>
  </r>
  <r>
    <s v="BITS"/>
    <x v="1"/>
    <n v="1"/>
    <x v="0"/>
    <x v="1"/>
    <n v="126436"/>
    <s v="Gadus morhua"/>
    <n v="0"/>
    <n v="13.346299999999999"/>
    <n v="11.053699999999999"/>
    <n v="12.4"/>
    <n v="0"/>
    <n v="0"/>
    <n v="0"/>
    <n v="0"/>
    <n v="0"/>
    <n v="0"/>
    <n v="0"/>
    <m/>
  </r>
  <r>
    <s v="BITS"/>
    <x v="1"/>
    <n v="1"/>
    <x v="0"/>
    <x v="2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m/>
  </r>
  <r>
    <s v="BITS"/>
    <x v="1"/>
    <n v="1"/>
    <x v="1"/>
    <x v="3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m/>
  </r>
  <r>
    <s v="BITS"/>
    <x v="1"/>
    <n v="1"/>
    <x v="1"/>
    <x v="2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m/>
  </r>
  <r>
    <s v="BITS"/>
    <x v="1"/>
    <n v="1"/>
    <x v="2"/>
    <x v="3"/>
    <n v="126436"/>
    <s v="Gadus morhua"/>
    <n v="0"/>
    <n v="38.484000000000002"/>
    <n v="988.39739999999995"/>
    <n v="79.533600000000007"/>
    <n v="0"/>
    <n v="0"/>
    <n v="0"/>
    <n v="0"/>
    <n v="0"/>
    <n v="0"/>
    <n v="0"/>
    <m/>
  </r>
  <r>
    <s v="BITS"/>
    <x v="1"/>
    <n v="1"/>
    <x v="2"/>
    <x v="2"/>
    <n v="126436"/>
    <s v="Gadus morhua"/>
    <n v="0"/>
    <n v="10.980399999999999"/>
    <n v="411.84269999999998"/>
    <n v="103.9624"/>
    <n v="5.6707000000000001"/>
    <n v="0"/>
    <n v="0"/>
    <n v="0"/>
    <n v="0"/>
    <n v="0"/>
    <n v="0"/>
    <m/>
  </r>
  <r>
    <s v="BITS"/>
    <x v="1"/>
    <n v="1"/>
    <x v="3"/>
    <x v="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m/>
  </r>
  <r>
    <s v="BITS"/>
    <x v="1"/>
    <n v="1"/>
    <x v="3"/>
    <x v="3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m/>
  </r>
  <r>
    <s v="BITS"/>
    <x v="1"/>
    <n v="1"/>
    <x v="3"/>
    <x v="2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m/>
  </r>
  <r>
    <s v="BITS"/>
    <x v="1"/>
    <n v="1"/>
    <x v="4"/>
    <x v="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m/>
  </r>
  <r>
    <s v="BITS"/>
    <x v="1"/>
    <n v="1"/>
    <x v="4"/>
    <x v="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m/>
  </r>
  <r>
    <s v="BITS"/>
    <x v="1"/>
    <n v="1"/>
    <x v="4"/>
    <x v="4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m/>
  </r>
  <r>
    <s v="BITS"/>
    <x v="1"/>
    <n v="1"/>
    <x v="4"/>
    <x v="2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m/>
  </r>
  <r>
    <s v="BITS"/>
    <x v="1"/>
    <n v="1"/>
    <x v="5"/>
    <x v="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m/>
  </r>
  <r>
    <s v="BITS"/>
    <x v="1"/>
    <n v="1"/>
    <x v="5"/>
    <x v="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m/>
  </r>
  <r>
    <s v="BITS"/>
    <x v="1"/>
    <n v="1"/>
    <x v="5"/>
    <x v="4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m/>
  </r>
  <r>
    <s v="BITS"/>
    <x v="1"/>
    <n v="1"/>
    <x v="5"/>
    <x v="5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m/>
  </r>
  <r>
    <s v="BITS"/>
    <x v="1"/>
    <n v="1"/>
    <x v="5"/>
    <x v="2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m/>
  </r>
  <r>
    <s v="BITS"/>
    <x v="1"/>
    <n v="1"/>
    <x v="6"/>
    <x v="1"/>
    <n v="126436"/>
    <s v="Gadus morhua"/>
    <n v="0"/>
    <n v="0.5"/>
    <n v="446.39170000000001"/>
    <n v="242.75829999999999"/>
    <n v="9"/>
    <n v="1.6"/>
    <n v="0"/>
    <n v="0"/>
    <n v="0"/>
    <n v="0"/>
    <n v="0"/>
    <m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m/>
  </r>
  <r>
    <s v="BITS"/>
    <x v="1"/>
    <n v="1"/>
    <x v="7"/>
    <x v="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m/>
  </r>
  <r>
    <s v="BITS"/>
    <x v="1"/>
    <n v="1"/>
    <x v="7"/>
    <x v="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m/>
  </r>
  <r>
    <s v="BITS"/>
    <x v="1"/>
    <n v="1"/>
    <x v="7"/>
    <x v="4"/>
    <n v="126436"/>
    <s v="Gadus morhua"/>
    <n v="0"/>
    <n v="0"/>
    <n v="0"/>
    <n v="0"/>
    <n v="0"/>
    <n v="0"/>
    <n v="0"/>
    <n v="0"/>
    <n v="0"/>
    <n v="0"/>
    <n v="0"/>
    <m/>
  </r>
  <r>
    <s v="BITS"/>
    <x v="1"/>
    <n v="1"/>
    <x v="7"/>
    <x v="2"/>
    <n v="126436"/>
    <s v="Gadus morhua"/>
    <n v="0"/>
    <n v="0"/>
    <n v="0"/>
    <n v="0"/>
    <n v="0"/>
    <n v="0"/>
    <n v="0"/>
    <n v="0"/>
    <n v="0"/>
    <n v="0"/>
    <n v="0"/>
    <m/>
  </r>
  <r>
    <s v="BITS"/>
    <x v="2"/>
    <n v="1"/>
    <x v="0"/>
    <x v="0"/>
    <n v="126436"/>
    <s v="Gadus morhua"/>
    <n v="0"/>
    <n v="4.8183999999999996"/>
    <n v="7.6687000000000003"/>
    <n v="10.5406"/>
    <n v="0.68889999999999996"/>
    <n v="0"/>
    <n v="0"/>
    <n v="0"/>
    <n v="0"/>
    <n v="0"/>
    <n v="0"/>
    <m/>
  </r>
  <r>
    <s v="BITS"/>
    <x v="2"/>
    <n v="1"/>
    <x v="0"/>
    <x v="1"/>
    <n v="126436"/>
    <s v="Gadus morhua"/>
    <n v="0"/>
    <n v="10.594900000000001"/>
    <n v="17.6326"/>
    <n v="30.4575"/>
    <n v="2.0150000000000001"/>
    <n v="0"/>
    <n v="0"/>
    <n v="0"/>
    <n v="0"/>
    <n v="0"/>
    <n v="0"/>
    <m/>
  </r>
  <r>
    <s v="BITS"/>
    <x v="2"/>
    <n v="1"/>
    <x v="0"/>
    <x v="2"/>
    <n v="126436"/>
    <s v="Gadus morhua"/>
    <n v="0"/>
    <n v="49.8386"/>
    <n v="20.6676"/>
    <n v="15.445"/>
    <n v="2.3109000000000002"/>
    <n v="0.28179999999999999"/>
    <n v="0"/>
    <n v="0"/>
    <n v="0"/>
    <n v="0"/>
    <n v="0.38329999999999997"/>
    <m/>
  </r>
  <r>
    <s v="BITS"/>
    <x v="2"/>
    <n v="1"/>
    <x v="1"/>
    <x v="3"/>
    <n v="126436"/>
    <s v="Gadus morhua"/>
    <n v="0"/>
    <n v="13.130100000000001"/>
    <n v="51.026800000000001"/>
    <n v="13.8607"/>
    <n v="2.8227000000000002"/>
    <n v="2.0667"/>
    <n v="0.22140000000000001"/>
    <n v="0"/>
    <n v="0"/>
    <n v="0"/>
    <n v="0"/>
    <m/>
  </r>
  <r>
    <s v="BITS"/>
    <x v="2"/>
    <n v="1"/>
    <x v="1"/>
    <x v="2"/>
    <n v="126436"/>
    <s v="Gadus morhua"/>
    <n v="0"/>
    <n v="49.503999999999998"/>
    <n v="107.40170000000001"/>
    <n v="52.506300000000003"/>
    <n v="2.6869000000000001"/>
    <n v="0.86109999999999998"/>
    <n v="0"/>
    <n v="0"/>
    <n v="0"/>
    <n v="0"/>
    <n v="0"/>
    <m/>
  </r>
  <r>
    <s v="BITS"/>
    <x v="2"/>
    <n v="1"/>
    <x v="2"/>
    <x v="3"/>
    <n v="126436"/>
    <s v="Gadus morhua"/>
    <n v="0"/>
    <n v="533.33280000000002"/>
    <n v="1496.3154999999999"/>
    <n v="647.45870000000002"/>
    <n v="23.1235"/>
    <n v="0"/>
    <n v="0"/>
    <n v="0"/>
    <n v="0"/>
    <n v="0"/>
    <n v="0"/>
    <m/>
  </r>
  <r>
    <s v="BITS"/>
    <x v="2"/>
    <n v="1"/>
    <x v="2"/>
    <x v="2"/>
    <n v="126436"/>
    <s v="Gadus morhua"/>
    <n v="0"/>
    <n v="59.103000000000002"/>
    <n v="718.74570000000006"/>
    <n v="588.77139999999997"/>
    <n v="6.5635000000000003"/>
    <n v="3.2132000000000001"/>
    <n v="0"/>
    <n v="0"/>
    <n v="0"/>
    <n v="0"/>
    <n v="0"/>
    <m/>
  </r>
  <r>
    <s v="BITS"/>
    <x v="2"/>
    <n v="1"/>
    <x v="3"/>
    <x v="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m/>
  </r>
  <r>
    <s v="BITS"/>
    <x v="2"/>
    <n v="1"/>
    <x v="3"/>
    <x v="3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m/>
  </r>
  <r>
    <s v="BITS"/>
    <x v="2"/>
    <n v="1"/>
    <x v="3"/>
    <x v="2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m/>
  </r>
  <r>
    <s v="BITS"/>
    <x v="2"/>
    <n v="1"/>
    <x v="4"/>
    <x v="0"/>
    <n v="126436"/>
    <s v="Gadus morhua"/>
    <n v="0"/>
    <n v="7.4968000000000004"/>
    <n v="473.18470000000002"/>
    <n v="728.57680000000005"/>
    <n v="181.3218"/>
    <n v="20.287099999999999"/>
    <n v="3.5602999999999998"/>
    <n v="0.2535"/>
    <n v="0"/>
    <n v="3.8100000000000002E-2"/>
    <n v="0"/>
    <m/>
  </r>
  <r>
    <s v="BITS"/>
    <x v="2"/>
    <n v="1"/>
    <x v="4"/>
    <x v="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m/>
  </r>
  <r>
    <s v="BITS"/>
    <x v="2"/>
    <n v="1"/>
    <x v="4"/>
    <x v="4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m/>
  </r>
  <r>
    <s v="BITS"/>
    <x v="2"/>
    <n v="1"/>
    <x v="4"/>
    <x v="2"/>
    <n v="126436"/>
    <s v="Gadus morhua"/>
    <n v="0"/>
    <n v="0.5"/>
    <n v="26.114000000000001"/>
    <n v="417.65550000000002"/>
    <n v="134.82849999999999"/>
    <n v="11.1174"/>
    <n v="1.631"/>
    <n v="0.15359999999999999"/>
    <n v="0"/>
    <n v="0"/>
    <n v="0"/>
    <m/>
  </r>
  <r>
    <s v="BITS"/>
    <x v="2"/>
    <n v="1"/>
    <x v="5"/>
    <x v="0"/>
    <n v="126436"/>
    <s v="Gadus morhua"/>
    <n v="0"/>
    <n v="6.5845000000000002"/>
    <n v="65.898899999999998"/>
    <n v="230.3947"/>
    <n v="131.2527"/>
    <n v="53.0349"/>
    <n v="9.2098999999999993"/>
    <n v="2.6444000000000001"/>
    <n v="0.372"/>
    <n v="0"/>
    <n v="0"/>
    <m/>
  </r>
  <r>
    <s v="BITS"/>
    <x v="2"/>
    <n v="1"/>
    <x v="5"/>
    <x v="1"/>
    <n v="126436"/>
    <s v="Gadus morhua"/>
    <n v="0"/>
    <n v="3.6915"/>
    <n v="69.141000000000005"/>
    <n v="154.7116"/>
    <n v="86.247100000000003"/>
    <n v="31.922499999999999"/>
    <n v="5.0561999999999996"/>
    <n v="1.7359"/>
    <n v="0.29409999999999997"/>
    <n v="0"/>
    <n v="0"/>
    <m/>
  </r>
  <r>
    <s v="BITS"/>
    <x v="2"/>
    <n v="1"/>
    <x v="5"/>
    <x v="4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m/>
  </r>
  <r>
    <s v="BITS"/>
    <x v="2"/>
    <n v="1"/>
    <x v="5"/>
    <x v="5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m/>
  </r>
  <r>
    <s v="BITS"/>
    <x v="2"/>
    <n v="1"/>
    <x v="5"/>
    <x v="6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m/>
  </r>
  <r>
    <s v="BITS"/>
    <x v="2"/>
    <n v="1"/>
    <x v="5"/>
    <x v="2"/>
    <n v="126436"/>
    <s v="Gadus morhua"/>
    <n v="0"/>
    <n v="7.8277999999999999"/>
    <n v="18.6859"/>
    <n v="48.572699999999998"/>
    <n v="28.4635"/>
    <n v="11.041700000000001"/>
    <n v="1.9664999999999999"/>
    <n v="0.65300000000000002"/>
    <n v="0"/>
    <n v="0"/>
    <n v="0"/>
    <m/>
  </r>
  <r>
    <s v="BITS"/>
    <x v="2"/>
    <n v="1"/>
    <x v="6"/>
    <x v="1"/>
    <n v="126436"/>
    <s v="Gadus morhua"/>
    <n v="0"/>
    <n v="0"/>
    <n v="0.8"/>
    <n v="0.2"/>
    <n v="0"/>
    <n v="0.5"/>
    <n v="0"/>
    <n v="0"/>
    <n v="0"/>
    <n v="0"/>
    <n v="0"/>
    <m/>
  </r>
  <r>
    <s v="BITS"/>
    <x v="2"/>
    <n v="1"/>
    <x v="6"/>
    <x v="4"/>
    <n v="126436"/>
    <s v="Gadus morhua"/>
    <n v="0"/>
    <n v="0"/>
    <n v="0"/>
    <n v="0"/>
    <n v="0"/>
    <n v="0"/>
    <n v="0"/>
    <n v="0"/>
    <n v="0"/>
    <n v="0"/>
    <n v="0"/>
    <m/>
  </r>
  <r>
    <s v="BITS"/>
    <x v="2"/>
    <n v="1"/>
    <x v="6"/>
    <x v="5"/>
    <n v="126436"/>
    <s v="Gadus morhua"/>
    <n v="0"/>
    <n v="0"/>
    <n v="0"/>
    <n v="0"/>
    <n v="0"/>
    <n v="0"/>
    <n v="0"/>
    <n v="0"/>
    <n v="0"/>
    <n v="0"/>
    <n v="0"/>
    <m/>
  </r>
  <r>
    <s v="BITS"/>
    <x v="2"/>
    <n v="1"/>
    <x v="7"/>
    <x v="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m/>
  </r>
  <r>
    <s v="BITS"/>
    <x v="2"/>
    <n v="1"/>
    <x v="7"/>
    <x v="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m/>
  </r>
  <r>
    <s v="BITS"/>
    <x v="2"/>
    <n v="1"/>
    <x v="7"/>
    <x v="4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m/>
  </r>
  <r>
    <s v="BITS"/>
    <x v="2"/>
    <n v="1"/>
    <x v="7"/>
    <x v="2"/>
    <n v="126436"/>
    <s v="Gadus morhua"/>
    <n v="0"/>
    <n v="0"/>
    <n v="0.1111"/>
    <n v="1.8889"/>
    <n v="2"/>
    <n v="1"/>
    <n v="0.33329999999999999"/>
    <n v="0"/>
    <n v="0"/>
    <n v="0"/>
    <n v="0"/>
    <m/>
  </r>
  <r>
    <s v="BITS"/>
    <x v="3"/>
    <n v="1"/>
    <x v="0"/>
    <x v="0"/>
    <n v="126436"/>
    <s v="Gadus morhua"/>
    <n v="0"/>
    <n v="5.5E-2"/>
    <n v="0.58069999999999999"/>
    <n v="1.0543"/>
    <n v="7.7100000000000002E-2"/>
    <n v="0.10290000000000001"/>
    <n v="0"/>
    <n v="0"/>
    <n v="0"/>
    <n v="0"/>
    <n v="0"/>
    <m/>
  </r>
  <r>
    <s v="BITS"/>
    <x v="3"/>
    <n v="1"/>
    <x v="0"/>
    <x v="1"/>
    <n v="126436"/>
    <s v="Gadus morhua"/>
    <n v="0"/>
    <n v="0"/>
    <n v="4.18"/>
    <n v="0"/>
    <n v="0"/>
    <n v="0"/>
    <n v="0"/>
    <n v="0"/>
    <n v="0"/>
    <n v="0"/>
    <n v="0"/>
    <m/>
  </r>
  <r>
    <s v="BITS"/>
    <x v="3"/>
    <n v="1"/>
    <x v="0"/>
    <x v="2"/>
    <n v="126436"/>
    <s v="Gadus morhua"/>
    <n v="0"/>
    <n v="1.5024"/>
    <n v="5.9086999999999996"/>
    <n v="1.3263"/>
    <n v="3.9020000000000001"/>
    <n v="2.3565"/>
    <n v="9.7900000000000001E-2"/>
    <n v="5.0799999999999998E-2"/>
    <n v="0"/>
    <n v="0"/>
    <n v="0"/>
    <m/>
  </r>
  <r>
    <s v="BITS"/>
    <x v="3"/>
    <n v="1"/>
    <x v="1"/>
    <x v="3"/>
    <n v="126436"/>
    <s v="Gadus morhua"/>
    <n v="0"/>
    <n v="0.3831"/>
    <n v="1.1472"/>
    <n v="0.22509999999999999"/>
    <n v="1.2217"/>
    <n v="0.40660000000000002"/>
    <n v="0.20349999999999999"/>
    <n v="0"/>
    <n v="0"/>
    <n v="0"/>
    <n v="0"/>
    <m/>
  </r>
  <r>
    <s v="BITS"/>
    <x v="3"/>
    <n v="1"/>
    <x v="1"/>
    <x v="2"/>
    <n v="126436"/>
    <s v="Gadus morhua"/>
    <n v="0"/>
    <n v="0.43219999999999997"/>
    <n v="8.3065999999999995"/>
    <n v="16.882200000000001"/>
    <n v="4.3868999999999998"/>
    <n v="1.0607"/>
    <n v="0.26640000000000003"/>
    <n v="2.75E-2"/>
    <n v="0"/>
    <n v="0"/>
    <n v="0"/>
    <m/>
  </r>
  <r>
    <s v="BITS"/>
    <x v="3"/>
    <n v="1"/>
    <x v="2"/>
    <x v="3"/>
    <n v="126436"/>
    <s v="Gadus morhua"/>
    <n v="0"/>
    <n v="0"/>
    <n v="107.9218"/>
    <n v="89.459800000000001"/>
    <n v="45.296799999999998"/>
    <n v="3.9308000000000001"/>
    <n v="0"/>
    <n v="0"/>
    <n v="0"/>
    <n v="0"/>
    <n v="0"/>
    <m/>
  </r>
  <r>
    <s v="BITS"/>
    <x v="3"/>
    <n v="1"/>
    <x v="2"/>
    <x v="2"/>
    <n v="126436"/>
    <s v="Gadus morhua"/>
    <n v="0"/>
    <n v="0"/>
    <n v="1.5732999999999999"/>
    <n v="1.4"/>
    <n v="5.9226999999999999"/>
    <n v="3.3239999999999998"/>
    <n v="0"/>
    <n v="0"/>
    <n v="0"/>
    <n v="0"/>
    <n v="0"/>
    <m/>
  </r>
  <r>
    <s v="BITS"/>
    <x v="3"/>
    <n v="1"/>
    <x v="3"/>
    <x v="0"/>
    <n v="126436"/>
    <s v="Gadus morhua"/>
    <n v="0"/>
    <n v="4.1344000000000003"/>
    <n v="0"/>
    <n v="742.44100000000003"/>
    <n v="469.57499999999999"/>
    <n v="0"/>
    <n v="0"/>
    <n v="0"/>
    <n v="0"/>
    <n v="0"/>
    <n v="0"/>
    <m/>
  </r>
  <r>
    <s v="BITS"/>
    <x v="3"/>
    <n v="1"/>
    <x v="3"/>
    <x v="3"/>
    <n v="126436"/>
    <s v="Gadus morhua"/>
    <n v="0"/>
    <n v="0"/>
    <n v="0"/>
    <n v="18.312000000000001"/>
    <n v="26.16"/>
    <n v="0"/>
    <n v="0"/>
    <n v="0"/>
    <n v="0"/>
    <n v="0"/>
    <n v="0"/>
    <m/>
  </r>
  <r>
    <s v="BITS"/>
    <x v="3"/>
    <n v="1"/>
    <x v="3"/>
    <x v="2"/>
    <n v="126436"/>
    <s v="Gadus morhua"/>
    <n v="0"/>
    <n v="0.73329999999999995"/>
    <n v="0"/>
    <n v="211.8587"/>
    <n v="116.2617"/>
    <n v="0"/>
    <n v="0"/>
    <n v="0"/>
    <n v="0"/>
    <n v="0"/>
    <n v="0"/>
    <m/>
  </r>
  <r>
    <s v="BITS"/>
    <x v="3"/>
    <n v="1"/>
    <x v="4"/>
    <x v="0"/>
    <n v="126436"/>
    <s v="Gadus morhua"/>
    <n v="0"/>
    <n v="14.610099999999999"/>
    <n v="812.86019999999996"/>
    <n v="1006.7113000000001"/>
    <n v="409.51100000000002"/>
    <n v="44.914200000000001"/>
    <n v="3.1815000000000002"/>
    <n v="0.83560000000000001"/>
    <n v="0.41049999999999998"/>
    <n v="0"/>
    <n v="0"/>
    <m/>
  </r>
  <r>
    <s v="BITS"/>
    <x v="3"/>
    <n v="1"/>
    <x v="4"/>
    <x v="1"/>
    <n v="126436"/>
    <s v="Gadus morhua"/>
    <n v="0"/>
    <n v="2.4045000000000001"/>
    <n v="471.30650000000003"/>
    <n v="741.42529999999999"/>
    <n v="337.77870000000001"/>
    <n v="31.090299999999999"/>
    <n v="1.7542"/>
    <n v="0.63129999999999997"/>
    <n v="0.16089999999999999"/>
    <n v="0"/>
    <n v="0"/>
    <m/>
  </r>
  <r>
    <s v="BITS"/>
    <x v="3"/>
    <n v="1"/>
    <x v="4"/>
    <x v="4"/>
    <n v="126436"/>
    <s v="Gadus morhua"/>
    <n v="0"/>
    <n v="0.13070000000000001"/>
    <n v="102.55110000000001"/>
    <n v="559.52139999999997"/>
    <n v="372.16989999999998"/>
    <n v="37.121099999999998"/>
    <n v="2.1522000000000001"/>
    <n v="0.94920000000000004"/>
    <n v="0.4103"/>
    <n v="0"/>
    <n v="0"/>
    <m/>
  </r>
  <r>
    <s v="BITS"/>
    <x v="3"/>
    <n v="1"/>
    <x v="4"/>
    <x v="2"/>
    <n v="126436"/>
    <s v="Gadus morhua"/>
    <n v="0"/>
    <n v="0.33329999999999999"/>
    <n v="7.6231"/>
    <n v="169.2835"/>
    <n v="149.62690000000001"/>
    <n v="13.964700000000001"/>
    <n v="0.74009999999999998"/>
    <n v="0.20619999999999999"/>
    <n v="5.5599999999999997E-2"/>
    <n v="0"/>
    <n v="0"/>
    <m/>
  </r>
  <r>
    <s v="BITS"/>
    <x v="3"/>
    <n v="1"/>
    <x v="5"/>
    <x v="0"/>
    <n v="126436"/>
    <s v="Gadus morhua"/>
    <n v="0"/>
    <n v="13.537699999999999"/>
    <n v="54.408099999999997"/>
    <n v="102.5322"/>
    <n v="75.475399999999993"/>
    <n v="40.125399999999999"/>
    <n v="10.2691"/>
    <n v="0.92120000000000002"/>
    <n v="0.1"/>
    <n v="9.0899999999999995E-2"/>
    <n v="0"/>
    <m/>
  </r>
  <r>
    <s v="BITS"/>
    <x v="3"/>
    <n v="1"/>
    <x v="5"/>
    <x v="1"/>
    <n v="126436"/>
    <s v="Gadus morhua"/>
    <n v="0"/>
    <n v="2.8618999999999999"/>
    <n v="327.18650000000002"/>
    <n v="233.5667"/>
    <n v="117.6147"/>
    <n v="64.657200000000003"/>
    <n v="13.1927"/>
    <n v="0.62929999999999997"/>
    <n v="0"/>
    <n v="0.1885"/>
    <n v="0"/>
    <m/>
  </r>
  <r>
    <s v="BITS"/>
    <x v="3"/>
    <n v="1"/>
    <x v="5"/>
    <x v="4"/>
    <n v="126436"/>
    <s v="Gadus morhua"/>
    <n v="0"/>
    <n v="1.6783999999999999"/>
    <n v="198.06880000000001"/>
    <n v="443.61759999999998"/>
    <n v="251.4913"/>
    <n v="145.65379999999999"/>
    <n v="28.7454"/>
    <n v="1.4291"/>
    <n v="0"/>
    <n v="0.25669999999999998"/>
    <n v="0"/>
    <m/>
  </r>
  <r>
    <s v="BITS"/>
    <x v="3"/>
    <n v="1"/>
    <x v="5"/>
    <x v="5"/>
    <n v="126436"/>
    <s v="Gadus morhua"/>
    <n v="0"/>
    <n v="0"/>
    <n v="18.069299999999998"/>
    <n v="138.49160000000001"/>
    <n v="98.906099999999995"/>
    <n v="65.174599999999998"/>
    <n v="13.7912"/>
    <n v="2.4763000000000002"/>
    <n v="0.25"/>
    <n v="9.0899999999999995E-2"/>
    <n v="0"/>
    <m/>
  </r>
  <r>
    <s v="BITS"/>
    <x v="3"/>
    <n v="1"/>
    <x v="5"/>
    <x v="6"/>
    <n v="126436"/>
    <s v="Gadus morhua"/>
    <n v="0"/>
    <n v="0"/>
    <n v="109.0431"/>
    <n v="602.68769999999995"/>
    <n v="503.12009999999998"/>
    <n v="297.65710000000001"/>
    <n v="80.775700000000001"/>
    <n v="8.3526000000000007"/>
    <n v="0"/>
    <n v="2.3635999999999999"/>
    <n v="0"/>
    <m/>
  </r>
  <r>
    <s v="BITS"/>
    <x v="3"/>
    <n v="1"/>
    <x v="5"/>
    <x v="2"/>
    <n v="126436"/>
    <s v="Gadus morhua"/>
    <n v="0"/>
    <n v="2.5295999999999998"/>
    <n v="44.688200000000002"/>
    <n v="54.451700000000002"/>
    <n v="28.580500000000001"/>
    <n v="13.0739"/>
    <n v="3.5303"/>
    <n v="0.23860000000000001"/>
    <n v="0"/>
    <n v="4.0399999999999998E-2"/>
    <n v="0"/>
    <m/>
  </r>
  <r>
    <s v="BITS"/>
    <x v="3"/>
    <n v="1"/>
    <x v="6"/>
    <x v="1"/>
    <n v="126436"/>
    <s v="Gadus morhua"/>
    <n v="0"/>
    <n v="0"/>
    <n v="18.083300000000001"/>
    <n v="15.333299999999999"/>
    <n v="5.5833000000000004"/>
    <n v="1"/>
    <n v="0"/>
    <n v="0"/>
    <n v="0"/>
    <n v="0"/>
    <n v="0"/>
    <m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m/>
  </r>
  <r>
    <s v="BITS"/>
    <x v="3"/>
    <n v="1"/>
    <x v="6"/>
    <x v="5"/>
    <n v="126436"/>
    <s v="Gadus morhua"/>
    <n v="0"/>
    <n v="0"/>
    <n v="0"/>
    <n v="0"/>
    <n v="0"/>
    <n v="0"/>
    <n v="0"/>
    <n v="0"/>
    <n v="0"/>
    <n v="0"/>
    <n v="0"/>
    <m/>
  </r>
  <r>
    <s v="BITS"/>
    <x v="3"/>
    <n v="1"/>
    <x v="7"/>
    <x v="0"/>
    <n v="126436"/>
    <s v="Gadus morhua"/>
    <n v="0"/>
    <n v="1"/>
    <n v="4.1666999999999996"/>
    <n v="3"/>
    <n v="0.83330000000000004"/>
    <n v="0"/>
    <n v="0"/>
    <n v="0"/>
    <n v="0"/>
    <n v="0"/>
    <n v="0"/>
    <m/>
  </r>
  <r>
    <s v="BITS"/>
    <x v="3"/>
    <n v="1"/>
    <x v="7"/>
    <x v="1"/>
    <n v="126436"/>
    <s v="Gadus morhua"/>
    <n v="0"/>
    <n v="0.44440000000000002"/>
    <n v="18.555499999999999"/>
    <n v="7.0369999999999999"/>
    <n v="3.6295999999999999"/>
    <n v="2.2222"/>
    <n v="1"/>
    <n v="0"/>
    <n v="0"/>
    <n v="0"/>
    <n v="0"/>
    <m/>
  </r>
  <r>
    <s v="BITS"/>
    <x v="3"/>
    <n v="1"/>
    <x v="7"/>
    <x v="4"/>
    <n v="126436"/>
    <s v="Gadus morhua"/>
    <n v="0"/>
    <n v="0"/>
    <n v="0.57140000000000002"/>
    <n v="1.6667000000000001"/>
    <n v="0.85709999999999997"/>
    <n v="0"/>
    <n v="0.33329999999999999"/>
    <n v="0"/>
    <n v="0"/>
    <n v="0"/>
    <n v="0"/>
    <m/>
  </r>
  <r>
    <s v="BITS"/>
    <x v="3"/>
    <n v="1"/>
    <x v="7"/>
    <x v="2"/>
    <n v="126436"/>
    <s v="Gadus morhua"/>
    <n v="0"/>
    <n v="0.33329999999999999"/>
    <n v="0.58330000000000004"/>
    <n v="0.91669999999999996"/>
    <n v="0.38890000000000002"/>
    <n v="0.55559999999999998"/>
    <n v="0.22220000000000001"/>
    <n v="0"/>
    <n v="0"/>
    <n v="0"/>
    <n v="0"/>
    <m/>
  </r>
  <r>
    <s v="BITS"/>
    <x v="4"/>
    <n v="1"/>
    <x v="0"/>
    <x v="0"/>
    <n v="126436"/>
    <s v="Gadus morhua"/>
    <n v="0"/>
    <n v="13.4221"/>
    <n v="0.76449999999999996"/>
    <n v="0"/>
    <n v="0.40949999999999998"/>
    <n v="7.0499999999999993E-2"/>
    <n v="0"/>
    <n v="0"/>
    <n v="0"/>
    <n v="0"/>
    <n v="0"/>
    <m/>
  </r>
  <r>
    <s v="BITS"/>
    <x v="4"/>
    <n v="1"/>
    <x v="0"/>
    <x v="1"/>
    <n v="126436"/>
    <s v="Gadus morhua"/>
    <n v="0"/>
    <n v="0"/>
    <n v="0"/>
    <n v="0"/>
    <n v="0"/>
    <n v="0"/>
    <n v="0"/>
    <n v="0"/>
    <n v="0"/>
    <n v="0"/>
    <n v="0"/>
    <m/>
  </r>
  <r>
    <s v="BITS"/>
    <x v="4"/>
    <n v="1"/>
    <x v="0"/>
    <x v="4"/>
    <n v="126436"/>
    <s v="Gadus morhua"/>
    <n v="0"/>
    <n v="174.059"/>
    <n v="4.681"/>
    <n v="0"/>
    <n v="0.88"/>
    <n v="0"/>
    <n v="0"/>
    <n v="0"/>
    <n v="0"/>
    <n v="0"/>
    <n v="0"/>
    <m/>
  </r>
  <r>
    <s v="BITS"/>
    <x v="4"/>
    <n v="1"/>
    <x v="0"/>
    <x v="2"/>
    <n v="126436"/>
    <s v="Gadus morhua"/>
    <n v="0"/>
    <n v="57.772100000000002"/>
    <n v="2.3443000000000001"/>
    <n v="1.9028"/>
    <n v="4.4630000000000001"/>
    <n v="2.2658999999999998"/>
    <n v="0.48709999999999998"/>
    <n v="0"/>
    <n v="0"/>
    <n v="0"/>
    <n v="0"/>
    <m/>
  </r>
  <r>
    <s v="BITS"/>
    <x v="4"/>
    <n v="1"/>
    <x v="1"/>
    <x v="3"/>
    <n v="126436"/>
    <s v="Gadus morhua"/>
    <n v="0"/>
    <n v="68.134100000000004"/>
    <n v="2.1372"/>
    <n v="6.7210999999999999"/>
    <n v="1.0707"/>
    <n v="0.33210000000000001"/>
    <n v="0"/>
    <n v="0"/>
    <n v="0"/>
    <n v="0"/>
    <n v="0"/>
    <m/>
  </r>
  <r>
    <s v="BITS"/>
    <x v="4"/>
    <n v="1"/>
    <x v="1"/>
    <x v="2"/>
    <n v="126436"/>
    <s v="Gadus morhua"/>
    <n v="0"/>
    <n v="135.79679999999999"/>
    <n v="6.0438999999999998"/>
    <n v="22.678599999999999"/>
    <n v="8.7973999999999997"/>
    <n v="4.6131000000000002"/>
    <n v="0.56899999999999995"/>
    <n v="0.39369999999999999"/>
    <n v="0.32669999999999999"/>
    <n v="0"/>
    <n v="0"/>
    <m/>
  </r>
  <r>
    <s v="BITS"/>
    <x v="4"/>
    <n v="1"/>
    <x v="2"/>
    <x v="3"/>
    <n v="126436"/>
    <s v="Gadus morhua"/>
    <n v="0"/>
    <n v="131.1062"/>
    <n v="110.14449999999999"/>
    <n v="291.92360000000002"/>
    <n v="42.302100000000003"/>
    <n v="3.0196000000000001"/>
    <n v="0"/>
    <n v="0"/>
    <n v="0"/>
    <n v="0"/>
    <n v="0"/>
    <m/>
  </r>
  <r>
    <s v="BITS"/>
    <x v="4"/>
    <n v="1"/>
    <x v="2"/>
    <x v="2"/>
    <n v="126436"/>
    <s v="Gadus morhua"/>
    <n v="0"/>
    <n v="35.948900000000002"/>
    <n v="29.102799999999998"/>
    <n v="108.0309"/>
    <n v="10.6774"/>
    <n v="1.94"/>
    <n v="0.22"/>
    <n v="0"/>
    <n v="0"/>
    <n v="0"/>
    <n v="0"/>
    <m/>
  </r>
  <r>
    <s v="BITS"/>
    <x v="4"/>
    <n v="1"/>
    <x v="3"/>
    <x v="0"/>
    <n v="126436"/>
    <s v="Gadus morhua"/>
    <n v="0"/>
    <n v="23.805599999999998"/>
    <n v="380.62869999999998"/>
    <n v="428.47399999999999"/>
    <n v="253.33359999999999"/>
    <n v="102.0153"/>
    <n v="11.2552"/>
    <n v="3.5167999999999999"/>
    <n v="0"/>
    <n v="0"/>
    <n v="0"/>
    <m/>
  </r>
  <r>
    <s v="BITS"/>
    <x v="4"/>
    <n v="1"/>
    <x v="3"/>
    <x v="3"/>
    <n v="126436"/>
    <s v="Gadus morhua"/>
    <n v="0"/>
    <n v="53.046199999999999"/>
    <n v="53.099499999999999"/>
    <n v="11.5084"/>
    <n v="10.421900000000001"/>
    <n v="10.348100000000001"/>
    <n v="1.2068000000000001"/>
    <n v="0.36899999999999999"/>
    <n v="0"/>
    <n v="0"/>
    <n v="0"/>
    <m/>
  </r>
  <r>
    <s v="BITS"/>
    <x v="4"/>
    <n v="1"/>
    <x v="3"/>
    <x v="2"/>
    <n v="126436"/>
    <s v="Gadus morhua"/>
    <n v="0"/>
    <n v="50.02"/>
    <n v="172.2311"/>
    <n v="126.18989999999999"/>
    <n v="85.375799999999998"/>
    <n v="30.677199999999999"/>
    <n v="2.7296"/>
    <n v="0.8911"/>
    <n v="0"/>
    <n v="0"/>
    <n v="0"/>
    <m/>
  </r>
  <r>
    <s v="BITS"/>
    <x v="4"/>
    <n v="1"/>
    <x v="4"/>
    <x v="0"/>
    <n v="126436"/>
    <s v="Gadus morhua"/>
    <n v="0"/>
    <n v="37.144599999999997"/>
    <n v="254.0686"/>
    <n v="294.06970000000001"/>
    <n v="110.0476"/>
    <n v="25.7605"/>
    <n v="4.1820000000000004"/>
    <n v="0.45040000000000002"/>
    <n v="6.0299999999999999E-2"/>
    <n v="0"/>
    <n v="0"/>
    <m/>
  </r>
  <r>
    <s v="BITS"/>
    <x v="4"/>
    <n v="1"/>
    <x v="4"/>
    <x v="1"/>
    <n v="126436"/>
    <s v="Gadus morhua"/>
    <n v="0"/>
    <n v="17.157800000000002"/>
    <n v="201.4282"/>
    <n v="416.49130000000002"/>
    <n v="220.46019999999999"/>
    <n v="51.317900000000002"/>
    <n v="8.2119"/>
    <n v="0.50670000000000004"/>
    <n v="5.2299999999999999E-2"/>
    <n v="0"/>
    <n v="0"/>
    <m/>
  </r>
  <r>
    <s v="BITS"/>
    <x v="4"/>
    <n v="1"/>
    <x v="4"/>
    <x v="4"/>
    <n v="126436"/>
    <s v="Gadus morhua"/>
    <n v="0"/>
    <n v="0.71809999999999996"/>
    <n v="49.7209"/>
    <n v="276.5514"/>
    <n v="236.6474"/>
    <n v="69.703800000000001"/>
    <n v="12.2803"/>
    <n v="0.97399999999999998"/>
    <n v="0.27750000000000002"/>
    <n v="0"/>
    <n v="0"/>
    <m/>
  </r>
  <r>
    <s v="BITS"/>
    <x v="4"/>
    <n v="1"/>
    <x v="4"/>
    <x v="2"/>
    <n v="126436"/>
    <s v="Gadus morhua"/>
    <n v="0"/>
    <n v="6.9603999999999999"/>
    <n v="12.3203"/>
    <n v="84.109700000000004"/>
    <n v="59.264800000000001"/>
    <n v="11.2986"/>
    <n v="1.6085"/>
    <n v="4.7600000000000003E-2"/>
    <n v="3.3000000000000002E-2"/>
    <n v="0"/>
    <n v="0"/>
    <m/>
  </r>
  <r>
    <s v="BITS"/>
    <x v="4"/>
    <n v="1"/>
    <x v="5"/>
    <x v="0"/>
    <n v="126436"/>
    <s v="Gadus morhua"/>
    <n v="0"/>
    <n v="27.425899999999999"/>
    <n v="14.7864"/>
    <n v="11.2788"/>
    <n v="10.477"/>
    <n v="8.1727000000000007"/>
    <n v="4.0989000000000004"/>
    <n v="0.85919999999999996"/>
    <n v="0.1915"/>
    <n v="5.9499999999999997E-2"/>
    <n v="0"/>
    <m/>
  </r>
  <r>
    <s v="BITS"/>
    <x v="4"/>
    <n v="1"/>
    <x v="5"/>
    <x v="1"/>
    <n v="126436"/>
    <s v="Gadus morhua"/>
    <n v="0"/>
    <n v="10.585699999999999"/>
    <n v="54.021000000000001"/>
    <n v="141.5856"/>
    <n v="97.475999999999999"/>
    <n v="58.2913"/>
    <n v="25.4283"/>
    <n v="4.7241999999999997"/>
    <n v="0.61439999999999995"/>
    <n v="0.1333"/>
    <n v="0"/>
    <m/>
  </r>
  <r>
    <s v="BITS"/>
    <x v="4"/>
    <n v="1"/>
    <x v="5"/>
    <x v="4"/>
    <n v="126436"/>
    <s v="Gadus morhua"/>
    <n v="0"/>
    <n v="2.3313000000000001"/>
    <n v="27.597100000000001"/>
    <n v="166.80529999999999"/>
    <n v="132.39959999999999"/>
    <n v="81.6661"/>
    <n v="35.6935"/>
    <n v="5.2789000000000001"/>
    <n v="0.67679999999999996"/>
    <n v="0.14019999999999999"/>
    <n v="0"/>
    <m/>
  </r>
  <r>
    <s v="BITS"/>
    <x v="4"/>
    <n v="1"/>
    <x v="5"/>
    <x v="5"/>
    <n v="126436"/>
    <s v="Gadus morhua"/>
    <n v="0"/>
    <n v="6.2778"/>
    <n v="17.716899999999999"/>
    <n v="174.69149999999999"/>
    <n v="171.9461"/>
    <n v="126.551"/>
    <n v="52.028399999999998"/>
    <n v="10.0229"/>
    <n v="1.8369"/>
    <n v="0.17860000000000001"/>
    <n v="0"/>
    <m/>
  </r>
  <r>
    <s v="BITS"/>
    <x v="4"/>
    <n v="1"/>
    <x v="5"/>
    <x v="2"/>
    <n v="126436"/>
    <s v="Gadus morhua"/>
    <n v="0"/>
    <n v="13.7265"/>
    <n v="4.1921999999999997"/>
    <n v="6.4756999999999998"/>
    <n v="8.5493000000000006"/>
    <n v="7.7798999999999996"/>
    <n v="4.9507000000000003"/>
    <n v="0.9526"/>
    <n v="0.2762"/>
    <n v="9.6799999999999997E-2"/>
    <n v="0"/>
    <m/>
  </r>
  <r>
    <s v="BITS"/>
    <x v="4"/>
    <n v="1"/>
    <x v="6"/>
    <x v="0"/>
    <n v="126436"/>
    <s v="Gadus morhua"/>
    <n v="0"/>
    <n v="0"/>
    <n v="0"/>
    <n v="1"/>
    <n v="0"/>
    <n v="0"/>
    <n v="0"/>
    <n v="0"/>
    <n v="0"/>
    <n v="0"/>
    <n v="0"/>
    <m/>
  </r>
  <r>
    <s v="BITS"/>
    <x v="4"/>
    <n v="1"/>
    <x v="6"/>
    <x v="1"/>
    <n v="126436"/>
    <s v="Gadus morhua"/>
    <n v="0"/>
    <n v="0"/>
    <n v="0.16669999999999999"/>
    <n v="6.1238000000000001"/>
    <n v="2.2094999999999998"/>
    <n v="0.5"/>
    <n v="0"/>
    <n v="0"/>
    <n v="0"/>
    <n v="0"/>
    <n v="0"/>
    <m/>
  </r>
  <r>
    <s v="BITS"/>
    <x v="4"/>
    <n v="1"/>
    <x v="6"/>
    <x v="4"/>
    <n v="126436"/>
    <s v="Gadus morhua"/>
    <n v="0"/>
    <n v="0"/>
    <n v="0"/>
    <n v="0"/>
    <n v="0"/>
    <n v="0"/>
    <n v="0"/>
    <n v="0"/>
    <n v="0"/>
    <n v="0"/>
    <n v="0"/>
    <m/>
  </r>
  <r>
    <s v="BITS"/>
    <x v="4"/>
    <n v="1"/>
    <x v="6"/>
    <x v="5"/>
    <n v="126436"/>
    <s v="Gadus morhua"/>
    <n v="0"/>
    <n v="0"/>
    <n v="0"/>
    <n v="0"/>
    <n v="0"/>
    <n v="0"/>
    <n v="0"/>
    <n v="0"/>
    <n v="0"/>
    <n v="0"/>
    <n v="0"/>
    <m/>
  </r>
  <r>
    <s v="BITS"/>
    <x v="4"/>
    <n v="1"/>
    <x v="7"/>
    <x v="0"/>
    <n v="126436"/>
    <s v="Gadus morhua"/>
    <n v="0"/>
    <n v="3.6"/>
    <n v="1.2796000000000001"/>
    <n v="4.0728999999999997"/>
    <n v="3.6452"/>
    <n v="2.6675"/>
    <n v="0.80100000000000005"/>
    <n v="0.1157"/>
    <n v="0"/>
    <n v="1.8200000000000001E-2"/>
    <n v="0"/>
    <m/>
  </r>
  <r>
    <s v="BITS"/>
    <x v="4"/>
    <n v="1"/>
    <x v="7"/>
    <x v="1"/>
    <n v="126436"/>
    <s v="Gadus morhua"/>
    <n v="0"/>
    <n v="0"/>
    <n v="1.3229"/>
    <n v="5.3677000000000001"/>
    <n v="4.1722000000000001"/>
    <n v="2.92"/>
    <n v="1.2347999999999999"/>
    <n v="0.1641"/>
    <n v="0"/>
    <n v="1.8200000000000001E-2"/>
    <n v="0"/>
    <m/>
  </r>
  <r>
    <s v="BITS"/>
    <x v="4"/>
    <n v="1"/>
    <x v="7"/>
    <x v="4"/>
    <n v="126436"/>
    <s v="Gadus morhua"/>
    <n v="0"/>
    <n v="0"/>
    <n v="48.4726"/>
    <n v="286.1026"/>
    <n v="155.45769999999999"/>
    <n v="117.0508"/>
    <n v="34.126300000000001"/>
    <n v="7.0080999999999998"/>
    <n v="0.8"/>
    <n v="0.58179999999999998"/>
    <n v="0"/>
    <m/>
  </r>
  <r>
    <s v="BITS"/>
    <x v="4"/>
    <n v="1"/>
    <x v="7"/>
    <x v="5"/>
    <n v="126436"/>
    <s v="Gadus morhua"/>
    <n v="0"/>
    <n v="0"/>
    <n v="7.3578999999999999"/>
    <n v="50.912100000000002"/>
    <n v="34.494199999999999"/>
    <n v="25.611000000000001"/>
    <n v="8.5338999999999992"/>
    <n v="0.72729999999999995"/>
    <n v="0"/>
    <n v="0.36359999999999998"/>
    <n v="0"/>
    <m/>
  </r>
  <r>
    <s v="BITS"/>
    <x v="4"/>
    <n v="1"/>
    <x v="7"/>
    <x v="2"/>
    <n v="126436"/>
    <s v="Gadus morhua"/>
    <n v="0"/>
    <n v="0"/>
    <n v="0"/>
    <n v="0"/>
    <n v="0"/>
    <n v="0"/>
    <n v="0"/>
    <n v="0"/>
    <n v="0"/>
    <n v="0"/>
    <n v="0"/>
    <m/>
  </r>
  <r>
    <m/>
    <x v="5"/>
    <m/>
    <x v="8"/>
    <x v="7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3:BI44" firstHeaderRow="1" firstDataRow="3" firstDataCol="1"/>
  <pivotFields count="19">
    <pivotField showAll="0"/>
    <pivotField axis="axisCol" showAll="0">
      <items count="9">
        <item m="1" x="6"/>
        <item m="1" x="7"/>
        <item x="0"/>
        <item x="1"/>
        <item x="2"/>
        <item x="5"/>
        <item x="3"/>
        <item x="4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axis="axisRow" showAll="0" defaultSubtotal="0">
      <items count="8">
        <item x="3"/>
        <item x="2"/>
        <item x="0"/>
        <item x="1"/>
        <item x="4"/>
        <item x="5"/>
        <item x="6"/>
        <item h="1" x="7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3"/>
    <field x="4"/>
  </rowFields>
  <rowItems count="39"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 v="2"/>
    </i>
    <i r="1">
      <x v="3"/>
    </i>
    <i r="1">
      <x v="4"/>
    </i>
    <i r="1">
      <x v="5"/>
    </i>
    <i>
      <x v="7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1"/>
    <field x="-2"/>
  </colFields>
  <colItems count="60"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>
      <x v="6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</colItems>
  <dataFields count="10">
    <dataField name="Sum of Age_1" fld="8" baseField="4" baseItem="0"/>
    <dataField name="Sum of Age_2" fld="9" baseField="4" baseItem="0"/>
    <dataField name="Sum of Age_3" fld="10" baseField="4" baseItem="0"/>
    <dataField name="Sum of Age_4" fld="11" baseField="4" baseItem="0"/>
    <dataField name="Sum of Age_5" fld="12" baseField="4" baseItem="0"/>
    <dataField name="Sum of Age_6" fld="13" baseField="4" baseItem="0"/>
    <dataField name="Sum of Age_7" fld="14" baseField="4" baseItem="0"/>
    <dataField name="Sum of Age_8" fld="15" baseField="4" baseItem="0"/>
    <dataField name="Sum of Age_9" fld="16" baseField="4" baseItem="0"/>
    <dataField name="Sum of Age_10" fld="17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compact="0" compactData="0" gridDropZones="1" multipleFieldFilters="0">
  <location ref="A3:H35" firstHeaderRow="1" firstDataRow="2" firstDataCol="2"/>
  <pivotFields count="20">
    <pivotField compact="0" outline="0" showAll="0"/>
    <pivotField axis="axisCol" compact="0" outline="0" showAll="0">
      <items count="8">
        <item m="1" x="5"/>
        <item m="1" x="6"/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3"/>
        <item x="2"/>
        <item x="0"/>
        <item x="1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3"/>
    <field x="4"/>
  </rowFields>
  <rowItems count="31">
    <i>
      <x/>
      <x v="1"/>
    </i>
    <i r="1">
      <x v="2"/>
    </i>
    <i r="1">
      <x v="3"/>
    </i>
    <i r="1">
      <x v="4"/>
    </i>
    <i>
      <x v="1"/>
      <x/>
    </i>
    <i r="1">
      <x v="1"/>
    </i>
    <i>
      <x v="2"/>
      <x/>
    </i>
    <i r="1">
      <x v="1"/>
    </i>
    <i>
      <x v="3"/>
      <x/>
    </i>
    <i r="1">
      <x v="1"/>
    </i>
    <i r="1">
      <x v="2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r="1">
      <x v="5"/>
    </i>
    <i r="1">
      <x v="6"/>
    </i>
    <i>
      <x v="6"/>
      <x v="2"/>
    </i>
    <i r="1">
      <x v="3"/>
    </i>
    <i r="1">
      <x v="4"/>
    </i>
    <i r="1">
      <x v="5"/>
    </i>
    <i>
      <x v="7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6"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Age_1+" fld="1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I44"/>
  <sheetViews>
    <sheetView workbookViewId="0">
      <selection activeCell="C25" sqref="C25"/>
    </sheetView>
  </sheetViews>
  <sheetFormatPr defaultRowHeight="14.5" x14ac:dyDescent="0.35"/>
  <cols>
    <col min="1" max="1" width="13.1796875" customWidth="1"/>
    <col min="2" max="2" width="16.26953125" customWidth="1"/>
    <col min="3" max="10" width="13.1796875" customWidth="1"/>
    <col min="11" max="11" width="14.1796875" customWidth="1"/>
    <col min="12" max="12" width="13.1796875" bestFit="1" customWidth="1"/>
    <col min="13" max="16" width="13.1796875" customWidth="1"/>
    <col min="17" max="17" width="13.1796875" bestFit="1" customWidth="1"/>
    <col min="18" max="20" width="13.1796875" customWidth="1"/>
    <col min="21" max="21" width="14.1796875" customWidth="1"/>
    <col min="22" max="30" width="13.1796875" customWidth="1"/>
    <col min="31" max="31" width="14.1796875" customWidth="1"/>
    <col min="32" max="40" width="13.1796875" customWidth="1"/>
    <col min="41" max="41" width="14.1796875" customWidth="1"/>
    <col min="42" max="50" width="13.1796875" customWidth="1"/>
    <col min="51" max="51" width="14.1796875" customWidth="1"/>
    <col min="52" max="60" width="18.1796875" customWidth="1"/>
    <col min="61" max="61" width="19.1796875" customWidth="1"/>
    <col min="62" max="62" width="8" customWidth="1"/>
    <col min="63" max="63" width="7" customWidth="1"/>
    <col min="64" max="64" width="3" customWidth="1"/>
    <col min="65" max="65" width="7.26953125" customWidth="1"/>
    <col min="66" max="66" width="13.1796875" customWidth="1"/>
    <col min="67" max="71" width="7" customWidth="1"/>
    <col min="72" max="72" width="3" customWidth="1"/>
    <col min="73" max="73" width="7.26953125" customWidth="1"/>
    <col min="74" max="74" width="14.1796875" bestFit="1" customWidth="1"/>
    <col min="75" max="79" width="7" customWidth="1"/>
    <col min="80" max="80" width="3" customWidth="1"/>
    <col min="81" max="81" width="7.26953125" customWidth="1"/>
    <col min="82" max="90" width="18.1796875" bestFit="1" customWidth="1"/>
    <col min="91" max="91" width="19.1796875" bestFit="1" customWidth="1"/>
  </cols>
  <sheetData>
    <row r="3" spans="1:61" x14ac:dyDescent="0.35">
      <c r="B3" s="1" t="s">
        <v>21</v>
      </c>
    </row>
    <row r="4" spans="1:61" x14ac:dyDescent="0.35">
      <c r="B4">
        <v>2013</v>
      </c>
      <c r="L4">
        <v>2014</v>
      </c>
      <c r="V4">
        <v>2015</v>
      </c>
      <c r="AF4">
        <v>2016</v>
      </c>
      <c r="AP4">
        <v>2017</v>
      </c>
      <c r="AZ4" t="s">
        <v>30</v>
      </c>
      <c r="BA4" t="s">
        <v>24</v>
      </c>
      <c r="BB4" t="s">
        <v>26</v>
      </c>
      <c r="BC4" t="s">
        <v>28</v>
      </c>
      <c r="BD4" t="s">
        <v>38</v>
      </c>
      <c r="BE4" t="s">
        <v>39</v>
      </c>
      <c r="BF4" t="s">
        <v>40</v>
      </c>
      <c r="BG4" t="s">
        <v>41</v>
      </c>
      <c r="BH4" t="s">
        <v>42</v>
      </c>
      <c r="BI4" t="s">
        <v>43</v>
      </c>
    </row>
    <row r="5" spans="1:61" x14ac:dyDescent="0.35">
      <c r="A5" s="1" t="s">
        <v>23</v>
      </c>
      <c r="B5" t="s">
        <v>31</v>
      </c>
      <c r="C5" t="s">
        <v>25</v>
      </c>
      <c r="D5" t="s">
        <v>27</v>
      </c>
      <c r="E5" t="s">
        <v>29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31</v>
      </c>
      <c r="M5" t="s">
        <v>25</v>
      </c>
      <c r="N5" t="s">
        <v>27</v>
      </c>
      <c r="O5" t="s">
        <v>29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31</v>
      </c>
      <c r="W5" t="s">
        <v>25</v>
      </c>
      <c r="X5" t="s">
        <v>27</v>
      </c>
      <c r="Y5" t="s">
        <v>29</v>
      </c>
      <c r="Z5" t="s">
        <v>32</v>
      </c>
      <c r="AA5" t="s">
        <v>33</v>
      </c>
      <c r="AB5" t="s">
        <v>34</v>
      </c>
      <c r="AC5" t="s">
        <v>35</v>
      </c>
      <c r="AD5" t="s">
        <v>36</v>
      </c>
      <c r="AE5" t="s">
        <v>37</v>
      </c>
      <c r="AF5" t="s">
        <v>31</v>
      </c>
      <c r="AG5" t="s">
        <v>25</v>
      </c>
      <c r="AH5" t="s">
        <v>27</v>
      </c>
      <c r="AI5" t="s">
        <v>29</v>
      </c>
      <c r="AJ5" t="s">
        <v>32</v>
      </c>
      <c r="AK5" t="s">
        <v>33</v>
      </c>
      <c r="AL5" t="s">
        <v>34</v>
      </c>
      <c r="AM5" t="s">
        <v>35</v>
      </c>
      <c r="AN5" t="s">
        <v>36</v>
      </c>
      <c r="AO5" t="s">
        <v>37</v>
      </c>
      <c r="AP5" t="s">
        <v>31</v>
      </c>
      <c r="AQ5" t="s">
        <v>25</v>
      </c>
      <c r="AR5" t="s">
        <v>27</v>
      </c>
      <c r="AS5" t="s">
        <v>29</v>
      </c>
      <c r="AT5" t="s">
        <v>32</v>
      </c>
      <c r="AU5" t="s">
        <v>33</v>
      </c>
      <c r="AV5" t="s">
        <v>34</v>
      </c>
      <c r="AW5" t="s">
        <v>35</v>
      </c>
      <c r="AX5" t="s">
        <v>36</v>
      </c>
      <c r="AY5" t="s">
        <v>37</v>
      </c>
    </row>
    <row r="6" spans="1:61" x14ac:dyDescent="0.35">
      <c r="A6" s="2">
        <v>21</v>
      </c>
      <c r="B6" s="4">
        <v>384.19130000000001</v>
      </c>
      <c r="C6" s="4">
        <v>137.6978</v>
      </c>
      <c r="D6" s="4">
        <v>20.982500000000002</v>
      </c>
      <c r="E6" s="4">
        <v>0.93</v>
      </c>
      <c r="F6" s="4">
        <v>0.56359999999999999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164.52789999999999</v>
      </c>
      <c r="M6" s="4">
        <v>1116.2906</v>
      </c>
      <c r="N6" s="4">
        <v>30.034199999999998</v>
      </c>
      <c r="O6" s="4">
        <v>2.3130999999999999</v>
      </c>
      <c r="P6" s="4">
        <v>0</v>
      </c>
      <c r="Q6" s="4">
        <v>0.23849999999999999</v>
      </c>
      <c r="R6" s="4">
        <v>0</v>
      </c>
      <c r="S6" s="4">
        <v>0</v>
      </c>
      <c r="T6" s="4">
        <v>0</v>
      </c>
      <c r="U6" s="4">
        <v>0.23849999999999999</v>
      </c>
      <c r="V6" s="4">
        <v>65.251899999999992</v>
      </c>
      <c r="W6" s="4">
        <v>45.968900000000005</v>
      </c>
      <c r="X6" s="4">
        <v>56.443100000000001</v>
      </c>
      <c r="Y6" s="4">
        <v>5.0148000000000001</v>
      </c>
      <c r="Z6" s="4">
        <v>0.28179999999999999</v>
      </c>
      <c r="AA6" s="4">
        <v>0</v>
      </c>
      <c r="AB6" s="4">
        <v>0</v>
      </c>
      <c r="AC6" s="4">
        <v>0</v>
      </c>
      <c r="AD6" s="4">
        <v>0</v>
      </c>
      <c r="AE6" s="4">
        <v>0.38329999999999997</v>
      </c>
      <c r="AF6" s="4">
        <v>1.5573999999999999</v>
      </c>
      <c r="AG6" s="4">
        <v>10.6694</v>
      </c>
      <c r="AH6" s="4">
        <v>2.3806000000000003</v>
      </c>
      <c r="AI6" s="4">
        <v>3.9791000000000003</v>
      </c>
      <c r="AJ6" s="4">
        <v>2.4594</v>
      </c>
      <c r="AK6" s="4">
        <v>9.7900000000000001E-2</v>
      </c>
      <c r="AL6" s="4">
        <v>5.0799999999999998E-2</v>
      </c>
      <c r="AM6" s="4">
        <v>0</v>
      </c>
      <c r="AN6" s="4">
        <v>0</v>
      </c>
      <c r="AO6" s="4">
        <v>0</v>
      </c>
      <c r="AP6" s="4">
        <v>245.25319999999999</v>
      </c>
      <c r="AQ6" s="4">
        <v>7.7897999999999996</v>
      </c>
      <c r="AR6" s="4">
        <v>1.9028</v>
      </c>
      <c r="AS6" s="4">
        <v>5.7525000000000004</v>
      </c>
      <c r="AT6" s="4">
        <v>2.3363999999999998</v>
      </c>
      <c r="AU6" s="4">
        <v>0.48709999999999998</v>
      </c>
      <c r="AV6" s="4">
        <v>0</v>
      </c>
      <c r="AW6" s="4">
        <v>0</v>
      </c>
      <c r="AX6" s="4">
        <v>0</v>
      </c>
      <c r="AY6" s="4">
        <v>0</v>
      </c>
      <c r="AZ6" s="4">
        <v>860.78170000000011</v>
      </c>
      <c r="BA6" s="4">
        <v>1318.4165</v>
      </c>
      <c r="BB6" s="4">
        <v>111.7432</v>
      </c>
      <c r="BC6" s="4">
        <v>17.9895</v>
      </c>
      <c r="BD6" s="4">
        <v>5.6412000000000004</v>
      </c>
      <c r="BE6" s="4">
        <v>0.8234999999999999</v>
      </c>
      <c r="BF6" s="4">
        <v>5.0799999999999998E-2</v>
      </c>
      <c r="BG6" s="4">
        <v>0</v>
      </c>
      <c r="BH6" s="4">
        <v>0</v>
      </c>
      <c r="BI6" s="4">
        <v>0.62179999999999991</v>
      </c>
    </row>
    <row r="7" spans="1:61" x14ac:dyDescent="0.35">
      <c r="A7" s="3">
        <v>9</v>
      </c>
      <c r="B7" s="4">
        <v>272.7817</v>
      </c>
      <c r="C7" s="4">
        <v>62.453600000000002</v>
      </c>
      <c r="D7" s="4">
        <v>13.312799999999999</v>
      </c>
      <c r="E7" s="4">
        <v>0</v>
      </c>
      <c r="F7" s="4">
        <v>0.56359999999999999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130.423</v>
      </c>
      <c r="M7" s="4">
        <v>1086.1355000000001</v>
      </c>
      <c r="N7" s="4">
        <v>15.7742</v>
      </c>
      <c r="O7" s="4">
        <v>1.0730999999999999</v>
      </c>
      <c r="P7" s="4">
        <v>0</v>
      </c>
      <c r="Q7" s="4">
        <v>0.23849999999999999</v>
      </c>
      <c r="R7" s="4">
        <v>0</v>
      </c>
      <c r="S7" s="4">
        <v>0</v>
      </c>
      <c r="T7" s="4">
        <v>0</v>
      </c>
      <c r="U7" s="4">
        <v>0.23849999999999999</v>
      </c>
      <c r="V7" s="4">
        <v>49.8386</v>
      </c>
      <c r="W7" s="4">
        <v>20.6676</v>
      </c>
      <c r="X7" s="4">
        <v>15.445</v>
      </c>
      <c r="Y7" s="4">
        <v>2.3109000000000002</v>
      </c>
      <c r="Z7" s="4">
        <v>0.28179999999999999</v>
      </c>
      <c r="AA7" s="4">
        <v>0</v>
      </c>
      <c r="AB7" s="4">
        <v>0</v>
      </c>
      <c r="AC7" s="4">
        <v>0</v>
      </c>
      <c r="AD7" s="4">
        <v>0</v>
      </c>
      <c r="AE7" s="4">
        <v>0.38329999999999997</v>
      </c>
      <c r="AF7" s="4">
        <v>1.5024</v>
      </c>
      <c r="AG7" s="4">
        <v>5.9086999999999996</v>
      </c>
      <c r="AH7" s="4">
        <v>1.3263</v>
      </c>
      <c r="AI7" s="4">
        <v>3.9020000000000001</v>
      </c>
      <c r="AJ7" s="4">
        <v>2.3565</v>
      </c>
      <c r="AK7" s="4">
        <v>9.7900000000000001E-2</v>
      </c>
      <c r="AL7" s="4">
        <v>5.0799999999999998E-2</v>
      </c>
      <c r="AM7" s="4">
        <v>0</v>
      </c>
      <c r="AN7" s="4">
        <v>0</v>
      </c>
      <c r="AO7" s="4">
        <v>0</v>
      </c>
      <c r="AP7" s="4">
        <v>57.772100000000002</v>
      </c>
      <c r="AQ7" s="4">
        <v>2.3443000000000001</v>
      </c>
      <c r="AR7" s="4">
        <v>1.9028</v>
      </c>
      <c r="AS7" s="4">
        <v>4.4630000000000001</v>
      </c>
      <c r="AT7" s="4">
        <v>2.2658999999999998</v>
      </c>
      <c r="AU7" s="4">
        <v>0.48709999999999998</v>
      </c>
      <c r="AV7" s="4">
        <v>0</v>
      </c>
      <c r="AW7" s="4">
        <v>0</v>
      </c>
      <c r="AX7" s="4">
        <v>0</v>
      </c>
      <c r="AY7" s="4">
        <v>0</v>
      </c>
      <c r="AZ7" s="4">
        <v>512.31780000000003</v>
      </c>
      <c r="BA7" s="4">
        <v>1177.5097000000001</v>
      </c>
      <c r="BB7" s="4">
        <v>47.761099999999999</v>
      </c>
      <c r="BC7" s="4">
        <v>11.749000000000001</v>
      </c>
      <c r="BD7" s="4">
        <v>5.4678000000000004</v>
      </c>
      <c r="BE7" s="4">
        <v>0.8234999999999999</v>
      </c>
      <c r="BF7" s="4">
        <v>5.0799999999999998E-2</v>
      </c>
      <c r="BG7" s="4">
        <v>0</v>
      </c>
      <c r="BH7" s="4">
        <v>0</v>
      </c>
      <c r="BI7" s="4">
        <v>0.62179999999999991</v>
      </c>
    </row>
    <row r="8" spans="1:61" x14ac:dyDescent="0.35">
      <c r="A8" s="3">
        <v>10</v>
      </c>
      <c r="B8" s="4">
        <v>63.674799999999998</v>
      </c>
      <c r="C8" s="4">
        <v>14.0586</v>
      </c>
      <c r="D8" s="4">
        <v>1.7566999999999999</v>
      </c>
      <c r="E8" s="4">
        <v>0.93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20.758600000000001</v>
      </c>
      <c r="M8" s="4">
        <v>19.101400000000002</v>
      </c>
      <c r="N8" s="4">
        <v>1.86</v>
      </c>
      <c r="O8" s="4">
        <v>1.24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4.8183999999999996</v>
      </c>
      <c r="W8" s="4">
        <v>7.6687000000000003</v>
      </c>
      <c r="X8" s="4">
        <v>10.5406</v>
      </c>
      <c r="Y8" s="4">
        <v>0.68889999999999996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5.5E-2</v>
      </c>
      <c r="AG8" s="4">
        <v>0.58069999999999999</v>
      </c>
      <c r="AH8" s="4">
        <v>1.0543</v>
      </c>
      <c r="AI8" s="4">
        <v>7.7100000000000002E-2</v>
      </c>
      <c r="AJ8" s="4">
        <v>0.10290000000000001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13.4221</v>
      </c>
      <c r="AQ8" s="4">
        <v>0.76449999999999996</v>
      </c>
      <c r="AR8" s="4">
        <v>0</v>
      </c>
      <c r="AS8" s="4">
        <v>0.40949999999999998</v>
      </c>
      <c r="AT8" s="4">
        <v>7.0499999999999993E-2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102.72890000000001</v>
      </c>
      <c r="BA8" s="4">
        <v>42.173900000000003</v>
      </c>
      <c r="BB8" s="4">
        <v>15.211599999999999</v>
      </c>
      <c r="BC8" s="4">
        <v>3.3454999999999999</v>
      </c>
      <c r="BD8" s="4">
        <v>0.1734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</row>
    <row r="9" spans="1:61" x14ac:dyDescent="0.35">
      <c r="A9" s="3">
        <v>11</v>
      </c>
      <c r="B9" s="4">
        <v>47.7348</v>
      </c>
      <c r="C9" s="4">
        <v>61.185600000000001</v>
      </c>
      <c r="D9" s="4">
        <v>5.9130000000000003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13.346299999999999</v>
      </c>
      <c r="M9" s="4">
        <v>11.053699999999999</v>
      </c>
      <c r="N9" s="4">
        <v>12.4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10.594900000000001</v>
      </c>
      <c r="W9" s="4">
        <v>17.6326</v>
      </c>
      <c r="X9" s="4">
        <v>30.4575</v>
      </c>
      <c r="Y9" s="4">
        <v>2.0150000000000001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4.18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71.676000000000002</v>
      </c>
      <c r="BA9" s="4">
        <v>94.051899999999989</v>
      </c>
      <c r="BB9" s="4">
        <v>48.770499999999998</v>
      </c>
      <c r="BC9" s="4">
        <v>2.0150000000000001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</row>
    <row r="10" spans="1:61" x14ac:dyDescent="0.35">
      <c r="A10" s="3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174.059</v>
      </c>
      <c r="AQ10" s="4">
        <v>4.681</v>
      </c>
      <c r="AR10" s="4">
        <v>0</v>
      </c>
      <c r="AS10" s="4">
        <v>0.88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174.059</v>
      </c>
      <c r="BA10" s="4">
        <v>4.681</v>
      </c>
      <c r="BB10" s="4">
        <v>0</v>
      </c>
      <c r="BC10" s="4">
        <v>0.88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</row>
    <row r="11" spans="1:61" x14ac:dyDescent="0.35">
      <c r="A11" s="2">
        <v>22</v>
      </c>
      <c r="B11" s="4">
        <v>282.85770000000002</v>
      </c>
      <c r="C11" s="4">
        <v>56.327500000000001</v>
      </c>
      <c r="D11" s="4">
        <v>47.952100000000002</v>
      </c>
      <c r="E11" s="4">
        <v>5.1006</v>
      </c>
      <c r="F11" s="4">
        <v>4.1913999999999998</v>
      </c>
      <c r="G11" s="4">
        <v>0.77500000000000002</v>
      </c>
      <c r="H11" s="4">
        <v>0</v>
      </c>
      <c r="I11" s="4">
        <v>0</v>
      </c>
      <c r="J11" s="4">
        <v>0</v>
      </c>
      <c r="K11" s="4">
        <v>0</v>
      </c>
      <c r="L11" s="4">
        <v>48.780499999999996</v>
      </c>
      <c r="M11" s="4">
        <v>51.422499999999999</v>
      </c>
      <c r="N11" s="4">
        <v>9.7482999999999986</v>
      </c>
      <c r="O11" s="4">
        <v>3.7810000000000001</v>
      </c>
      <c r="P11" s="4">
        <v>0.51659999999999995</v>
      </c>
      <c r="Q11" s="4">
        <v>0.98170000000000002</v>
      </c>
      <c r="R11" s="4">
        <v>0</v>
      </c>
      <c r="S11" s="4">
        <v>0.31</v>
      </c>
      <c r="T11" s="4">
        <v>0</v>
      </c>
      <c r="U11" s="4">
        <v>0</v>
      </c>
      <c r="V11" s="4">
        <v>62.634099999999997</v>
      </c>
      <c r="W11" s="4">
        <v>158.42850000000001</v>
      </c>
      <c r="X11" s="4">
        <v>66.367000000000004</v>
      </c>
      <c r="Y11" s="4">
        <v>5.5096000000000007</v>
      </c>
      <c r="Z11" s="4">
        <v>2.9278</v>
      </c>
      <c r="AA11" s="4">
        <v>0.22140000000000001</v>
      </c>
      <c r="AB11" s="4">
        <v>0</v>
      </c>
      <c r="AC11" s="4">
        <v>0</v>
      </c>
      <c r="AD11" s="4">
        <v>0</v>
      </c>
      <c r="AE11" s="4">
        <v>0</v>
      </c>
      <c r="AF11" s="4">
        <v>0.81529999999999991</v>
      </c>
      <c r="AG11" s="4">
        <v>9.4537999999999993</v>
      </c>
      <c r="AH11" s="4">
        <v>17.107300000000002</v>
      </c>
      <c r="AI11" s="4">
        <v>5.6086</v>
      </c>
      <c r="AJ11" s="4">
        <v>1.4673</v>
      </c>
      <c r="AK11" s="4">
        <v>0.46989999999999998</v>
      </c>
      <c r="AL11" s="4">
        <v>2.75E-2</v>
      </c>
      <c r="AM11" s="4">
        <v>0</v>
      </c>
      <c r="AN11" s="4">
        <v>0</v>
      </c>
      <c r="AO11" s="4">
        <v>0</v>
      </c>
      <c r="AP11" s="4">
        <v>203.93090000000001</v>
      </c>
      <c r="AQ11" s="4">
        <v>8.1811000000000007</v>
      </c>
      <c r="AR11" s="4">
        <v>29.399699999999999</v>
      </c>
      <c r="AS11" s="4">
        <v>9.8681000000000001</v>
      </c>
      <c r="AT11" s="4">
        <v>4.9451999999999998</v>
      </c>
      <c r="AU11" s="4">
        <v>0.56899999999999995</v>
      </c>
      <c r="AV11" s="4">
        <v>0.39369999999999999</v>
      </c>
      <c r="AW11" s="4">
        <v>0.32669999999999999</v>
      </c>
      <c r="AX11" s="4">
        <v>0</v>
      </c>
      <c r="AY11" s="4">
        <v>0</v>
      </c>
      <c r="AZ11" s="4">
        <v>599.01850000000002</v>
      </c>
      <c r="BA11" s="4">
        <v>283.8134</v>
      </c>
      <c r="BB11" s="4">
        <v>170.57440000000003</v>
      </c>
      <c r="BC11" s="4">
        <v>29.867899999999999</v>
      </c>
      <c r="BD11" s="4">
        <v>14.048299999999999</v>
      </c>
      <c r="BE11" s="4">
        <v>3.0169999999999999</v>
      </c>
      <c r="BF11" s="4">
        <v>0.42120000000000002</v>
      </c>
      <c r="BG11" s="4">
        <v>0.63670000000000004</v>
      </c>
      <c r="BH11" s="4">
        <v>0</v>
      </c>
      <c r="BI11" s="4">
        <v>0</v>
      </c>
    </row>
    <row r="12" spans="1:61" x14ac:dyDescent="0.35">
      <c r="A12" s="3">
        <v>8</v>
      </c>
      <c r="B12" s="4">
        <v>104.1443</v>
      </c>
      <c r="C12" s="4">
        <v>27.831900000000001</v>
      </c>
      <c r="D12" s="4">
        <v>13.8634</v>
      </c>
      <c r="E12" s="4">
        <v>1.3084</v>
      </c>
      <c r="F12" s="4">
        <v>1.0082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11.1952</v>
      </c>
      <c r="M12" s="4">
        <v>11.286899999999999</v>
      </c>
      <c r="N12" s="4">
        <v>1.1236999999999999</v>
      </c>
      <c r="O12" s="4">
        <v>0.871</v>
      </c>
      <c r="P12" s="4">
        <v>0.25829999999999997</v>
      </c>
      <c r="Q12" s="4">
        <v>0.46500000000000002</v>
      </c>
      <c r="R12" s="4">
        <v>0</v>
      </c>
      <c r="S12" s="4">
        <v>0.31</v>
      </c>
      <c r="T12" s="4">
        <v>0</v>
      </c>
      <c r="U12" s="4">
        <v>0</v>
      </c>
      <c r="V12" s="4">
        <v>13.130100000000001</v>
      </c>
      <c r="W12" s="4">
        <v>51.026800000000001</v>
      </c>
      <c r="X12" s="4">
        <v>13.8607</v>
      </c>
      <c r="Y12" s="4">
        <v>2.8227000000000002</v>
      </c>
      <c r="Z12" s="4">
        <v>2.0667</v>
      </c>
      <c r="AA12" s="4">
        <v>0.22140000000000001</v>
      </c>
      <c r="AB12" s="4">
        <v>0</v>
      </c>
      <c r="AC12" s="4">
        <v>0</v>
      </c>
      <c r="AD12" s="4">
        <v>0</v>
      </c>
      <c r="AE12" s="4">
        <v>0</v>
      </c>
      <c r="AF12" s="4">
        <v>0.3831</v>
      </c>
      <c r="AG12" s="4">
        <v>1.1472</v>
      </c>
      <c r="AH12" s="4">
        <v>0.22509999999999999</v>
      </c>
      <c r="AI12" s="4">
        <v>1.2217</v>
      </c>
      <c r="AJ12" s="4">
        <v>0.40660000000000002</v>
      </c>
      <c r="AK12" s="4">
        <v>0.20349999999999999</v>
      </c>
      <c r="AL12" s="4">
        <v>0</v>
      </c>
      <c r="AM12" s="4">
        <v>0</v>
      </c>
      <c r="AN12" s="4">
        <v>0</v>
      </c>
      <c r="AO12" s="4">
        <v>0</v>
      </c>
      <c r="AP12" s="4">
        <v>68.134100000000004</v>
      </c>
      <c r="AQ12" s="4">
        <v>2.1372</v>
      </c>
      <c r="AR12" s="4">
        <v>6.7210999999999999</v>
      </c>
      <c r="AS12" s="4">
        <v>1.0707</v>
      </c>
      <c r="AT12" s="4">
        <v>0.33210000000000001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196.98680000000002</v>
      </c>
      <c r="BA12" s="4">
        <v>93.43</v>
      </c>
      <c r="BB12" s="4">
        <v>35.793999999999997</v>
      </c>
      <c r="BC12" s="4">
        <v>7.2945000000000011</v>
      </c>
      <c r="BD12" s="4">
        <v>4.0718999999999994</v>
      </c>
      <c r="BE12" s="4">
        <v>0.88990000000000002</v>
      </c>
      <c r="BF12" s="4">
        <v>0</v>
      </c>
      <c r="BG12" s="4">
        <v>0.31</v>
      </c>
      <c r="BH12" s="4">
        <v>0</v>
      </c>
      <c r="BI12" s="4">
        <v>0</v>
      </c>
    </row>
    <row r="13" spans="1:61" x14ac:dyDescent="0.35">
      <c r="A13" s="3">
        <v>9</v>
      </c>
      <c r="B13" s="4">
        <v>178.71340000000001</v>
      </c>
      <c r="C13" s="4">
        <v>28.4956</v>
      </c>
      <c r="D13" s="4">
        <v>34.088700000000003</v>
      </c>
      <c r="E13" s="4">
        <v>3.7921999999999998</v>
      </c>
      <c r="F13" s="4">
        <v>3.1831999999999998</v>
      </c>
      <c r="G13" s="4">
        <v>0.77500000000000002</v>
      </c>
      <c r="H13" s="4">
        <v>0</v>
      </c>
      <c r="I13" s="4">
        <v>0</v>
      </c>
      <c r="J13" s="4">
        <v>0</v>
      </c>
      <c r="K13" s="4">
        <v>0</v>
      </c>
      <c r="L13" s="4">
        <v>37.585299999999997</v>
      </c>
      <c r="M13" s="4">
        <v>40.135599999999997</v>
      </c>
      <c r="N13" s="4">
        <v>8.6245999999999992</v>
      </c>
      <c r="O13" s="4">
        <v>2.91</v>
      </c>
      <c r="P13" s="4">
        <v>0.25829999999999997</v>
      </c>
      <c r="Q13" s="4">
        <v>0.51670000000000005</v>
      </c>
      <c r="R13" s="4">
        <v>0</v>
      </c>
      <c r="S13" s="4">
        <v>0</v>
      </c>
      <c r="T13" s="4">
        <v>0</v>
      </c>
      <c r="U13" s="4">
        <v>0</v>
      </c>
      <c r="V13" s="4">
        <v>49.503999999999998</v>
      </c>
      <c r="W13" s="4">
        <v>107.40170000000001</v>
      </c>
      <c r="X13" s="4">
        <v>52.506300000000003</v>
      </c>
      <c r="Y13" s="4">
        <v>2.6869000000000001</v>
      </c>
      <c r="Z13" s="4">
        <v>0.86109999999999998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0.43219999999999997</v>
      </c>
      <c r="AG13" s="4">
        <v>8.3065999999999995</v>
      </c>
      <c r="AH13" s="4">
        <v>16.882200000000001</v>
      </c>
      <c r="AI13" s="4">
        <v>4.3868999999999998</v>
      </c>
      <c r="AJ13" s="4">
        <v>1.0607</v>
      </c>
      <c r="AK13" s="4">
        <v>0.26640000000000003</v>
      </c>
      <c r="AL13" s="4">
        <v>2.75E-2</v>
      </c>
      <c r="AM13" s="4">
        <v>0</v>
      </c>
      <c r="AN13" s="4">
        <v>0</v>
      </c>
      <c r="AO13" s="4">
        <v>0</v>
      </c>
      <c r="AP13" s="4">
        <v>135.79679999999999</v>
      </c>
      <c r="AQ13" s="4">
        <v>6.0438999999999998</v>
      </c>
      <c r="AR13" s="4">
        <v>22.678599999999999</v>
      </c>
      <c r="AS13" s="4">
        <v>8.7973999999999997</v>
      </c>
      <c r="AT13" s="4">
        <v>4.6131000000000002</v>
      </c>
      <c r="AU13" s="4">
        <v>0.56899999999999995</v>
      </c>
      <c r="AV13" s="4">
        <v>0.39369999999999999</v>
      </c>
      <c r="AW13" s="4">
        <v>0.32669999999999999</v>
      </c>
      <c r="AX13" s="4">
        <v>0</v>
      </c>
      <c r="AY13" s="4">
        <v>0</v>
      </c>
      <c r="AZ13" s="4">
        <v>402.0317</v>
      </c>
      <c r="BA13" s="4">
        <v>190.38339999999999</v>
      </c>
      <c r="BB13" s="4">
        <v>134.78040000000001</v>
      </c>
      <c r="BC13" s="4">
        <v>22.573399999999999</v>
      </c>
      <c r="BD13" s="4">
        <v>9.9763999999999999</v>
      </c>
      <c r="BE13" s="4">
        <v>2.1271</v>
      </c>
      <c r="BF13" s="4">
        <v>0.42120000000000002</v>
      </c>
      <c r="BG13" s="4">
        <v>0.32669999999999999</v>
      </c>
      <c r="BH13" s="4">
        <v>0</v>
      </c>
      <c r="BI13" s="4">
        <v>0</v>
      </c>
    </row>
    <row r="14" spans="1:61" x14ac:dyDescent="0.35">
      <c r="A14" s="2">
        <v>23</v>
      </c>
      <c r="B14" s="4">
        <v>269.5</v>
      </c>
      <c r="C14" s="4">
        <v>540.71170000000006</v>
      </c>
      <c r="D14" s="4">
        <v>794.53</v>
      </c>
      <c r="E14" s="4">
        <v>108.75830000000001</v>
      </c>
      <c r="F14" s="4">
        <v>56.575000000000003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49.464399999999998</v>
      </c>
      <c r="M14" s="4">
        <v>1400.2401</v>
      </c>
      <c r="N14" s="4">
        <v>183.49600000000001</v>
      </c>
      <c r="O14" s="4">
        <v>5.6707000000000001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592.43579999999997</v>
      </c>
      <c r="W14" s="4">
        <v>2215.0612000000001</v>
      </c>
      <c r="X14" s="4">
        <v>1236.2301</v>
      </c>
      <c r="Y14" s="4">
        <v>29.687000000000001</v>
      </c>
      <c r="Z14" s="4">
        <v>3.2132000000000001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109.49510000000001</v>
      </c>
      <c r="AH14" s="4">
        <v>90.859800000000007</v>
      </c>
      <c r="AI14" s="4">
        <v>51.219499999999996</v>
      </c>
      <c r="AJ14" s="4">
        <v>7.2547999999999995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167.05510000000001</v>
      </c>
      <c r="AQ14" s="4">
        <v>139.2473</v>
      </c>
      <c r="AR14" s="4">
        <v>399.95450000000005</v>
      </c>
      <c r="AS14" s="4">
        <v>52.979500000000002</v>
      </c>
      <c r="AT14" s="4">
        <v>4.9596</v>
      </c>
      <c r="AU14" s="4">
        <v>0.22</v>
      </c>
      <c r="AV14" s="4">
        <v>0</v>
      </c>
      <c r="AW14" s="4">
        <v>0</v>
      </c>
      <c r="AX14" s="4">
        <v>0</v>
      </c>
      <c r="AY14" s="4">
        <v>0</v>
      </c>
      <c r="AZ14" s="4">
        <v>1078.4553000000001</v>
      </c>
      <c r="BA14" s="4">
        <v>4404.7554</v>
      </c>
      <c r="BB14" s="4">
        <v>2705.0704000000001</v>
      </c>
      <c r="BC14" s="4">
        <v>248.315</v>
      </c>
      <c r="BD14" s="4">
        <v>72.002600000000001</v>
      </c>
      <c r="BE14" s="4">
        <v>0.22</v>
      </c>
      <c r="BF14" s="4">
        <v>0</v>
      </c>
      <c r="BG14" s="4">
        <v>0</v>
      </c>
      <c r="BH14" s="4">
        <v>0</v>
      </c>
      <c r="BI14" s="4">
        <v>0</v>
      </c>
    </row>
    <row r="15" spans="1:61" x14ac:dyDescent="0.35">
      <c r="A15" s="3">
        <v>8</v>
      </c>
      <c r="B15" s="4">
        <v>135.30000000000001</v>
      </c>
      <c r="C15" s="4">
        <v>462.86500000000001</v>
      </c>
      <c r="D15" s="4">
        <v>768.07669999999996</v>
      </c>
      <c r="E15" s="4">
        <v>108.75830000000001</v>
      </c>
      <c r="F15" s="4">
        <v>53.475000000000001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38.484000000000002</v>
      </c>
      <c r="M15" s="4">
        <v>988.39739999999995</v>
      </c>
      <c r="N15" s="4">
        <v>79.533600000000007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533.33280000000002</v>
      </c>
      <c r="W15" s="4">
        <v>1496.3154999999999</v>
      </c>
      <c r="X15" s="4">
        <v>647.45870000000002</v>
      </c>
      <c r="Y15" s="4">
        <v>23.1235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107.9218</v>
      </c>
      <c r="AH15" s="4">
        <v>89.459800000000001</v>
      </c>
      <c r="AI15" s="4">
        <v>45.296799999999998</v>
      </c>
      <c r="AJ15" s="4">
        <v>3.9308000000000001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131.1062</v>
      </c>
      <c r="AQ15" s="4">
        <v>110.14449999999999</v>
      </c>
      <c r="AR15" s="4">
        <v>291.92360000000002</v>
      </c>
      <c r="AS15" s="4">
        <v>42.302100000000003</v>
      </c>
      <c r="AT15" s="4">
        <v>3.0196000000000001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838.22299999999996</v>
      </c>
      <c r="BA15" s="4">
        <v>3165.6442000000002</v>
      </c>
      <c r="BB15" s="4">
        <v>1876.4524000000001</v>
      </c>
      <c r="BC15" s="4">
        <v>219.48069999999998</v>
      </c>
      <c r="BD15" s="4">
        <v>60.425399999999996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</row>
    <row r="16" spans="1:61" x14ac:dyDescent="0.35">
      <c r="A16" s="3">
        <v>9</v>
      </c>
      <c r="B16" s="4">
        <v>134.19999999999999</v>
      </c>
      <c r="C16" s="4">
        <v>77.846699999999998</v>
      </c>
      <c r="D16" s="4">
        <v>26.453299999999999</v>
      </c>
      <c r="E16" s="4">
        <v>0</v>
      </c>
      <c r="F16" s="4">
        <v>3.1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10.980399999999999</v>
      </c>
      <c r="M16" s="4">
        <v>411.84269999999998</v>
      </c>
      <c r="N16" s="4">
        <v>103.9624</v>
      </c>
      <c r="O16" s="4">
        <v>5.6707000000000001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59.103000000000002</v>
      </c>
      <c r="W16" s="4">
        <v>718.74570000000006</v>
      </c>
      <c r="X16" s="4">
        <v>588.77139999999997</v>
      </c>
      <c r="Y16" s="4">
        <v>6.5635000000000003</v>
      </c>
      <c r="Z16" s="4">
        <v>3.2132000000000001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1.5732999999999999</v>
      </c>
      <c r="AH16" s="4">
        <v>1.4</v>
      </c>
      <c r="AI16" s="4">
        <v>5.9226999999999999</v>
      </c>
      <c r="AJ16" s="4">
        <v>3.3239999999999998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35.948900000000002</v>
      </c>
      <c r="AQ16" s="4">
        <v>29.102799999999998</v>
      </c>
      <c r="AR16" s="4">
        <v>108.0309</v>
      </c>
      <c r="AS16" s="4">
        <v>10.6774</v>
      </c>
      <c r="AT16" s="4">
        <v>1.94</v>
      </c>
      <c r="AU16" s="4">
        <v>0.22</v>
      </c>
      <c r="AV16" s="4">
        <v>0</v>
      </c>
      <c r="AW16" s="4">
        <v>0</v>
      </c>
      <c r="AX16" s="4">
        <v>0</v>
      </c>
      <c r="AY16" s="4">
        <v>0</v>
      </c>
      <c r="AZ16" s="4">
        <v>240.23230000000001</v>
      </c>
      <c r="BA16" s="4">
        <v>1239.1112000000001</v>
      </c>
      <c r="BB16" s="4">
        <v>828.61799999999994</v>
      </c>
      <c r="BC16" s="4">
        <v>28.834299999999999</v>
      </c>
      <c r="BD16" s="4">
        <v>11.577199999999999</v>
      </c>
      <c r="BE16" s="4">
        <v>0.22</v>
      </c>
      <c r="BF16" s="4">
        <v>0</v>
      </c>
      <c r="BG16" s="4">
        <v>0</v>
      </c>
      <c r="BH16" s="4">
        <v>0</v>
      </c>
      <c r="BI16" s="4">
        <v>0</v>
      </c>
    </row>
    <row r="17" spans="1:61" x14ac:dyDescent="0.35">
      <c r="A17" s="2">
        <v>24</v>
      </c>
      <c r="B17" s="4">
        <v>841.30259999999998</v>
      </c>
      <c r="C17" s="4">
        <v>400.02530000000002</v>
      </c>
      <c r="D17" s="4">
        <v>85.529299999999992</v>
      </c>
      <c r="E17" s="4">
        <v>48.954099999999997</v>
      </c>
      <c r="F17" s="4">
        <v>5.0949999999999998</v>
      </c>
      <c r="G17" s="4">
        <v>0.54770000000000008</v>
      </c>
      <c r="H17" s="4">
        <v>0</v>
      </c>
      <c r="I17" s="4">
        <v>0.29520000000000002</v>
      </c>
      <c r="J17" s="4">
        <v>0</v>
      </c>
      <c r="K17" s="4">
        <v>0</v>
      </c>
      <c r="L17" s="4">
        <v>1475.3635999999999</v>
      </c>
      <c r="M17" s="4">
        <v>1238.6188999999999</v>
      </c>
      <c r="N17" s="4">
        <v>92.020300000000006</v>
      </c>
      <c r="O17" s="4">
        <v>42.969099999999997</v>
      </c>
      <c r="P17" s="4">
        <v>4.9077999999999999</v>
      </c>
      <c r="Q17" s="4">
        <v>1.5329999999999999</v>
      </c>
      <c r="R17" s="4">
        <v>0.24840000000000001</v>
      </c>
      <c r="S17" s="4">
        <v>0</v>
      </c>
      <c r="T17" s="4">
        <v>0</v>
      </c>
      <c r="U17" s="4">
        <v>0</v>
      </c>
      <c r="V17" s="4">
        <v>227.8845</v>
      </c>
      <c r="W17" s="4">
        <v>1591.8883000000001</v>
      </c>
      <c r="X17" s="4">
        <v>561.39260000000002</v>
      </c>
      <c r="Y17" s="4">
        <v>45.239800000000002</v>
      </c>
      <c r="Z17" s="4">
        <v>0.61549999999999994</v>
      </c>
      <c r="AA17" s="4">
        <v>1.1080999999999999</v>
      </c>
      <c r="AB17" s="4">
        <v>0.68840000000000001</v>
      </c>
      <c r="AC17" s="4">
        <v>1.0663</v>
      </c>
      <c r="AD17" s="4">
        <v>0</v>
      </c>
      <c r="AE17" s="4">
        <v>0</v>
      </c>
      <c r="AF17" s="4">
        <v>4.8677000000000001</v>
      </c>
      <c r="AG17" s="4">
        <v>0</v>
      </c>
      <c r="AH17" s="4">
        <v>972.61170000000004</v>
      </c>
      <c r="AI17" s="4">
        <v>611.99670000000003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126.87180000000001</v>
      </c>
      <c r="AQ17" s="4">
        <v>605.95929999999998</v>
      </c>
      <c r="AR17" s="4">
        <v>566.17229999999995</v>
      </c>
      <c r="AS17" s="4">
        <v>349.13130000000001</v>
      </c>
      <c r="AT17" s="4">
        <v>143.04059999999998</v>
      </c>
      <c r="AU17" s="4">
        <v>15.191600000000001</v>
      </c>
      <c r="AV17" s="4">
        <v>4.7768999999999995</v>
      </c>
      <c r="AW17" s="4">
        <v>0</v>
      </c>
      <c r="AX17" s="4">
        <v>0</v>
      </c>
      <c r="AY17" s="4">
        <v>0</v>
      </c>
      <c r="AZ17" s="4">
        <v>2676.2901999999995</v>
      </c>
      <c r="BA17" s="4">
        <v>3836.4918000000007</v>
      </c>
      <c r="BB17" s="4">
        <v>2277.7262000000001</v>
      </c>
      <c r="BC17" s="4">
        <v>1098.2909999999999</v>
      </c>
      <c r="BD17" s="4">
        <v>153.65889999999999</v>
      </c>
      <c r="BE17" s="4">
        <v>18.380400000000002</v>
      </c>
      <c r="BF17" s="4">
        <v>5.7137000000000002</v>
      </c>
      <c r="BG17" s="4">
        <v>1.3614999999999999</v>
      </c>
      <c r="BH17" s="4">
        <v>0</v>
      </c>
      <c r="BI17" s="4">
        <v>0</v>
      </c>
    </row>
    <row r="18" spans="1:61" x14ac:dyDescent="0.35">
      <c r="A18" s="3">
        <v>8</v>
      </c>
      <c r="B18" s="4">
        <v>20.453800000000001</v>
      </c>
      <c r="C18" s="4">
        <v>13.245900000000001</v>
      </c>
      <c r="D18" s="4">
        <v>7.0267999999999997</v>
      </c>
      <c r="E18" s="4">
        <v>3.7299000000000002</v>
      </c>
      <c r="F18" s="4">
        <v>0.39389999999999997</v>
      </c>
      <c r="G18" s="4">
        <v>2.3E-2</v>
      </c>
      <c r="H18" s="4">
        <v>0</v>
      </c>
      <c r="I18" s="4">
        <v>0</v>
      </c>
      <c r="J18" s="4">
        <v>0</v>
      </c>
      <c r="K18" s="4">
        <v>0</v>
      </c>
      <c r="L18" s="4">
        <v>22.2194</v>
      </c>
      <c r="M18" s="4">
        <v>103.5401</v>
      </c>
      <c r="N18" s="4">
        <v>15.410500000000001</v>
      </c>
      <c r="O18" s="4">
        <v>11.214399999999999</v>
      </c>
      <c r="P18" s="4">
        <v>1.2747999999999999</v>
      </c>
      <c r="Q18" s="4">
        <v>0.39279999999999998</v>
      </c>
      <c r="R18" s="4">
        <v>8.3500000000000005E-2</v>
      </c>
      <c r="S18" s="4">
        <v>0</v>
      </c>
      <c r="T18" s="4">
        <v>0</v>
      </c>
      <c r="U18" s="4">
        <v>0</v>
      </c>
      <c r="V18" s="4">
        <v>20.4222</v>
      </c>
      <c r="W18" s="4">
        <v>68.544399999999996</v>
      </c>
      <c r="X18" s="4">
        <v>23.2957</v>
      </c>
      <c r="Y18" s="4">
        <v>2.3369</v>
      </c>
      <c r="Z18" s="4">
        <v>3.5200000000000002E-2</v>
      </c>
      <c r="AA18" s="4">
        <v>3.3700000000000001E-2</v>
      </c>
      <c r="AB18" s="4">
        <v>1.61E-2</v>
      </c>
      <c r="AC18" s="4">
        <v>3.3799999999999997E-2</v>
      </c>
      <c r="AD18" s="4">
        <v>0</v>
      </c>
      <c r="AE18" s="4">
        <v>0</v>
      </c>
      <c r="AF18" s="4">
        <v>0</v>
      </c>
      <c r="AG18" s="4">
        <v>0</v>
      </c>
      <c r="AH18" s="4">
        <v>18.312000000000001</v>
      </c>
      <c r="AI18" s="4">
        <v>26.16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53.046199999999999</v>
      </c>
      <c r="AQ18" s="4">
        <v>53.099499999999999</v>
      </c>
      <c r="AR18" s="4">
        <v>11.5084</v>
      </c>
      <c r="AS18" s="4">
        <v>10.421900000000001</v>
      </c>
      <c r="AT18" s="4">
        <v>10.348100000000001</v>
      </c>
      <c r="AU18" s="4">
        <v>1.2068000000000001</v>
      </c>
      <c r="AV18" s="4">
        <v>0.36899999999999999</v>
      </c>
      <c r="AW18" s="4">
        <v>0</v>
      </c>
      <c r="AX18" s="4">
        <v>0</v>
      </c>
      <c r="AY18" s="4">
        <v>0</v>
      </c>
      <c r="AZ18" s="4">
        <v>116.1416</v>
      </c>
      <c r="BA18" s="4">
        <v>238.4299</v>
      </c>
      <c r="BB18" s="4">
        <v>75.553399999999996</v>
      </c>
      <c r="BC18" s="4">
        <v>53.863099999999996</v>
      </c>
      <c r="BD18" s="4">
        <v>12.052</v>
      </c>
      <c r="BE18" s="4">
        <v>1.6563000000000001</v>
      </c>
      <c r="BF18" s="4">
        <v>0.46860000000000002</v>
      </c>
      <c r="BG18" s="4">
        <v>3.3799999999999997E-2</v>
      </c>
      <c r="BH18" s="4">
        <v>0</v>
      </c>
      <c r="BI18" s="4">
        <v>0</v>
      </c>
    </row>
    <row r="19" spans="1:61" x14ac:dyDescent="0.35">
      <c r="A19" s="3">
        <v>9</v>
      </c>
      <c r="B19" s="4">
        <v>91.211799999999997</v>
      </c>
      <c r="C19" s="4">
        <v>25.1845</v>
      </c>
      <c r="D19" s="4">
        <v>10.0014</v>
      </c>
      <c r="E19" s="4">
        <v>5.8097000000000003</v>
      </c>
      <c r="F19" s="4">
        <v>0.66100000000000003</v>
      </c>
      <c r="G19" s="4">
        <v>6.2199999999999998E-2</v>
      </c>
      <c r="H19" s="4">
        <v>0</v>
      </c>
      <c r="I19" s="4">
        <v>0</v>
      </c>
      <c r="J19" s="4">
        <v>0</v>
      </c>
      <c r="K19" s="4">
        <v>0</v>
      </c>
      <c r="L19" s="4">
        <v>447.41980000000001</v>
      </c>
      <c r="M19" s="4">
        <v>253.517</v>
      </c>
      <c r="N19" s="4">
        <v>16.0808</v>
      </c>
      <c r="O19" s="4">
        <v>6.6162000000000001</v>
      </c>
      <c r="P19" s="4">
        <v>0.71120000000000005</v>
      </c>
      <c r="Q19" s="4">
        <v>0.1552</v>
      </c>
      <c r="R19" s="4">
        <v>0</v>
      </c>
      <c r="S19" s="4">
        <v>0</v>
      </c>
      <c r="T19" s="4">
        <v>0</v>
      </c>
      <c r="U19" s="4">
        <v>0</v>
      </c>
      <c r="V19" s="4">
        <v>16.854700000000001</v>
      </c>
      <c r="W19" s="4">
        <v>155</v>
      </c>
      <c r="X19" s="4">
        <v>56.7042</v>
      </c>
      <c r="Y19" s="4">
        <v>4.9557000000000002</v>
      </c>
      <c r="Z19" s="4">
        <v>3.8800000000000001E-2</v>
      </c>
      <c r="AA19" s="4">
        <v>7.1900000000000006E-2</v>
      </c>
      <c r="AB19" s="4">
        <v>4.3099999999999999E-2</v>
      </c>
      <c r="AC19" s="4">
        <v>0.1464</v>
      </c>
      <c r="AD19" s="4">
        <v>0</v>
      </c>
      <c r="AE19" s="4">
        <v>0</v>
      </c>
      <c r="AF19" s="4">
        <v>0.73329999999999995</v>
      </c>
      <c r="AG19" s="4">
        <v>0</v>
      </c>
      <c r="AH19" s="4">
        <v>211.8587</v>
      </c>
      <c r="AI19" s="4">
        <v>116.2617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50.02</v>
      </c>
      <c r="AQ19" s="4">
        <v>172.2311</v>
      </c>
      <c r="AR19" s="4">
        <v>126.18989999999999</v>
      </c>
      <c r="AS19" s="4">
        <v>85.375799999999998</v>
      </c>
      <c r="AT19" s="4">
        <v>30.677199999999999</v>
      </c>
      <c r="AU19" s="4">
        <v>2.7296</v>
      </c>
      <c r="AV19" s="4">
        <v>0.8911</v>
      </c>
      <c r="AW19" s="4">
        <v>0</v>
      </c>
      <c r="AX19" s="4">
        <v>0</v>
      </c>
      <c r="AY19" s="4">
        <v>0</v>
      </c>
      <c r="AZ19" s="4">
        <v>606.2396</v>
      </c>
      <c r="BA19" s="4">
        <v>605.93259999999998</v>
      </c>
      <c r="BB19" s="4">
        <v>420.83500000000004</v>
      </c>
      <c r="BC19" s="4">
        <v>219.01910000000001</v>
      </c>
      <c r="BD19" s="4">
        <v>32.088200000000001</v>
      </c>
      <c r="BE19" s="4">
        <v>3.0188999999999999</v>
      </c>
      <c r="BF19" s="4">
        <v>0.93420000000000003</v>
      </c>
      <c r="BG19" s="4">
        <v>0.1464</v>
      </c>
      <c r="BH19" s="4">
        <v>0</v>
      </c>
      <c r="BI19" s="4">
        <v>0</v>
      </c>
    </row>
    <row r="20" spans="1:61" x14ac:dyDescent="0.35">
      <c r="A20" s="3">
        <v>10</v>
      </c>
      <c r="B20" s="4">
        <v>729.63699999999994</v>
      </c>
      <c r="C20" s="4">
        <v>361.5949</v>
      </c>
      <c r="D20" s="4">
        <v>68.501099999999994</v>
      </c>
      <c r="E20" s="4">
        <v>39.414499999999997</v>
      </c>
      <c r="F20" s="4">
        <v>4.0400999999999998</v>
      </c>
      <c r="G20" s="4">
        <v>0.46250000000000002</v>
      </c>
      <c r="H20" s="4">
        <v>0</v>
      </c>
      <c r="I20" s="4">
        <v>0.29520000000000002</v>
      </c>
      <c r="J20" s="4">
        <v>0</v>
      </c>
      <c r="K20" s="4">
        <v>0</v>
      </c>
      <c r="L20" s="4">
        <v>1005.7243999999999</v>
      </c>
      <c r="M20" s="4">
        <v>881.56179999999995</v>
      </c>
      <c r="N20" s="4">
        <v>60.529000000000003</v>
      </c>
      <c r="O20" s="4">
        <v>25.138500000000001</v>
      </c>
      <c r="P20" s="4">
        <v>2.9218000000000002</v>
      </c>
      <c r="Q20" s="4">
        <v>0.98499999999999999</v>
      </c>
      <c r="R20" s="4">
        <v>0.16489999999999999</v>
      </c>
      <c r="S20" s="4">
        <v>0</v>
      </c>
      <c r="T20" s="4">
        <v>0</v>
      </c>
      <c r="U20" s="4">
        <v>0</v>
      </c>
      <c r="V20" s="4">
        <v>190.60759999999999</v>
      </c>
      <c r="W20" s="4">
        <v>1368.3439000000001</v>
      </c>
      <c r="X20" s="4">
        <v>481.39269999999999</v>
      </c>
      <c r="Y20" s="4">
        <v>37.947200000000002</v>
      </c>
      <c r="Z20" s="4">
        <v>0.54149999999999998</v>
      </c>
      <c r="AA20" s="4">
        <v>1.0024999999999999</v>
      </c>
      <c r="AB20" s="4">
        <v>0.62919999999999998</v>
      </c>
      <c r="AC20" s="4">
        <v>0.8861</v>
      </c>
      <c r="AD20" s="4">
        <v>0</v>
      </c>
      <c r="AE20" s="4">
        <v>0</v>
      </c>
      <c r="AF20" s="4">
        <v>4.1344000000000003</v>
      </c>
      <c r="AG20" s="4">
        <v>0</v>
      </c>
      <c r="AH20" s="4">
        <v>742.44100000000003</v>
      </c>
      <c r="AI20" s="4">
        <v>469.57499999999999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23.805599999999998</v>
      </c>
      <c r="AQ20" s="4">
        <v>380.62869999999998</v>
      </c>
      <c r="AR20" s="4">
        <v>428.47399999999999</v>
      </c>
      <c r="AS20" s="4">
        <v>253.33359999999999</v>
      </c>
      <c r="AT20" s="4">
        <v>102.0153</v>
      </c>
      <c r="AU20" s="4">
        <v>11.2552</v>
      </c>
      <c r="AV20" s="4">
        <v>3.5167999999999999</v>
      </c>
      <c r="AW20" s="4">
        <v>0</v>
      </c>
      <c r="AX20" s="4">
        <v>0</v>
      </c>
      <c r="AY20" s="4">
        <v>0</v>
      </c>
      <c r="AZ20" s="4">
        <v>1953.9089999999997</v>
      </c>
      <c r="BA20" s="4">
        <v>2992.1293000000005</v>
      </c>
      <c r="BB20" s="4">
        <v>1781.3378</v>
      </c>
      <c r="BC20" s="4">
        <v>825.40879999999993</v>
      </c>
      <c r="BD20" s="4">
        <v>109.5187</v>
      </c>
      <c r="BE20" s="4">
        <v>13.705200000000001</v>
      </c>
      <c r="BF20" s="4">
        <v>4.3109000000000002</v>
      </c>
      <c r="BG20" s="4">
        <v>1.1813</v>
      </c>
      <c r="BH20" s="4">
        <v>0</v>
      </c>
      <c r="BI20" s="4">
        <v>0</v>
      </c>
    </row>
    <row r="21" spans="1:61" x14ac:dyDescent="0.35">
      <c r="A21" s="2">
        <v>25</v>
      </c>
      <c r="B21" s="4">
        <v>75.403400000000005</v>
      </c>
      <c r="C21" s="4">
        <v>3160.1047000000003</v>
      </c>
      <c r="D21" s="4">
        <v>2128.4056</v>
      </c>
      <c r="E21" s="4">
        <v>766.15140000000008</v>
      </c>
      <c r="F21" s="4">
        <v>200.82410000000002</v>
      </c>
      <c r="G21" s="4">
        <v>90.590500000000006</v>
      </c>
      <c r="H21" s="4">
        <v>15.480399999999999</v>
      </c>
      <c r="I21" s="4">
        <v>2.0735999999999999</v>
      </c>
      <c r="J21" s="4">
        <v>0.18099999999999999</v>
      </c>
      <c r="K21" s="4">
        <v>0.2334</v>
      </c>
      <c r="L21" s="4">
        <v>111.4892</v>
      </c>
      <c r="M21" s="4">
        <v>1407.5238999999997</v>
      </c>
      <c r="N21" s="4">
        <v>1504.624</v>
      </c>
      <c r="O21" s="4">
        <v>1563.3011000000001</v>
      </c>
      <c r="P21" s="4">
        <v>767.68399999999997</v>
      </c>
      <c r="Q21" s="4">
        <v>193.98159999999999</v>
      </c>
      <c r="R21" s="4">
        <v>42.781100000000002</v>
      </c>
      <c r="S21" s="4">
        <v>12.861599999999999</v>
      </c>
      <c r="T21" s="4">
        <v>3.6054999999999997</v>
      </c>
      <c r="U21" s="4">
        <v>0.59650000000000003</v>
      </c>
      <c r="V21" s="4">
        <v>15.217600000000001</v>
      </c>
      <c r="W21" s="4">
        <v>958.43219999999997</v>
      </c>
      <c r="X21" s="4">
        <v>3425.7160000000003</v>
      </c>
      <c r="Y21" s="4">
        <v>1096.7033000000001</v>
      </c>
      <c r="Z21" s="4">
        <v>120.83940000000001</v>
      </c>
      <c r="AA21" s="4">
        <v>21.448399999999999</v>
      </c>
      <c r="AB21" s="4">
        <v>1.5510000000000002</v>
      </c>
      <c r="AC21" s="4">
        <v>0</v>
      </c>
      <c r="AD21" s="4">
        <v>0.19820000000000002</v>
      </c>
      <c r="AE21" s="4">
        <v>0</v>
      </c>
      <c r="AF21" s="4">
        <v>17.4786</v>
      </c>
      <c r="AG21" s="4">
        <v>1394.3408999999999</v>
      </c>
      <c r="AH21" s="4">
        <v>2476.9414999999999</v>
      </c>
      <c r="AI21" s="4">
        <v>1269.0864999999999</v>
      </c>
      <c r="AJ21" s="4">
        <v>127.0903</v>
      </c>
      <c r="AK21" s="4">
        <v>7.8280000000000012</v>
      </c>
      <c r="AL21" s="4">
        <v>2.6223000000000001</v>
      </c>
      <c r="AM21" s="4">
        <v>1.0373000000000001</v>
      </c>
      <c r="AN21" s="4">
        <v>0</v>
      </c>
      <c r="AO21" s="4">
        <v>0</v>
      </c>
      <c r="AP21" s="4">
        <v>61.980899999999998</v>
      </c>
      <c r="AQ21" s="4">
        <v>517.53800000000001</v>
      </c>
      <c r="AR21" s="4">
        <v>1071.2221</v>
      </c>
      <c r="AS21" s="4">
        <v>626.42000000000007</v>
      </c>
      <c r="AT21" s="4">
        <v>158.08080000000001</v>
      </c>
      <c r="AU21" s="4">
        <v>26.282700000000002</v>
      </c>
      <c r="AV21" s="4">
        <v>1.9787000000000001</v>
      </c>
      <c r="AW21" s="4">
        <v>0.42310000000000003</v>
      </c>
      <c r="AX21" s="4">
        <v>0</v>
      </c>
      <c r="AY21" s="4">
        <v>0</v>
      </c>
      <c r="AZ21" s="4">
        <v>281.56969999999995</v>
      </c>
      <c r="BA21" s="4">
        <v>7437.939699999999</v>
      </c>
      <c r="BB21" s="4">
        <v>10606.9092</v>
      </c>
      <c r="BC21" s="4">
        <v>5321.6623</v>
      </c>
      <c r="BD21" s="4">
        <v>1374.5186000000001</v>
      </c>
      <c r="BE21" s="4">
        <v>340.13120000000004</v>
      </c>
      <c r="BF21" s="4">
        <v>64.413499999999999</v>
      </c>
      <c r="BG21" s="4">
        <v>16.395599999999998</v>
      </c>
      <c r="BH21" s="4">
        <v>3.9847000000000001</v>
      </c>
      <c r="BI21" s="4">
        <v>0.82990000000000008</v>
      </c>
    </row>
    <row r="22" spans="1:61" x14ac:dyDescent="0.35">
      <c r="A22" s="3">
        <v>9</v>
      </c>
      <c r="B22" s="4">
        <v>3.0468000000000002</v>
      </c>
      <c r="C22" s="4">
        <v>184.9486</v>
      </c>
      <c r="D22" s="4">
        <v>167.5027</v>
      </c>
      <c r="E22" s="4">
        <v>68.796599999999998</v>
      </c>
      <c r="F22" s="4">
        <v>12.8512</v>
      </c>
      <c r="G22" s="4">
        <v>6.2415000000000003</v>
      </c>
      <c r="H22" s="4">
        <v>0.7873</v>
      </c>
      <c r="I22" s="4">
        <v>1.3599999999999999E-2</v>
      </c>
      <c r="J22" s="4">
        <v>2.5999999999999999E-2</v>
      </c>
      <c r="K22" s="4">
        <v>0</v>
      </c>
      <c r="L22" s="4">
        <v>0.69020000000000004</v>
      </c>
      <c r="M22" s="4">
        <v>2.9866000000000001</v>
      </c>
      <c r="N22" s="4">
        <v>14.5219</v>
      </c>
      <c r="O22" s="4">
        <v>16.799099999999999</v>
      </c>
      <c r="P22" s="4">
        <v>14.96</v>
      </c>
      <c r="Q22" s="4">
        <v>5.9317000000000002</v>
      </c>
      <c r="R22" s="4">
        <v>1.8263</v>
      </c>
      <c r="S22" s="4">
        <v>0.69820000000000004</v>
      </c>
      <c r="T22" s="4">
        <v>0.187</v>
      </c>
      <c r="U22" s="4">
        <v>1.4200000000000001E-2</v>
      </c>
      <c r="V22" s="4">
        <v>0.5</v>
      </c>
      <c r="W22" s="4">
        <v>26.114000000000001</v>
      </c>
      <c r="X22" s="4">
        <v>417.65550000000002</v>
      </c>
      <c r="Y22" s="4">
        <v>134.82849999999999</v>
      </c>
      <c r="Z22" s="4">
        <v>11.1174</v>
      </c>
      <c r="AA22" s="4">
        <v>1.631</v>
      </c>
      <c r="AB22" s="4">
        <v>0.15359999999999999</v>
      </c>
      <c r="AC22" s="4">
        <v>0</v>
      </c>
      <c r="AD22" s="4">
        <v>0</v>
      </c>
      <c r="AE22" s="4">
        <v>0</v>
      </c>
      <c r="AF22" s="4">
        <v>0.33329999999999999</v>
      </c>
      <c r="AG22" s="4">
        <v>7.6231</v>
      </c>
      <c r="AH22" s="4">
        <v>169.2835</v>
      </c>
      <c r="AI22" s="4">
        <v>149.62690000000001</v>
      </c>
      <c r="AJ22" s="4">
        <v>13.964700000000001</v>
      </c>
      <c r="AK22" s="4">
        <v>0.74009999999999998</v>
      </c>
      <c r="AL22" s="4">
        <v>0.20619999999999999</v>
      </c>
      <c r="AM22" s="4">
        <v>5.5599999999999997E-2</v>
      </c>
      <c r="AN22" s="4">
        <v>0</v>
      </c>
      <c r="AO22" s="4">
        <v>0</v>
      </c>
      <c r="AP22" s="4">
        <v>6.9603999999999999</v>
      </c>
      <c r="AQ22" s="4">
        <v>12.3203</v>
      </c>
      <c r="AR22" s="4">
        <v>84.109700000000004</v>
      </c>
      <c r="AS22" s="4">
        <v>59.264800000000001</v>
      </c>
      <c r="AT22" s="4">
        <v>11.2986</v>
      </c>
      <c r="AU22" s="4">
        <v>1.6085</v>
      </c>
      <c r="AV22" s="4">
        <v>4.7600000000000003E-2</v>
      </c>
      <c r="AW22" s="4">
        <v>3.3000000000000002E-2</v>
      </c>
      <c r="AX22" s="4">
        <v>0</v>
      </c>
      <c r="AY22" s="4">
        <v>0</v>
      </c>
      <c r="AZ22" s="4">
        <v>11.5307</v>
      </c>
      <c r="BA22" s="4">
        <v>233.99260000000001</v>
      </c>
      <c r="BB22" s="4">
        <v>853.07330000000002</v>
      </c>
      <c r="BC22" s="4">
        <v>429.3159</v>
      </c>
      <c r="BD22" s="4">
        <v>64.191900000000004</v>
      </c>
      <c r="BE22" s="4">
        <v>16.152800000000003</v>
      </c>
      <c r="BF22" s="4">
        <v>3.0209999999999999</v>
      </c>
      <c r="BG22" s="4">
        <v>0.8004</v>
      </c>
      <c r="BH22" s="4">
        <v>0.21299999999999999</v>
      </c>
      <c r="BI22" s="4">
        <v>1.4200000000000001E-2</v>
      </c>
    </row>
    <row r="23" spans="1:61" x14ac:dyDescent="0.35">
      <c r="A23" s="3">
        <v>10</v>
      </c>
      <c r="B23" s="4">
        <v>50.839100000000002</v>
      </c>
      <c r="C23" s="4">
        <v>2206.7676999999999</v>
      </c>
      <c r="D23" s="4">
        <v>1194.1274000000001</v>
      </c>
      <c r="E23" s="4">
        <v>347.96420000000001</v>
      </c>
      <c r="F23" s="4">
        <v>73.318899999999999</v>
      </c>
      <c r="G23" s="4">
        <v>33.474800000000002</v>
      </c>
      <c r="H23" s="4">
        <v>5.0063000000000004</v>
      </c>
      <c r="I23" s="4">
        <v>0.42049999999999998</v>
      </c>
      <c r="J23" s="4">
        <v>2.6700000000000002E-2</v>
      </c>
      <c r="K23" s="4">
        <v>0</v>
      </c>
      <c r="L23" s="4">
        <v>63.417099999999998</v>
      </c>
      <c r="M23" s="4">
        <v>804.09019999999998</v>
      </c>
      <c r="N23" s="4">
        <v>802.03989999999999</v>
      </c>
      <c r="O23" s="4">
        <v>824.57360000000006</v>
      </c>
      <c r="P23" s="4">
        <v>374.91230000000002</v>
      </c>
      <c r="Q23" s="4">
        <v>85.188500000000005</v>
      </c>
      <c r="R23" s="4">
        <v>15.007199999999999</v>
      </c>
      <c r="S23" s="4">
        <v>4.2531999999999996</v>
      </c>
      <c r="T23" s="4">
        <v>1.3418000000000001</v>
      </c>
      <c r="U23" s="4">
        <v>0.1789</v>
      </c>
      <c r="V23" s="4">
        <v>7.4968000000000004</v>
      </c>
      <c r="W23" s="4">
        <v>473.18470000000002</v>
      </c>
      <c r="X23" s="4">
        <v>728.57680000000005</v>
      </c>
      <c r="Y23" s="4">
        <v>181.3218</v>
      </c>
      <c r="Z23" s="4">
        <v>20.287099999999999</v>
      </c>
      <c r="AA23" s="4">
        <v>3.5602999999999998</v>
      </c>
      <c r="AB23" s="4">
        <v>0.2535</v>
      </c>
      <c r="AC23" s="4">
        <v>0</v>
      </c>
      <c r="AD23" s="4">
        <v>3.8100000000000002E-2</v>
      </c>
      <c r="AE23" s="4">
        <v>0</v>
      </c>
      <c r="AF23" s="4">
        <v>14.610099999999999</v>
      </c>
      <c r="AG23" s="4">
        <v>812.86019999999996</v>
      </c>
      <c r="AH23" s="4">
        <v>1006.7113000000001</v>
      </c>
      <c r="AI23" s="4">
        <v>409.51100000000002</v>
      </c>
      <c r="AJ23" s="4">
        <v>44.914200000000001</v>
      </c>
      <c r="AK23" s="4">
        <v>3.1815000000000002</v>
      </c>
      <c r="AL23" s="4">
        <v>0.83560000000000001</v>
      </c>
      <c r="AM23" s="4">
        <v>0.41049999999999998</v>
      </c>
      <c r="AN23" s="4">
        <v>0</v>
      </c>
      <c r="AO23" s="4">
        <v>0</v>
      </c>
      <c r="AP23" s="4">
        <v>37.144599999999997</v>
      </c>
      <c r="AQ23" s="4">
        <v>254.0686</v>
      </c>
      <c r="AR23" s="4">
        <v>294.06970000000001</v>
      </c>
      <c r="AS23" s="4">
        <v>110.0476</v>
      </c>
      <c r="AT23" s="4">
        <v>25.7605</v>
      </c>
      <c r="AU23" s="4">
        <v>4.1820000000000004</v>
      </c>
      <c r="AV23" s="4">
        <v>0.45040000000000002</v>
      </c>
      <c r="AW23" s="4">
        <v>6.0299999999999999E-2</v>
      </c>
      <c r="AX23" s="4">
        <v>0</v>
      </c>
      <c r="AY23" s="4">
        <v>0</v>
      </c>
      <c r="AZ23" s="4">
        <v>173.5077</v>
      </c>
      <c r="BA23" s="4">
        <v>4550.9713999999994</v>
      </c>
      <c r="BB23" s="4">
        <v>4025.5250999999998</v>
      </c>
      <c r="BC23" s="4">
        <v>1873.4182000000001</v>
      </c>
      <c r="BD23" s="4">
        <v>539.19299999999998</v>
      </c>
      <c r="BE23" s="4">
        <v>129.58709999999999</v>
      </c>
      <c r="BF23" s="4">
        <v>21.552999999999997</v>
      </c>
      <c r="BG23" s="4">
        <v>5.144499999999999</v>
      </c>
      <c r="BH23" s="4">
        <v>1.4066000000000001</v>
      </c>
      <c r="BI23" s="4">
        <v>0.1789</v>
      </c>
    </row>
    <row r="24" spans="1:61" x14ac:dyDescent="0.35">
      <c r="A24" s="3">
        <v>11</v>
      </c>
      <c r="B24" s="4">
        <v>15.3269</v>
      </c>
      <c r="C24" s="4">
        <v>662.79819999999995</v>
      </c>
      <c r="D24" s="4">
        <v>562.33429999999998</v>
      </c>
      <c r="E24" s="4">
        <v>229.49629999999999</v>
      </c>
      <c r="F24" s="4">
        <v>67.850800000000007</v>
      </c>
      <c r="G24" s="4">
        <v>29.787800000000001</v>
      </c>
      <c r="H24" s="4">
        <v>5.63</v>
      </c>
      <c r="I24" s="4">
        <v>1.0615000000000001</v>
      </c>
      <c r="J24" s="4">
        <v>0.11310000000000001</v>
      </c>
      <c r="K24" s="4">
        <v>0.2334</v>
      </c>
      <c r="L24" s="4">
        <v>44.234200000000001</v>
      </c>
      <c r="M24" s="4">
        <v>566.81179999999995</v>
      </c>
      <c r="N24" s="4">
        <v>615.48739999999998</v>
      </c>
      <c r="O24" s="4">
        <v>633.12530000000004</v>
      </c>
      <c r="P24" s="4">
        <v>315.09780000000001</v>
      </c>
      <c r="Q24" s="4">
        <v>81.919899999999998</v>
      </c>
      <c r="R24" s="4">
        <v>19.2973</v>
      </c>
      <c r="S24" s="4">
        <v>5.6360999999999999</v>
      </c>
      <c r="T24" s="4">
        <v>1.6400999999999999</v>
      </c>
      <c r="U24" s="4">
        <v>0.32240000000000002</v>
      </c>
      <c r="V24" s="4">
        <v>5.0511999999999997</v>
      </c>
      <c r="W24" s="4">
        <v>291.58499999999998</v>
      </c>
      <c r="X24" s="4">
        <v>963.89750000000004</v>
      </c>
      <c r="Y24" s="4">
        <v>257.20089999999999</v>
      </c>
      <c r="Z24" s="4">
        <v>28.783100000000001</v>
      </c>
      <c r="AA24" s="4">
        <v>5.2507000000000001</v>
      </c>
      <c r="AB24" s="4">
        <v>0.3992</v>
      </c>
      <c r="AC24" s="4">
        <v>0</v>
      </c>
      <c r="AD24" s="4">
        <v>7.3700000000000002E-2</v>
      </c>
      <c r="AE24" s="4">
        <v>0</v>
      </c>
      <c r="AF24" s="4">
        <v>2.4045000000000001</v>
      </c>
      <c r="AG24" s="4">
        <v>471.30650000000003</v>
      </c>
      <c r="AH24" s="4">
        <v>741.42529999999999</v>
      </c>
      <c r="AI24" s="4">
        <v>337.77870000000001</v>
      </c>
      <c r="AJ24" s="4">
        <v>31.090299999999999</v>
      </c>
      <c r="AK24" s="4">
        <v>1.7542</v>
      </c>
      <c r="AL24" s="4">
        <v>0.63129999999999997</v>
      </c>
      <c r="AM24" s="4">
        <v>0.16089999999999999</v>
      </c>
      <c r="AN24" s="4">
        <v>0</v>
      </c>
      <c r="AO24" s="4">
        <v>0</v>
      </c>
      <c r="AP24" s="4">
        <v>17.157800000000002</v>
      </c>
      <c r="AQ24" s="4">
        <v>201.4282</v>
      </c>
      <c r="AR24" s="4">
        <v>416.49130000000002</v>
      </c>
      <c r="AS24" s="4">
        <v>220.46019999999999</v>
      </c>
      <c r="AT24" s="4">
        <v>51.317900000000002</v>
      </c>
      <c r="AU24" s="4">
        <v>8.2119</v>
      </c>
      <c r="AV24" s="4">
        <v>0.50670000000000004</v>
      </c>
      <c r="AW24" s="4">
        <v>5.2299999999999999E-2</v>
      </c>
      <c r="AX24" s="4">
        <v>0</v>
      </c>
      <c r="AY24" s="4">
        <v>0</v>
      </c>
      <c r="AZ24" s="4">
        <v>84.174599999999998</v>
      </c>
      <c r="BA24" s="4">
        <v>2193.9296999999997</v>
      </c>
      <c r="BB24" s="4">
        <v>3299.6358</v>
      </c>
      <c r="BC24" s="4">
        <v>1678.0614</v>
      </c>
      <c r="BD24" s="4">
        <v>494.13990000000001</v>
      </c>
      <c r="BE24" s="4">
        <v>126.92449999999999</v>
      </c>
      <c r="BF24" s="4">
        <v>26.464499999999997</v>
      </c>
      <c r="BG24" s="4">
        <v>6.9107999999999992</v>
      </c>
      <c r="BH24" s="4">
        <v>1.8269</v>
      </c>
      <c r="BI24" s="4">
        <v>0.55580000000000007</v>
      </c>
    </row>
    <row r="25" spans="1:61" x14ac:dyDescent="0.35">
      <c r="A25" s="3">
        <v>12</v>
      </c>
      <c r="B25" s="4">
        <v>6.1905999999999999</v>
      </c>
      <c r="C25" s="4">
        <v>105.5902</v>
      </c>
      <c r="D25" s="4">
        <v>204.44120000000001</v>
      </c>
      <c r="E25" s="4">
        <v>119.8943</v>
      </c>
      <c r="F25" s="4">
        <v>46.803199999999997</v>
      </c>
      <c r="G25" s="4">
        <v>21.086400000000001</v>
      </c>
      <c r="H25" s="4">
        <v>4.0568</v>
      </c>
      <c r="I25" s="4">
        <v>0.57799999999999996</v>
      </c>
      <c r="J25" s="4">
        <v>1.52E-2</v>
      </c>
      <c r="K25" s="4">
        <v>0</v>
      </c>
      <c r="L25" s="4">
        <v>3.1476999999999999</v>
      </c>
      <c r="M25" s="4">
        <v>33.635300000000001</v>
      </c>
      <c r="N25" s="4">
        <v>72.574799999999996</v>
      </c>
      <c r="O25" s="4">
        <v>88.803100000000001</v>
      </c>
      <c r="P25" s="4">
        <v>62.713900000000002</v>
      </c>
      <c r="Q25" s="4">
        <v>20.941500000000001</v>
      </c>
      <c r="R25" s="4">
        <v>6.6502999999999997</v>
      </c>
      <c r="S25" s="4">
        <v>2.2740999999999998</v>
      </c>
      <c r="T25" s="4">
        <v>0.43659999999999999</v>
      </c>
      <c r="U25" s="4">
        <v>8.1000000000000003E-2</v>
      </c>
      <c r="V25" s="4">
        <v>2.1696</v>
      </c>
      <c r="W25" s="4">
        <v>167.54849999999999</v>
      </c>
      <c r="X25" s="4">
        <v>1315.5862</v>
      </c>
      <c r="Y25" s="4">
        <v>523.35209999999995</v>
      </c>
      <c r="Z25" s="4">
        <v>60.651800000000001</v>
      </c>
      <c r="AA25" s="4">
        <v>11.006399999999999</v>
      </c>
      <c r="AB25" s="4">
        <v>0.74470000000000003</v>
      </c>
      <c r="AC25" s="4">
        <v>0</v>
      </c>
      <c r="AD25" s="4">
        <v>8.6400000000000005E-2</v>
      </c>
      <c r="AE25" s="4">
        <v>0</v>
      </c>
      <c r="AF25" s="4">
        <v>0.13070000000000001</v>
      </c>
      <c r="AG25" s="4">
        <v>102.55110000000001</v>
      </c>
      <c r="AH25" s="4">
        <v>559.52139999999997</v>
      </c>
      <c r="AI25" s="4">
        <v>372.16989999999998</v>
      </c>
      <c r="AJ25" s="4">
        <v>37.121099999999998</v>
      </c>
      <c r="AK25" s="4">
        <v>2.1522000000000001</v>
      </c>
      <c r="AL25" s="4">
        <v>0.94920000000000004</v>
      </c>
      <c r="AM25" s="4">
        <v>0.4103</v>
      </c>
      <c r="AN25" s="4">
        <v>0</v>
      </c>
      <c r="AO25" s="4">
        <v>0</v>
      </c>
      <c r="AP25" s="4">
        <v>0.71809999999999996</v>
      </c>
      <c r="AQ25" s="4">
        <v>49.7209</v>
      </c>
      <c r="AR25" s="4">
        <v>276.5514</v>
      </c>
      <c r="AS25" s="4">
        <v>236.6474</v>
      </c>
      <c r="AT25" s="4">
        <v>69.703800000000001</v>
      </c>
      <c r="AU25" s="4">
        <v>12.2803</v>
      </c>
      <c r="AV25" s="4">
        <v>0.97399999999999998</v>
      </c>
      <c r="AW25" s="4">
        <v>0.27750000000000002</v>
      </c>
      <c r="AX25" s="4">
        <v>0</v>
      </c>
      <c r="AY25" s="4">
        <v>0</v>
      </c>
      <c r="AZ25" s="4">
        <v>12.356699999999998</v>
      </c>
      <c r="BA25" s="4">
        <v>459.04600000000005</v>
      </c>
      <c r="BB25" s="4">
        <v>2428.6749999999997</v>
      </c>
      <c r="BC25" s="4">
        <v>1340.8668</v>
      </c>
      <c r="BD25" s="4">
        <v>276.99380000000002</v>
      </c>
      <c r="BE25" s="4">
        <v>67.466800000000006</v>
      </c>
      <c r="BF25" s="4">
        <v>13.375</v>
      </c>
      <c r="BG25" s="4">
        <v>3.5398999999999994</v>
      </c>
      <c r="BH25" s="4">
        <v>0.53820000000000001</v>
      </c>
      <c r="BI25" s="4">
        <v>8.1000000000000003E-2</v>
      </c>
    </row>
    <row r="26" spans="1:61" x14ac:dyDescent="0.35">
      <c r="A26" s="2">
        <v>26</v>
      </c>
      <c r="B26" s="4">
        <v>97.308000000000007</v>
      </c>
      <c r="C26" s="4">
        <v>1464.2195999999999</v>
      </c>
      <c r="D26" s="4">
        <v>1344.8009</v>
      </c>
      <c r="E26" s="4">
        <v>427.36790000000002</v>
      </c>
      <c r="F26" s="4">
        <v>165.73419999999999</v>
      </c>
      <c r="G26" s="4">
        <v>54.50719999999999</v>
      </c>
      <c r="H26" s="4">
        <v>11.1592</v>
      </c>
      <c r="I26" s="4">
        <v>6.21</v>
      </c>
      <c r="J26" s="4">
        <v>0.5081</v>
      </c>
      <c r="K26" s="4">
        <v>1.1147</v>
      </c>
      <c r="L26" s="4">
        <v>79.253699999999995</v>
      </c>
      <c r="M26" s="4">
        <v>520.97039999999993</v>
      </c>
      <c r="N26" s="4">
        <v>782.29620000000011</v>
      </c>
      <c r="O26" s="4">
        <v>383.03140000000002</v>
      </c>
      <c r="P26" s="4">
        <v>99.374299999999991</v>
      </c>
      <c r="Q26" s="4">
        <v>12.648300000000003</v>
      </c>
      <c r="R26" s="4">
        <v>0</v>
      </c>
      <c r="S26" s="4">
        <v>0</v>
      </c>
      <c r="T26" s="4">
        <v>0</v>
      </c>
      <c r="U26" s="4">
        <v>0</v>
      </c>
      <c r="V26" s="4">
        <v>23.372600000000002</v>
      </c>
      <c r="W26" s="4">
        <v>265.72629999999998</v>
      </c>
      <c r="X26" s="4">
        <v>941.12950000000001</v>
      </c>
      <c r="Y26" s="4">
        <v>551.73749999999995</v>
      </c>
      <c r="Z26" s="4">
        <v>227.6867</v>
      </c>
      <c r="AA26" s="4">
        <v>40.992999999999995</v>
      </c>
      <c r="AB26" s="4">
        <v>10.9244</v>
      </c>
      <c r="AC26" s="4">
        <v>1.0993999999999999</v>
      </c>
      <c r="AD26" s="4">
        <v>0.26669999999999999</v>
      </c>
      <c r="AE26" s="4">
        <v>0</v>
      </c>
      <c r="AF26" s="4">
        <v>20.607599999999998</v>
      </c>
      <c r="AG26" s="4">
        <v>751.46399999999994</v>
      </c>
      <c r="AH26" s="4">
        <v>1575.3475000000001</v>
      </c>
      <c r="AI26" s="4">
        <v>1075.1880999999998</v>
      </c>
      <c r="AJ26" s="4">
        <v>626.3420000000001</v>
      </c>
      <c r="AK26" s="4">
        <v>150.30439999999999</v>
      </c>
      <c r="AL26" s="4">
        <v>14.0471</v>
      </c>
      <c r="AM26" s="4">
        <v>0.35</v>
      </c>
      <c r="AN26" s="4">
        <v>3.0309999999999997</v>
      </c>
      <c r="AO26" s="4">
        <v>0</v>
      </c>
      <c r="AP26" s="4">
        <v>60.347200000000001</v>
      </c>
      <c r="AQ26" s="4">
        <v>118.31359999999999</v>
      </c>
      <c r="AR26" s="4">
        <v>500.83690000000001</v>
      </c>
      <c r="AS26" s="4">
        <v>420.84799999999996</v>
      </c>
      <c r="AT26" s="4">
        <v>282.46100000000001</v>
      </c>
      <c r="AU26" s="4">
        <v>122.19980000000001</v>
      </c>
      <c r="AV26" s="4">
        <v>21.837800000000001</v>
      </c>
      <c r="AW26" s="4">
        <v>3.5958000000000001</v>
      </c>
      <c r="AX26" s="4">
        <v>0.60839999999999994</v>
      </c>
      <c r="AY26" s="4">
        <v>0</v>
      </c>
      <c r="AZ26" s="4">
        <v>280.88910000000004</v>
      </c>
      <c r="BA26" s="4">
        <v>3120.6938999999998</v>
      </c>
      <c r="BB26" s="4">
        <v>5144.4110000000001</v>
      </c>
      <c r="BC26" s="4">
        <v>2858.1729</v>
      </c>
      <c r="BD26" s="4">
        <v>1401.5981999999999</v>
      </c>
      <c r="BE26" s="4">
        <v>380.65269999999998</v>
      </c>
      <c r="BF26" s="4">
        <v>57.968499999999999</v>
      </c>
      <c r="BG26" s="4">
        <v>11.2552</v>
      </c>
      <c r="BH26" s="4">
        <v>4.4142000000000001</v>
      </c>
      <c r="BI26" s="4">
        <v>1.1147</v>
      </c>
    </row>
    <row r="27" spans="1:61" x14ac:dyDescent="0.35">
      <c r="A27" s="3">
        <v>9</v>
      </c>
      <c r="B27" s="4">
        <v>1.0238</v>
      </c>
      <c r="C27" s="4">
        <v>28.3185</v>
      </c>
      <c r="D27" s="4">
        <v>70.0929</v>
      </c>
      <c r="E27" s="4">
        <v>22.989100000000001</v>
      </c>
      <c r="F27" s="4">
        <v>9.9558999999999997</v>
      </c>
      <c r="G27" s="4">
        <v>2.4769000000000001</v>
      </c>
      <c r="H27" s="4">
        <v>0.1142</v>
      </c>
      <c r="I27" s="4">
        <v>0.2787</v>
      </c>
      <c r="J27" s="4">
        <v>0</v>
      </c>
      <c r="K27" s="4">
        <v>0</v>
      </c>
      <c r="L27" s="4">
        <v>18.485700000000001</v>
      </c>
      <c r="M27" s="4">
        <v>60.956899999999997</v>
      </c>
      <c r="N27" s="4">
        <v>77.756399999999999</v>
      </c>
      <c r="O27" s="4">
        <v>32.886200000000002</v>
      </c>
      <c r="P27" s="4">
        <v>10.023</v>
      </c>
      <c r="Q27" s="4">
        <v>1.0918000000000001</v>
      </c>
      <c r="R27" s="4">
        <v>0</v>
      </c>
      <c r="S27" s="4">
        <v>0</v>
      </c>
      <c r="T27" s="4">
        <v>0</v>
      </c>
      <c r="U27" s="4">
        <v>0</v>
      </c>
      <c r="V27" s="4">
        <v>7.8277999999999999</v>
      </c>
      <c r="W27" s="4">
        <v>18.6859</v>
      </c>
      <c r="X27" s="4">
        <v>48.572699999999998</v>
      </c>
      <c r="Y27" s="4">
        <v>28.4635</v>
      </c>
      <c r="Z27" s="4">
        <v>11.041700000000001</v>
      </c>
      <c r="AA27" s="4">
        <v>1.9664999999999999</v>
      </c>
      <c r="AB27" s="4">
        <v>0.65300000000000002</v>
      </c>
      <c r="AC27" s="4">
        <v>0</v>
      </c>
      <c r="AD27" s="4">
        <v>0</v>
      </c>
      <c r="AE27" s="4">
        <v>0</v>
      </c>
      <c r="AF27" s="4">
        <v>2.5295999999999998</v>
      </c>
      <c r="AG27" s="4">
        <v>44.688200000000002</v>
      </c>
      <c r="AH27" s="4">
        <v>54.451700000000002</v>
      </c>
      <c r="AI27" s="4">
        <v>28.580500000000001</v>
      </c>
      <c r="AJ27" s="4">
        <v>13.0739</v>
      </c>
      <c r="AK27" s="4">
        <v>3.5303</v>
      </c>
      <c r="AL27" s="4">
        <v>0.23860000000000001</v>
      </c>
      <c r="AM27" s="4">
        <v>0</v>
      </c>
      <c r="AN27" s="4">
        <v>4.0399999999999998E-2</v>
      </c>
      <c r="AO27" s="4">
        <v>0</v>
      </c>
      <c r="AP27" s="4">
        <v>13.7265</v>
      </c>
      <c r="AQ27" s="4">
        <v>4.1921999999999997</v>
      </c>
      <c r="AR27" s="4">
        <v>6.4756999999999998</v>
      </c>
      <c r="AS27" s="4">
        <v>8.5493000000000006</v>
      </c>
      <c r="AT27" s="4">
        <v>7.7798999999999996</v>
      </c>
      <c r="AU27" s="4">
        <v>4.9507000000000003</v>
      </c>
      <c r="AV27" s="4">
        <v>0.9526</v>
      </c>
      <c r="AW27" s="4">
        <v>0.2762</v>
      </c>
      <c r="AX27" s="4">
        <v>9.6799999999999997E-2</v>
      </c>
      <c r="AY27" s="4">
        <v>0</v>
      </c>
      <c r="AZ27" s="4">
        <v>43.593400000000003</v>
      </c>
      <c r="BA27" s="4">
        <v>156.8417</v>
      </c>
      <c r="BB27" s="4">
        <v>257.3494</v>
      </c>
      <c r="BC27" s="4">
        <v>121.46860000000001</v>
      </c>
      <c r="BD27" s="4">
        <v>51.874400000000001</v>
      </c>
      <c r="BE27" s="4">
        <v>14.016200000000001</v>
      </c>
      <c r="BF27" s="4">
        <v>1.9584000000000001</v>
      </c>
      <c r="BG27" s="4">
        <v>0.55489999999999995</v>
      </c>
      <c r="BH27" s="4">
        <v>0.13719999999999999</v>
      </c>
      <c r="BI27" s="4">
        <v>0</v>
      </c>
    </row>
    <row r="28" spans="1:61" x14ac:dyDescent="0.35">
      <c r="A28" s="3">
        <v>10</v>
      </c>
      <c r="B28" s="4">
        <v>7.8827999999999996</v>
      </c>
      <c r="C28" s="4">
        <v>386.9348</v>
      </c>
      <c r="D28" s="4">
        <v>483.7672</v>
      </c>
      <c r="E28" s="4">
        <v>145.05539999999999</v>
      </c>
      <c r="F28" s="4">
        <v>48.6066</v>
      </c>
      <c r="G28" s="4">
        <v>13.5938</v>
      </c>
      <c r="H28" s="4">
        <v>1.196</v>
      </c>
      <c r="I28" s="4">
        <v>1.4612000000000001</v>
      </c>
      <c r="J28" s="4">
        <v>5.21E-2</v>
      </c>
      <c r="K28" s="4">
        <v>9.3299999999999994E-2</v>
      </c>
      <c r="L28" s="4">
        <v>55.714300000000001</v>
      </c>
      <c r="M28" s="4">
        <v>314.49619999999999</v>
      </c>
      <c r="N28" s="4">
        <v>498.1694</v>
      </c>
      <c r="O28" s="4">
        <v>250.60659999999999</v>
      </c>
      <c r="P28" s="4">
        <v>64.352099999999993</v>
      </c>
      <c r="Q28" s="4">
        <v>8.6043000000000003</v>
      </c>
      <c r="R28" s="4">
        <v>0</v>
      </c>
      <c r="S28" s="4">
        <v>0</v>
      </c>
      <c r="T28" s="4">
        <v>0</v>
      </c>
      <c r="U28" s="4">
        <v>0</v>
      </c>
      <c r="V28" s="4">
        <v>6.5845000000000002</v>
      </c>
      <c r="W28" s="4">
        <v>65.898899999999998</v>
      </c>
      <c r="X28" s="4">
        <v>230.3947</v>
      </c>
      <c r="Y28" s="4">
        <v>131.2527</v>
      </c>
      <c r="Z28" s="4">
        <v>53.0349</v>
      </c>
      <c r="AA28" s="4">
        <v>9.2098999999999993</v>
      </c>
      <c r="AB28" s="4">
        <v>2.6444000000000001</v>
      </c>
      <c r="AC28" s="4">
        <v>0.372</v>
      </c>
      <c r="AD28" s="4">
        <v>0</v>
      </c>
      <c r="AE28" s="4">
        <v>0</v>
      </c>
      <c r="AF28" s="4">
        <v>13.537699999999999</v>
      </c>
      <c r="AG28" s="4">
        <v>54.408099999999997</v>
      </c>
      <c r="AH28" s="4">
        <v>102.5322</v>
      </c>
      <c r="AI28" s="4">
        <v>75.475399999999993</v>
      </c>
      <c r="AJ28" s="4">
        <v>40.125399999999999</v>
      </c>
      <c r="AK28" s="4">
        <v>10.2691</v>
      </c>
      <c r="AL28" s="4">
        <v>0.92120000000000002</v>
      </c>
      <c r="AM28" s="4">
        <v>0.1</v>
      </c>
      <c r="AN28" s="4">
        <v>9.0899999999999995E-2</v>
      </c>
      <c r="AO28" s="4">
        <v>0</v>
      </c>
      <c r="AP28" s="4">
        <v>27.425899999999999</v>
      </c>
      <c r="AQ28" s="4">
        <v>14.7864</v>
      </c>
      <c r="AR28" s="4">
        <v>11.2788</v>
      </c>
      <c r="AS28" s="4">
        <v>10.477</v>
      </c>
      <c r="AT28" s="4">
        <v>8.1727000000000007</v>
      </c>
      <c r="AU28" s="4">
        <v>4.0989000000000004</v>
      </c>
      <c r="AV28" s="4">
        <v>0.85919999999999996</v>
      </c>
      <c r="AW28" s="4">
        <v>0.1915</v>
      </c>
      <c r="AX28" s="4">
        <v>5.9499999999999997E-2</v>
      </c>
      <c r="AY28" s="4">
        <v>0</v>
      </c>
      <c r="AZ28" s="4">
        <v>111.1452</v>
      </c>
      <c r="BA28" s="4">
        <v>836.52440000000001</v>
      </c>
      <c r="BB28" s="4">
        <v>1326.1423000000002</v>
      </c>
      <c r="BC28" s="4">
        <v>612.86710000000005</v>
      </c>
      <c r="BD28" s="4">
        <v>214.29169999999996</v>
      </c>
      <c r="BE28" s="4">
        <v>45.776000000000003</v>
      </c>
      <c r="BF28" s="4">
        <v>5.6207999999999991</v>
      </c>
      <c r="BG28" s="4">
        <v>2.1247000000000003</v>
      </c>
      <c r="BH28" s="4">
        <v>0.20249999999999999</v>
      </c>
      <c r="BI28" s="4">
        <v>9.3299999999999994E-2</v>
      </c>
    </row>
    <row r="29" spans="1:61" x14ac:dyDescent="0.35">
      <c r="A29" s="3">
        <v>11</v>
      </c>
      <c r="B29" s="4">
        <v>83.440200000000004</v>
      </c>
      <c r="C29" s="4">
        <v>882.18889999999999</v>
      </c>
      <c r="D29" s="4">
        <v>489.42669999999998</v>
      </c>
      <c r="E29" s="4">
        <v>140.50040000000001</v>
      </c>
      <c r="F29" s="4">
        <v>50.922699999999999</v>
      </c>
      <c r="G29" s="4">
        <v>15.749599999999999</v>
      </c>
      <c r="H29" s="4">
        <v>2.8902000000000001</v>
      </c>
      <c r="I29" s="4">
        <v>1.7497</v>
      </c>
      <c r="J29" s="4">
        <v>0.1716</v>
      </c>
      <c r="K29" s="4">
        <v>0.1986</v>
      </c>
      <c r="L29" s="4">
        <v>2.2139000000000002</v>
      </c>
      <c r="M29" s="4">
        <v>76.868799999999993</v>
      </c>
      <c r="N29" s="4">
        <v>88.631600000000006</v>
      </c>
      <c r="O29" s="4">
        <v>39.441600000000001</v>
      </c>
      <c r="P29" s="4">
        <v>9.5394000000000005</v>
      </c>
      <c r="Q29" s="4">
        <v>1.1647000000000001</v>
      </c>
      <c r="R29" s="4">
        <v>0</v>
      </c>
      <c r="S29" s="4">
        <v>0</v>
      </c>
      <c r="T29" s="4">
        <v>0</v>
      </c>
      <c r="U29" s="4">
        <v>0</v>
      </c>
      <c r="V29" s="4">
        <v>3.6915</v>
      </c>
      <c r="W29" s="4">
        <v>69.141000000000005</v>
      </c>
      <c r="X29" s="4">
        <v>154.7116</v>
      </c>
      <c r="Y29" s="4">
        <v>86.247100000000003</v>
      </c>
      <c r="Z29" s="4">
        <v>31.922499999999999</v>
      </c>
      <c r="AA29" s="4">
        <v>5.0561999999999996</v>
      </c>
      <c r="AB29" s="4">
        <v>1.7359</v>
      </c>
      <c r="AC29" s="4">
        <v>0.29409999999999997</v>
      </c>
      <c r="AD29" s="4">
        <v>0</v>
      </c>
      <c r="AE29" s="4">
        <v>0</v>
      </c>
      <c r="AF29" s="4">
        <v>2.8618999999999999</v>
      </c>
      <c r="AG29" s="4">
        <v>327.18650000000002</v>
      </c>
      <c r="AH29" s="4">
        <v>233.5667</v>
      </c>
      <c r="AI29" s="4">
        <v>117.6147</v>
      </c>
      <c r="AJ29" s="4">
        <v>64.657200000000003</v>
      </c>
      <c r="AK29" s="4">
        <v>13.1927</v>
      </c>
      <c r="AL29" s="4">
        <v>0.62929999999999997</v>
      </c>
      <c r="AM29" s="4">
        <v>0</v>
      </c>
      <c r="AN29" s="4">
        <v>0.1885</v>
      </c>
      <c r="AO29" s="4">
        <v>0</v>
      </c>
      <c r="AP29" s="4">
        <v>10.585699999999999</v>
      </c>
      <c r="AQ29" s="4">
        <v>54.021000000000001</v>
      </c>
      <c r="AR29" s="4">
        <v>141.5856</v>
      </c>
      <c r="AS29" s="4">
        <v>97.475999999999999</v>
      </c>
      <c r="AT29" s="4">
        <v>58.2913</v>
      </c>
      <c r="AU29" s="4">
        <v>25.4283</v>
      </c>
      <c r="AV29" s="4">
        <v>4.7241999999999997</v>
      </c>
      <c r="AW29" s="4">
        <v>0.61439999999999995</v>
      </c>
      <c r="AX29" s="4">
        <v>0.1333</v>
      </c>
      <c r="AY29" s="4">
        <v>0</v>
      </c>
      <c r="AZ29" s="4">
        <v>102.79320000000001</v>
      </c>
      <c r="BA29" s="4">
        <v>1409.4061999999999</v>
      </c>
      <c r="BB29" s="4">
        <v>1107.9222</v>
      </c>
      <c r="BC29" s="4">
        <v>481.27980000000002</v>
      </c>
      <c r="BD29" s="4">
        <v>215.33310000000003</v>
      </c>
      <c r="BE29" s="4">
        <v>60.591500000000003</v>
      </c>
      <c r="BF29" s="4">
        <v>9.9795999999999996</v>
      </c>
      <c r="BG29" s="4">
        <v>2.6581999999999999</v>
      </c>
      <c r="BH29" s="4">
        <v>0.49339999999999995</v>
      </c>
      <c r="BI29" s="4">
        <v>0.1986</v>
      </c>
    </row>
    <row r="30" spans="1:61" x14ac:dyDescent="0.35">
      <c r="A30" s="3">
        <v>12</v>
      </c>
      <c r="B30" s="4">
        <v>4.8312999999999997</v>
      </c>
      <c r="C30" s="4">
        <v>151.93209999999999</v>
      </c>
      <c r="D30" s="4">
        <v>275.73700000000002</v>
      </c>
      <c r="E30" s="4">
        <v>104.1947</v>
      </c>
      <c r="F30" s="4">
        <v>47.7898</v>
      </c>
      <c r="G30" s="4">
        <v>18.6281</v>
      </c>
      <c r="H30" s="4">
        <v>5.5807000000000002</v>
      </c>
      <c r="I30" s="4">
        <v>2.3037000000000001</v>
      </c>
      <c r="J30" s="4">
        <v>0.21129999999999999</v>
      </c>
      <c r="K30" s="4">
        <v>0.42280000000000001</v>
      </c>
      <c r="L30" s="4">
        <v>2.8397999999999999</v>
      </c>
      <c r="M30" s="4">
        <v>66.757900000000006</v>
      </c>
      <c r="N30" s="4">
        <v>110.9632</v>
      </c>
      <c r="O30" s="4">
        <v>56.334600000000002</v>
      </c>
      <c r="P30" s="4">
        <v>13.9856</v>
      </c>
      <c r="Q30" s="4">
        <v>1.6902999999999999</v>
      </c>
      <c r="R30" s="4">
        <v>0</v>
      </c>
      <c r="S30" s="4">
        <v>0</v>
      </c>
      <c r="T30" s="4">
        <v>0</v>
      </c>
      <c r="U30" s="4">
        <v>0</v>
      </c>
      <c r="V30" s="4">
        <v>1.0545</v>
      </c>
      <c r="W30" s="4">
        <v>59.8919</v>
      </c>
      <c r="X30" s="4">
        <v>187.09700000000001</v>
      </c>
      <c r="Y30" s="4">
        <v>109.0159</v>
      </c>
      <c r="Z30" s="4">
        <v>38.962899999999998</v>
      </c>
      <c r="AA30" s="4">
        <v>6.3720999999999997</v>
      </c>
      <c r="AB30" s="4">
        <v>1.6055999999999999</v>
      </c>
      <c r="AC30" s="4">
        <v>0.1</v>
      </c>
      <c r="AD30" s="4">
        <v>0.1</v>
      </c>
      <c r="AE30" s="4">
        <v>0</v>
      </c>
      <c r="AF30" s="4">
        <v>1.6783999999999999</v>
      </c>
      <c r="AG30" s="4">
        <v>198.06880000000001</v>
      </c>
      <c r="AH30" s="4">
        <v>443.61759999999998</v>
      </c>
      <c r="AI30" s="4">
        <v>251.4913</v>
      </c>
      <c r="AJ30" s="4">
        <v>145.65379999999999</v>
      </c>
      <c r="AK30" s="4">
        <v>28.7454</v>
      </c>
      <c r="AL30" s="4">
        <v>1.4291</v>
      </c>
      <c r="AM30" s="4">
        <v>0</v>
      </c>
      <c r="AN30" s="4">
        <v>0.25669999999999998</v>
      </c>
      <c r="AO30" s="4">
        <v>0</v>
      </c>
      <c r="AP30" s="4">
        <v>2.3313000000000001</v>
      </c>
      <c r="AQ30" s="4">
        <v>27.597100000000001</v>
      </c>
      <c r="AR30" s="4">
        <v>166.80529999999999</v>
      </c>
      <c r="AS30" s="4">
        <v>132.39959999999999</v>
      </c>
      <c r="AT30" s="4">
        <v>81.6661</v>
      </c>
      <c r="AU30" s="4">
        <v>35.6935</v>
      </c>
      <c r="AV30" s="4">
        <v>5.2789000000000001</v>
      </c>
      <c r="AW30" s="4">
        <v>0.67679999999999996</v>
      </c>
      <c r="AX30" s="4">
        <v>0.14019999999999999</v>
      </c>
      <c r="AY30" s="4">
        <v>0</v>
      </c>
      <c r="AZ30" s="4">
        <v>12.735300000000001</v>
      </c>
      <c r="BA30" s="4">
        <v>504.24780000000004</v>
      </c>
      <c r="BB30" s="4">
        <v>1184.2201</v>
      </c>
      <c r="BC30" s="4">
        <v>653.43610000000001</v>
      </c>
      <c r="BD30" s="4">
        <v>328.05819999999994</v>
      </c>
      <c r="BE30" s="4">
        <v>91.129400000000004</v>
      </c>
      <c r="BF30" s="4">
        <v>13.894300000000001</v>
      </c>
      <c r="BG30" s="4">
        <v>3.0805000000000002</v>
      </c>
      <c r="BH30" s="4">
        <v>0.70820000000000005</v>
      </c>
      <c r="BI30" s="4">
        <v>0.42280000000000001</v>
      </c>
    </row>
    <row r="31" spans="1:61" x14ac:dyDescent="0.35">
      <c r="A31" s="3">
        <v>13</v>
      </c>
      <c r="B31" s="4">
        <v>0.12989999999999999</v>
      </c>
      <c r="C31" s="4">
        <v>14.8453</v>
      </c>
      <c r="D31" s="4">
        <v>25.777100000000001</v>
      </c>
      <c r="E31" s="4">
        <v>14.628299999999999</v>
      </c>
      <c r="F31" s="4">
        <v>8.4591999999999992</v>
      </c>
      <c r="G31" s="4">
        <v>4.0587999999999997</v>
      </c>
      <c r="H31" s="4">
        <v>1.3781000000000001</v>
      </c>
      <c r="I31" s="4">
        <v>0.41670000000000001</v>
      </c>
      <c r="J31" s="4">
        <v>7.3099999999999998E-2</v>
      </c>
      <c r="K31" s="4">
        <v>0.4</v>
      </c>
      <c r="L31" s="4">
        <v>0</v>
      </c>
      <c r="M31" s="4">
        <v>1.8906000000000001</v>
      </c>
      <c r="N31" s="4">
        <v>6.7755999999999998</v>
      </c>
      <c r="O31" s="4">
        <v>3.7624</v>
      </c>
      <c r="P31" s="4">
        <v>1.4742</v>
      </c>
      <c r="Q31" s="4">
        <v>9.7199999999999995E-2</v>
      </c>
      <c r="R31" s="4">
        <v>0</v>
      </c>
      <c r="S31" s="4">
        <v>0</v>
      </c>
      <c r="T31" s="4">
        <v>0</v>
      </c>
      <c r="U31" s="4">
        <v>0</v>
      </c>
      <c r="V31" s="4">
        <v>0.71430000000000005</v>
      </c>
      <c r="W31" s="4">
        <v>22.894200000000001</v>
      </c>
      <c r="X31" s="4">
        <v>140.69829999999999</v>
      </c>
      <c r="Y31" s="4">
        <v>78.5261</v>
      </c>
      <c r="Z31" s="4">
        <v>33.675899999999999</v>
      </c>
      <c r="AA31" s="4">
        <v>4.9329999999999998</v>
      </c>
      <c r="AB31" s="4">
        <v>1.3915</v>
      </c>
      <c r="AC31" s="4">
        <v>0.33329999999999999</v>
      </c>
      <c r="AD31" s="4">
        <v>0.16669999999999999</v>
      </c>
      <c r="AE31" s="4">
        <v>0</v>
      </c>
      <c r="AF31" s="4">
        <v>0</v>
      </c>
      <c r="AG31" s="4">
        <v>18.069299999999998</v>
      </c>
      <c r="AH31" s="4">
        <v>138.49160000000001</v>
      </c>
      <c r="AI31" s="4">
        <v>98.906099999999995</v>
      </c>
      <c r="AJ31" s="4">
        <v>65.174599999999998</v>
      </c>
      <c r="AK31" s="4">
        <v>13.7912</v>
      </c>
      <c r="AL31" s="4">
        <v>2.4763000000000002</v>
      </c>
      <c r="AM31" s="4">
        <v>0.25</v>
      </c>
      <c r="AN31" s="4">
        <v>9.0899999999999995E-2</v>
      </c>
      <c r="AO31" s="4">
        <v>0</v>
      </c>
      <c r="AP31" s="4">
        <v>6.2778</v>
      </c>
      <c r="AQ31" s="4">
        <v>17.716899999999999</v>
      </c>
      <c r="AR31" s="4">
        <v>174.69149999999999</v>
      </c>
      <c r="AS31" s="4">
        <v>171.9461</v>
      </c>
      <c r="AT31" s="4">
        <v>126.551</v>
      </c>
      <c r="AU31" s="4">
        <v>52.028399999999998</v>
      </c>
      <c r="AV31" s="4">
        <v>10.0229</v>
      </c>
      <c r="AW31" s="4">
        <v>1.8369</v>
      </c>
      <c r="AX31" s="4">
        <v>0.17860000000000001</v>
      </c>
      <c r="AY31" s="4">
        <v>0</v>
      </c>
      <c r="AZ31" s="4">
        <v>7.1219999999999999</v>
      </c>
      <c r="BA31" s="4">
        <v>75.416299999999993</v>
      </c>
      <c r="BB31" s="4">
        <v>486.43409999999994</v>
      </c>
      <c r="BC31" s="4">
        <v>367.76900000000001</v>
      </c>
      <c r="BD31" s="4">
        <v>235.3349</v>
      </c>
      <c r="BE31" s="4">
        <v>74.908599999999993</v>
      </c>
      <c r="BF31" s="4">
        <v>15.268800000000001</v>
      </c>
      <c r="BG31" s="4">
        <v>2.8369</v>
      </c>
      <c r="BH31" s="4">
        <v>0.50929999999999997</v>
      </c>
      <c r="BI31" s="4">
        <v>0.4</v>
      </c>
    </row>
    <row r="32" spans="1:61" x14ac:dyDescent="0.35">
      <c r="A32" s="3">
        <v>14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3.5</v>
      </c>
      <c r="W32" s="4">
        <v>29.214400000000001</v>
      </c>
      <c r="X32" s="4">
        <v>179.65520000000001</v>
      </c>
      <c r="Y32" s="4">
        <v>118.23220000000001</v>
      </c>
      <c r="Z32" s="4">
        <v>59.0488</v>
      </c>
      <c r="AA32" s="4">
        <v>13.455299999999999</v>
      </c>
      <c r="AB32" s="4">
        <v>2.8940000000000001</v>
      </c>
      <c r="AC32" s="4">
        <v>0</v>
      </c>
      <c r="AD32" s="4">
        <v>0</v>
      </c>
      <c r="AE32" s="4">
        <v>0</v>
      </c>
      <c r="AF32" s="4">
        <v>0</v>
      </c>
      <c r="AG32" s="4">
        <v>109.0431</v>
      </c>
      <c r="AH32" s="4">
        <v>602.68769999999995</v>
      </c>
      <c r="AI32" s="4">
        <v>503.12009999999998</v>
      </c>
      <c r="AJ32" s="4">
        <v>297.65710000000001</v>
      </c>
      <c r="AK32" s="4">
        <v>80.775700000000001</v>
      </c>
      <c r="AL32" s="4">
        <v>8.3526000000000007</v>
      </c>
      <c r="AM32" s="4">
        <v>0</v>
      </c>
      <c r="AN32" s="4">
        <v>2.3635999999999999</v>
      </c>
      <c r="AO32" s="4">
        <v>0</v>
      </c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>
        <v>3.5</v>
      </c>
      <c r="BA32" s="4">
        <v>138.25749999999999</v>
      </c>
      <c r="BB32" s="4">
        <v>782.34289999999999</v>
      </c>
      <c r="BC32" s="4">
        <v>621.35230000000001</v>
      </c>
      <c r="BD32" s="4">
        <v>356.70590000000004</v>
      </c>
      <c r="BE32" s="4">
        <v>94.230999999999995</v>
      </c>
      <c r="BF32" s="4">
        <v>11.246600000000001</v>
      </c>
      <c r="BG32" s="4">
        <v>0</v>
      </c>
      <c r="BH32" s="4">
        <v>2.3635999999999999</v>
      </c>
      <c r="BI32" s="4">
        <v>0</v>
      </c>
    </row>
    <row r="33" spans="1:61" x14ac:dyDescent="0.35">
      <c r="A33" s="2">
        <v>27</v>
      </c>
      <c r="B33" s="4">
        <v>4.5</v>
      </c>
      <c r="C33" s="4">
        <v>517.95910000000003</v>
      </c>
      <c r="D33" s="4">
        <v>107.5408</v>
      </c>
      <c r="E33" s="4">
        <v>4.5</v>
      </c>
      <c r="F33" s="4">
        <v>2.375</v>
      </c>
      <c r="G33" s="4">
        <v>0.625</v>
      </c>
      <c r="H33" s="4">
        <v>0</v>
      </c>
      <c r="I33" s="4">
        <v>0</v>
      </c>
      <c r="J33" s="4">
        <v>0</v>
      </c>
      <c r="K33" s="4">
        <v>0</v>
      </c>
      <c r="L33" s="4">
        <v>0.5</v>
      </c>
      <c r="M33" s="4">
        <v>446.39170000000001</v>
      </c>
      <c r="N33" s="4">
        <v>242.75829999999999</v>
      </c>
      <c r="O33" s="4">
        <v>9</v>
      </c>
      <c r="P33" s="4">
        <v>1.6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0.8</v>
      </c>
      <c r="X33" s="4">
        <v>0.2</v>
      </c>
      <c r="Y33" s="4">
        <v>0</v>
      </c>
      <c r="Z33" s="4">
        <v>0.5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18.083300000000001</v>
      </c>
      <c r="AH33" s="4">
        <v>15.333299999999999</v>
      </c>
      <c r="AI33" s="4">
        <v>5.5833000000000004</v>
      </c>
      <c r="AJ33" s="4">
        <v>1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0.16669999999999999</v>
      </c>
      <c r="AR33" s="4">
        <v>7.1238000000000001</v>
      </c>
      <c r="AS33" s="4">
        <v>2.2094999999999998</v>
      </c>
      <c r="AT33" s="4">
        <v>0.5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5</v>
      </c>
      <c r="BA33" s="4">
        <v>983.40079999999989</v>
      </c>
      <c r="BB33" s="4">
        <v>372.95620000000002</v>
      </c>
      <c r="BC33" s="4">
        <v>21.2928</v>
      </c>
      <c r="BD33" s="4">
        <v>5.9749999999999996</v>
      </c>
      <c r="BE33" s="4">
        <v>0.625</v>
      </c>
      <c r="BF33" s="4">
        <v>0</v>
      </c>
      <c r="BG33" s="4">
        <v>0</v>
      </c>
      <c r="BH33" s="4">
        <v>0</v>
      </c>
      <c r="BI33" s="4">
        <v>0</v>
      </c>
    </row>
    <row r="34" spans="1:61" x14ac:dyDescent="0.35">
      <c r="A34" s="3">
        <v>10</v>
      </c>
      <c r="B34" s="4">
        <v>0</v>
      </c>
      <c r="C34" s="4">
        <v>8.8800000000000008</v>
      </c>
      <c r="D34" s="4">
        <v>18.369900000000001</v>
      </c>
      <c r="E34" s="4">
        <v>1.75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>
        <v>0</v>
      </c>
      <c r="AQ34" s="4">
        <v>0</v>
      </c>
      <c r="AR34" s="4">
        <v>1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8.8800000000000008</v>
      </c>
      <c r="BB34" s="4">
        <v>19.369900000000001</v>
      </c>
      <c r="BC34" s="4">
        <v>1.75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</row>
    <row r="35" spans="1:61" x14ac:dyDescent="0.35">
      <c r="A35" s="3">
        <v>11</v>
      </c>
      <c r="B35" s="4">
        <v>4.5</v>
      </c>
      <c r="C35" s="4">
        <v>69.584699999999998</v>
      </c>
      <c r="D35" s="4">
        <v>23.165299999999998</v>
      </c>
      <c r="E35" s="4">
        <v>2.75</v>
      </c>
      <c r="F35" s="4">
        <v>1.875</v>
      </c>
      <c r="G35" s="4">
        <v>0.625</v>
      </c>
      <c r="H35" s="4">
        <v>0</v>
      </c>
      <c r="I35" s="4">
        <v>0</v>
      </c>
      <c r="J35" s="4">
        <v>0</v>
      </c>
      <c r="K35" s="4">
        <v>0</v>
      </c>
      <c r="L35" s="4">
        <v>0.5</v>
      </c>
      <c r="M35" s="4">
        <v>446.39170000000001</v>
      </c>
      <c r="N35" s="4">
        <v>242.75829999999999</v>
      </c>
      <c r="O35" s="4">
        <v>9</v>
      </c>
      <c r="P35" s="4">
        <v>1.6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0.8</v>
      </c>
      <c r="X35" s="4">
        <v>0.2</v>
      </c>
      <c r="Y35" s="4">
        <v>0</v>
      </c>
      <c r="Z35" s="4">
        <v>0.5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18.083300000000001</v>
      </c>
      <c r="AH35" s="4">
        <v>15.333299999999999</v>
      </c>
      <c r="AI35" s="4">
        <v>5.5833000000000004</v>
      </c>
      <c r="AJ35" s="4">
        <v>1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0.16669999999999999</v>
      </c>
      <c r="AR35" s="4">
        <v>6.1238000000000001</v>
      </c>
      <c r="AS35" s="4">
        <v>2.2094999999999998</v>
      </c>
      <c r="AT35" s="4">
        <v>0.5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5</v>
      </c>
      <c r="BA35" s="4">
        <v>535.02639999999997</v>
      </c>
      <c r="BB35" s="4">
        <v>287.58069999999998</v>
      </c>
      <c r="BC35" s="4">
        <v>19.5428</v>
      </c>
      <c r="BD35" s="4">
        <v>5.4749999999999996</v>
      </c>
      <c r="BE35" s="4">
        <v>0.625</v>
      </c>
      <c r="BF35" s="4">
        <v>0</v>
      </c>
      <c r="BG35" s="4">
        <v>0</v>
      </c>
      <c r="BH35" s="4">
        <v>0</v>
      </c>
      <c r="BI35" s="4">
        <v>0</v>
      </c>
    </row>
    <row r="36" spans="1:61" x14ac:dyDescent="0.35">
      <c r="A36" s="3">
        <v>12</v>
      </c>
      <c r="B36" s="4">
        <v>0</v>
      </c>
      <c r="C36" s="4">
        <v>439.49439999999998</v>
      </c>
      <c r="D36" s="4">
        <v>66.005600000000001</v>
      </c>
      <c r="E36" s="4">
        <v>0</v>
      </c>
      <c r="F36" s="4">
        <v>0.5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439.49439999999998</v>
      </c>
      <c r="BB36" s="4">
        <v>66.005600000000001</v>
      </c>
      <c r="BC36" s="4">
        <v>0</v>
      </c>
      <c r="BD36" s="4">
        <v>0.5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</row>
    <row r="37" spans="1:61" x14ac:dyDescent="0.35">
      <c r="A37" s="3">
        <v>13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</row>
    <row r="38" spans="1:61" x14ac:dyDescent="0.35">
      <c r="A38" s="2">
        <v>28</v>
      </c>
      <c r="B38" s="4">
        <v>8.1712000000000007</v>
      </c>
      <c r="C38" s="4">
        <v>64.427800000000005</v>
      </c>
      <c r="D38" s="4">
        <v>31.863600000000002</v>
      </c>
      <c r="E38" s="4">
        <v>12.6998</v>
      </c>
      <c r="F38" s="4">
        <v>4.2996999999999996</v>
      </c>
      <c r="G38" s="4">
        <v>1.0457000000000001</v>
      </c>
      <c r="H38" s="4">
        <v>0</v>
      </c>
      <c r="I38" s="4">
        <v>0</v>
      </c>
      <c r="J38" s="4">
        <v>0</v>
      </c>
      <c r="K38" s="4">
        <v>0</v>
      </c>
      <c r="L38" s="4">
        <v>2.9582999999999999</v>
      </c>
      <c r="M38" s="4">
        <v>124.8035</v>
      </c>
      <c r="N38" s="4">
        <v>59.485299999999995</v>
      </c>
      <c r="O38" s="4">
        <v>31.972899999999999</v>
      </c>
      <c r="P38" s="4">
        <v>7.9465000000000003</v>
      </c>
      <c r="Q38" s="4">
        <v>1.8611</v>
      </c>
      <c r="R38" s="4">
        <v>0.38890000000000002</v>
      </c>
      <c r="S38" s="4">
        <v>0</v>
      </c>
      <c r="T38" s="4">
        <v>0</v>
      </c>
      <c r="U38" s="4">
        <v>0</v>
      </c>
      <c r="V38" s="4">
        <v>2.3635999999999999</v>
      </c>
      <c r="W38" s="4">
        <v>35.402700000000003</v>
      </c>
      <c r="X38" s="4">
        <v>59.245899999999999</v>
      </c>
      <c r="Y38" s="4">
        <v>26.4893</v>
      </c>
      <c r="Z38" s="4">
        <v>7.1350000000000007</v>
      </c>
      <c r="AA38" s="4">
        <v>1.5562</v>
      </c>
      <c r="AB38" s="4">
        <v>0.79290000000000005</v>
      </c>
      <c r="AC38" s="4">
        <v>0</v>
      </c>
      <c r="AD38" s="4">
        <v>0</v>
      </c>
      <c r="AE38" s="4">
        <v>0</v>
      </c>
      <c r="AF38" s="4">
        <v>1.7776999999999998</v>
      </c>
      <c r="AG38" s="4">
        <v>23.876899999999999</v>
      </c>
      <c r="AH38" s="4">
        <v>12.6204</v>
      </c>
      <c r="AI38" s="4">
        <v>5.7088999999999999</v>
      </c>
      <c r="AJ38" s="4">
        <v>2.7778</v>
      </c>
      <c r="AK38" s="4">
        <v>1.5554999999999999</v>
      </c>
      <c r="AL38" s="4">
        <v>0</v>
      </c>
      <c r="AM38" s="4">
        <v>0</v>
      </c>
      <c r="AN38" s="4">
        <v>0</v>
      </c>
      <c r="AO38" s="4">
        <v>0</v>
      </c>
      <c r="AP38" s="4">
        <v>3.6</v>
      </c>
      <c r="AQ38" s="4">
        <v>58.433</v>
      </c>
      <c r="AR38" s="4">
        <v>346.45530000000002</v>
      </c>
      <c r="AS38" s="4">
        <v>197.76929999999999</v>
      </c>
      <c r="AT38" s="4">
        <v>148.24930000000001</v>
      </c>
      <c r="AU38" s="4">
        <v>44.695999999999998</v>
      </c>
      <c r="AV38" s="4">
        <v>8.0152000000000001</v>
      </c>
      <c r="AW38" s="4">
        <v>0.8</v>
      </c>
      <c r="AX38" s="4">
        <v>0.98180000000000001</v>
      </c>
      <c r="AY38" s="4">
        <v>0</v>
      </c>
      <c r="AZ38" s="4">
        <v>18.870799999999999</v>
      </c>
      <c r="BA38" s="4">
        <v>306.94389999999999</v>
      </c>
      <c r="BB38" s="4">
        <v>509.6705</v>
      </c>
      <c r="BC38" s="4">
        <v>274.64019999999999</v>
      </c>
      <c r="BD38" s="4">
        <v>170.40829999999997</v>
      </c>
      <c r="BE38" s="4">
        <v>50.714500000000001</v>
      </c>
      <c r="BF38" s="4">
        <v>9.1969999999999992</v>
      </c>
      <c r="BG38" s="4">
        <v>0.8</v>
      </c>
      <c r="BH38" s="4">
        <v>0.98180000000000001</v>
      </c>
      <c r="BI38" s="4">
        <v>0</v>
      </c>
    </row>
    <row r="39" spans="1:61" x14ac:dyDescent="0.35">
      <c r="A39" s="3">
        <v>9</v>
      </c>
      <c r="B39" s="4">
        <v>0</v>
      </c>
      <c r="C39" s="4">
        <v>0</v>
      </c>
      <c r="D39" s="4">
        <v>0.86670000000000003</v>
      </c>
      <c r="E39" s="4">
        <v>0.7</v>
      </c>
      <c r="F39" s="4">
        <v>0.26669999999999999</v>
      </c>
      <c r="G39" s="4">
        <v>0.16669999999999999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0.1111</v>
      </c>
      <c r="X39" s="4">
        <v>1.8889</v>
      </c>
      <c r="Y39" s="4">
        <v>2</v>
      </c>
      <c r="Z39" s="4">
        <v>1</v>
      </c>
      <c r="AA39" s="4">
        <v>0.33329999999999999</v>
      </c>
      <c r="AB39" s="4">
        <v>0</v>
      </c>
      <c r="AC39" s="4">
        <v>0</v>
      </c>
      <c r="AD39" s="4">
        <v>0</v>
      </c>
      <c r="AE39" s="4">
        <v>0</v>
      </c>
      <c r="AF39" s="4">
        <v>0.33329999999999999</v>
      </c>
      <c r="AG39" s="4">
        <v>0.58330000000000004</v>
      </c>
      <c r="AH39" s="4">
        <v>0.91669999999999996</v>
      </c>
      <c r="AI39" s="4">
        <v>0.38890000000000002</v>
      </c>
      <c r="AJ39" s="4">
        <v>0.55559999999999998</v>
      </c>
      <c r="AK39" s="4">
        <v>0.22220000000000001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0.33329999999999999</v>
      </c>
      <c r="BA39" s="4">
        <v>0.69440000000000002</v>
      </c>
      <c r="BB39" s="4">
        <v>3.6723000000000003</v>
      </c>
      <c r="BC39" s="4">
        <v>3.0889000000000002</v>
      </c>
      <c r="BD39" s="4">
        <v>1.8222999999999998</v>
      </c>
      <c r="BE39" s="4">
        <v>0.72219999999999995</v>
      </c>
      <c r="BF39" s="4">
        <v>0</v>
      </c>
      <c r="BG39" s="4">
        <v>0</v>
      </c>
      <c r="BH39" s="4">
        <v>0</v>
      </c>
      <c r="BI39" s="4">
        <v>0</v>
      </c>
    </row>
    <row r="40" spans="1:61" x14ac:dyDescent="0.35">
      <c r="A40" s="3">
        <v>10</v>
      </c>
      <c r="B40" s="4">
        <v>4.3250000000000002</v>
      </c>
      <c r="C40" s="4">
        <v>34.210900000000002</v>
      </c>
      <c r="D40" s="4">
        <v>17.436</v>
      </c>
      <c r="E40" s="4">
        <v>6.8003</v>
      </c>
      <c r="F40" s="4">
        <v>1.9333</v>
      </c>
      <c r="G40" s="4">
        <v>0.49440000000000001</v>
      </c>
      <c r="H40" s="4">
        <v>0</v>
      </c>
      <c r="I40" s="4">
        <v>0</v>
      </c>
      <c r="J40" s="4">
        <v>0</v>
      </c>
      <c r="K40" s="4">
        <v>0</v>
      </c>
      <c r="L40" s="4">
        <v>2.5</v>
      </c>
      <c r="M40" s="4">
        <v>12.3515</v>
      </c>
      <c r="N40" s="4">
        <v>14.1153</v>
      </c>
      <c r="O40" s="4">
        <v>8.5089000000000006</v>
      </c>
      <c r="P40" s="4">
        <v>3.339</v>
      </c>
      <c r="Q40" s="4">
        <v>0.96299999999999997</v>
      </c>
      <c r="R40" s="4">
        <v>0.22220000000000001</v>
      </c>
      <c r="S40" s="4">
        <v>0</v>
      </c>
      <c r="T40" s="4">
        <v>0</v>
      </c>
      <c r="U40" s="4">
        <v>0</v>
      </c>
      <c r="V40" s="4">
        <v>2</v>
      </c>
      <c r="W40" s="4">
        <v>15.977600000000001</v>
      </c>
      <c r="X40" s="4">
        <v>25.257200000000001</v>
      </c>
      <c r="Y40" s="4">
        <v>9.4143000000000008</v>
      </c>
      <c r="Z40" s="4">
        <v>1.7476</v>
      </c>
      <c r="AA40" s="4">
        <v>0.23810000000000001</v>
      </c>
      <c r="AB40" s="4">
        <v>0.22220000000000001</v>
      </c>
      <c r="AC40" s="4">
        <v>0</v>
      </c>
      <c r="AD40" s="4">
        <v>0</v>
      </c>
      <c r="AE40" s="4">
        <v>0</v>
      </c>
      <c r="AF40" s="4">
        <v>1</v>
      </c>
      <c r="AG40" s="4">
        <v>4.1666999999999996</v>
      </c>
      <c r="AH40" s="4">
        <v>3</v>
      </c>
      <c r="AI40" s="4">
        <v>0.83330000000000004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3.6</v>
      </c>
      <c r="AQ40" s="4">
        <v>1.2796000000000001</v>
      </c>
      <c r="AR40" s="4">
        <v>4.0728999999999997</v>
      </c>
      <c r="AS40" s="4">
        <v>3.6452</v>
      </c>
      <c r="AT40" s="4">
        <v>2.6675</v>
      </c>
      <c r="AU40" s="4">
        <v>0.80100000000000005</v>
      </c>
      <c r="AV40" s="4">
        <v>0.1157</v>
      </c>
      <c r="AW40" s="4">
        <v>0</v>
      </c>
      <c r="AX40" s="4">
        <v>1.8200000000000001E-2</v>
      </c>
      <c r="AY40" s="4">
        <v>0</v>
      </c>
      <c r="AZ40" s="4">
        <v>13.424999999999999</v>
      </c>
      <c r="BA40" s="4">
        <v>67.986300000000014</v>
      </c>
      <c r="BB40" s="4">
        <v>63.881399999999992</v>
      </c>
      <c r="BC40" s="4">
        <v>29.202000000000002</v>
      </c>
      <c r="BD40" s="4">
        <v>9.6874000000000002</v>
      </c>
      <c r="BE40" s="4">
        <v>2.4965000000000002</v>
      </c>
      <c r="BF40" s="4">
        <v>0.56010000000000004</v>
      </c>
      <c r="BG40" s="4">
        <v>0</v>
      </c>
      <c r="BH40" s="4">
        <v>1.8200000000000001E-2</v>
      </c>
      <c r="BI40" s="4">
        <v>0</v>
      </c>
    </row>
    <row r="41" spans="1:61" x14ac:dyDescent="0.35">
      <c r="A41" s="3">
        <v>11</v>
      </c>
      <c r="B41" s="4">
        <v>3.8462000000000001</v>
      </c>
      <c r="C41" s="4">
        <v>27.481300000000001</v>
      </c>
      <c r="D41" s="4">
        <v>10.951499999999999</v>
      </c>
      <c r="E41" s="4">
        <v>3.8792</v>
      </c>
      <c r="F41" s="4">
        <v>1.7649999999999999</v>
      </c>
      <c r="G41" s="4">
        <v>0.3846</v>
      </c>
      <c r="H41" s="4">
        <v>0</v>
      </c>
      <c r="I41" s="4">
        <v>0</v>
      </c>
      <c r="J41" s="4">
        <v>0</v>
      </c>
      <c r="K41" s="4">
        <v>0</v>
      </c>
      <c r="L41" s="4">
        <v>0.45829999999999999</v>
      </c>
      <c r="M41" s="4">
        <v>112.452</v>
      </c>
      <c r="N41" s="4">
        <v>45.37</v>
      </c>
      <c r="O41" s="4">
        <v>23.463999999999999</v>
      </c>
      <c r="P41" s="4">
        <v>4.6074999999999999</v>
      </c>
      <c r="Q41" s="4">
        <v>0.89810000000000001</v>
      </c>
      <c r="R41" s="4">
        <v>0.16669999999999999</v>
      </c>
      <c r="S41" s="4">
        <v>0</v>
      </c>
      <c r="T41" s="4">
        <v>0</v>
      </c>
      <c r="U41" s="4">
        <v>0</v>
      </c>
      <c r="V41" s="4">
        <v>0.36359999999999998</v>
      </c>
      <c r="W41" s="4">
        <v>18.884799999999998</v>
      </c>
      <c r="X41" s="4">
        <v>30.355599999999999</v>
      </c>
      <c r="Y41" s="4">
        <v>14.0657</v>
      </c>
      <c r="Z41" s="4">
        <v>3.7368000000000001</v>
      </c>
      <c r="AA41" s="4">
        <v>0.73480000000000001</v>
      </c>
      <c r="AB41" s="4">
        <v>0.40400000000000003</v>
      </c>
      <c r="AC41" s="4">
        <v>0</v>
      </c>
      <c r="AD41" s="4">
        <v>0</v>
      </c>
      <c r="AE41" s="4">
        <v>0</v>
      </c>
      <c r="AF41" s="4">
        <v>0.44440000000000002</v>
      </c>
      <c r="AG41" s="4">
        <v>18.555499999999999</v>
      </c>
      <c r="AH41" s="4">
        <v>7.0369999999999999</v>
      </c>
      <c r="AI41" s="4">
        <v>3.6295999999999999</v>
      </c>
      <c r="AJ41" s="4">
        <v>2.2222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1.3229</v>
      </c>
      <c r="AR41" s="4">
        <v>5.3677000000000001</v>
      </c>
      <c r="AS41" s="4">
        <v>4.1722000000000001</v>
      </c>
      <c r="AT41" s="4">
        <v>2.92</v>
      </c>
      <c r="AU41" s="4">
        <v>1.2347999999999999</v>
      </c>
      <c r="AV41" s="4">
        <v>0.1641</v>
      </c>
      <c r="AW41" s="4">
        <v>0</v>
      </c>
      <c r="AX41" s="4">
        <v>1.8200000000000001E-2</v>
      </c>
      <c r="AY41" s="4">
        <v>0</v>
      </c>
      <c r="AZ41" s="4">
        <v>5.1124999999999998</v>
      </c>
      <c r="BA41" s="4">
        <v>178.69650000000001</v>
      </c>
      <c r="BB41" s="4">
        <v>99.081800000000001</v>
      </c>
      <c r="BC41" s="4">
        <v>49.210700000000003</v>
      </c>
      <c r="BD41" s="4">
        <v>15.251499999999998</v>
      </c>
      <c r="BE41" s="4">
        <v>4.2523</v>
      </c>
      <c r="BF41" s="4">
        <v>0.73480000000000001</v>
      </c>
      <c r="BG41" s="4">
        <v>0</v>
      </c>
      <c r="BH41" s="4">
        <v>1.8200000000000001E-2</v>
      </c>
      <c r="BI41" s="4">
        <v>0</v>
      </c>
    </row>
    <row r="42" spans="1:61" x14ac:dyDescent="0.35">
      <c r="A42" s="3">
        <v>12</v>
      </c>
      <c r="B42" s="4">
        <v>0</v>
      </c>
      <c r="C42" s="4">
        <v>2.7355999999999998</v>
      </c>
      <c r="D42" s="4">
        <v>2.6093999999999999</v>
      </c>
      <c r="E42" s="4">
        <v>1.3203</v>
      </c>
      <c r="F42" s="4">
        <v>0.3347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0.42920000000000003</v>
      </c>
      <c r="X42" s="4">
        <v>1.7442</v>
      </c>
      <c r="Y42" s="4">
        <v>1.0093000000000001</v>
      </c>
      <c r="Z42" s="4">
        <v>0.65059999999999996</v>
      </c>
      <c r="AA42" s="4">
        <v>0.25</v>
      </c>
      <c r="AB42" s="4">
        <v>0.16669999999999999</v>
      </c>
      <c r="AC42" s="4">
        <v>0</v>
      </c>
      <c r="AD42" s="4">
        <v>0</v>
      </c>
      <c r="AE42" s="4">
        <v>0</v>
      </c>
      <c r="AF42" s="4">
        <v>0</v>
      </c>
      <c r="AG42" s="4">
        <v>0.57140000000000002</v>
      </c>
      <c r="AH42" s="4">
        <v>1.6667000000000001</v>
      </c>
      <c r="AI42" s="4">
        <v>0.85709999999999997</v>
      </c>
      <c r="AJ42" s="4">
        <v>0</v>
      </c>
      <c r="AK42" s="4">
        <v>0.33329999999999999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48.4726</v>
      </c>
      <c r="AR42" s="4">
        <v>286.1026</v>
      </c>
      <c r="AS42" s="4">
        <v>155.45769999999999</v>
      </c>
      <c r="AT42" s="4">
        <v>117.0508</v>
      </c>
      <c r="AU42" s="4">
        <v>34.126300000000001</v>
      </c>
      <c r="AV42" s="4">
        <v>7.0080999999999998</v>
      </c>
      <c r="AW42" s="4">
        <v>0.8</v>
      </c>
      <c r="AX42" s="4">
        <v>0.58179999999999998</v>
      </c>
      <c r="AY42" s="4">
        <v>0</v>
      </c>
      <c r="AZ42" s="4">
        <v>0</v>
      </c>
      <c r="BA42" s="4">
        <v>52.208799999999997</v>
      </c>
      <c r="BB42" s="4">
        <v>292.12290000000002</v>
      </c>
      <c r="BC42" s="4">
        <v>158.64439999999999</v>
      </c>
      <c r="BD42" s="4">
        <v>118.03609999999999</v>
      </c>
      <c r="BE42" s="4">
        <v>34.709600000000002</v>
      </c>
      <c r="BF42" s="4">
        <v>7.1747999999999994</v>
      </c>
      <c r="BG42" s="4">
        <v>0.8</v>
      </c>
      <c r="BH42" s="4">
        <v>0.58179999999999998</v>
      </c>
      <c r="BI42" s="4">
        <v>0</v>
      </c>
    </row>
    <row r="43" spans="1:61" x14ac:dyDescent="0.35">
      <c r="A43" s="3">
        <v>13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0</v>
      </c>
      <c r="AQ43" s="4">
        <v>7.3578999999999999</v>
      </c>
      <c r="AR43" s="4">
        <v>50.912100000000002</v>
      </c>
      <c r="AS43" s="4">
        <v>34.494199999999999</v>
      </c>
      <c r="AT43" s="4">
        <v>25.611000000000001</v>
      </c>
      <c r="AU43" s="4">
        <v>8.5338999999999992</v>
      </c>
      <c r="AV43" s="4">
        <v>0.72729999999999995</v>
      </c>
      <c r="AW43" s="4">
        <v>0</v>
      </c>
      <c r="AX43" s="4">
        <v>0.36359999999999998</v>
      </c>
      <c r="AY43" s="4">
        <v>0</v>
      </c>
      <c r="AZ43" s="4">
        <v>0</v>
      </c>
      <c r="BA43" s="4">
        <v>7.3578999999999999</v>
      </c>
      <c r="BB43" s="4">
        <v>50.912100000000002</v>
      </c>
      <c r="BC43" s="4">
        <v>34.494199999999999</v>
      </c>
      <c r="BD43" s="4">
        <v>25.611000000000001</v>
      </c>
      <c r="BE43" s="4">
        <v>8.5338999999999992</v>
      </c>
      <c r="BF43" s="4">
        <v>0.72729999999999995</v>
      </c>
      <c r="BG43" s="4">
        <v>0</v>
      </c>
      <c r="BH43" s="4">
        <v>0.36359999999999998</v>
      </c>
      <c r="BI43" s="4">
        <v>0</v>
      </c>
    </row>
    <row r="44" spans="1:61" x14ac:dyDescent="0.35">
      <c r="A44" s="2" t="s">
        <v>22</v>
      </c>
      <c r="B44" s="4">
        <v>1963.2341999999999</v>
      </c>
      <c r="C44" s="4">
        <v>6341.4735000000001</v>
      </c>
      <c r="D44" s="4">
        <v>4561.6048000000001</v>
      </c>
      <c r="E44" s="4">
        <v>1374.4621000000004</v>
      </c>
      <c r="F44" s="4">
        <v>439.65800000000002</v>
      </c>
      <c r="G44" s="4">
        <v>148.09110000000001</v>
      </c>
      <c r="H44" s="4">
        <v>26.639600000000002</v>
      </c>
      <c r="I44" s="4">
        <v>8.5788000000000011</v>
      </c>
      <c r="J44" s="4">
        <v>0.68910000000000005</v>
      </c>
      <c r="K44" s="4">
        <v>1.3481000000000001</v>
      </c>
      <c r="L44" s="4">
        <v>1932.3375999999998</v>
      </c>
      <c r="M44" s="4">
        <v>6306.2615999999989</v>
      </c>
      <c r="N44" s="4">
        <v>2904.4626000000003</v>
      </c>
      <c r="O44" s="4">
        <v>2042.0393000000004</v>
      </c>
      <c r="P44" s="4">
        <v>882.02919999999995</v>
      </c>
      <c r="Q44" s="4">
        <v>211.24419999999998</v>
      </c>
      <c r="R44" s="4">
        <v>43.418399999999998</v>
      </c>
      <c r="S44" s="4">
        <v>13.171600000000002</v>
      </c>
      <c r="T44" s="4">
        <v>3.6054999999999997</v>
      </c>
      <c r="U44" s="4">
        <v>0.83499999999999996</v>
      </c>
      <c r="V44" s="4">
        <v>989.16009999999983</v>
      </c>
      <c r="W44" s="4">
        <v>5271.7080999999989</v>
      </c>
      <c r="X44" s="4">
        <v>6346.7241999999978</v>
      </c>
      <c r="Y44" s="4">
        <v>1760.3813000000002</v>
      </c>
      <c r="Z44" s="4">
        <v>363.19939999999997</v>
      </c>
      <c r="AA44" s="4">
        <v>65.327100000000002</v>
      </c>
      <c r="AB44" s="4">
        <v>13.956700000000001</v>
      </c>
      <c r="AC44" s="4">
        <v>2.1657000000000002</v>
      </c>
      <c r="AD44" s="4">
        <v>0.46489999999999998</v>
      </c>
      <c r="AE44" s="4">
        <v>0.38329999999999997</v>
      </c>
      <c r="AF44" s="4">
        <v>47.104300000000002</v>
      </c>
      <c r="AG44" s="4">
        <v>2317.3833999999997</v>
      </c>
      <c r="AH44" s="4">
        <v>5163.2021000000004</v>
      </c>
      <c r="AI44" s="4">
        <v>3028.3707000000004</v>
      </c>
      <c r="AJ44" s="4">
        <v>768.39160000000004</v>
      </c>
      <c r="AK44" s="4">
        <v>160.25569999999999</v>
      </c>
      <c r="AL44" s="4">
        <v>16.747700000000002</v>
      </c>
      <c r="AM44" s="4">
        <v>1.3873000000000002</v>
      </c>
      <c r="AN44" s="4">
        <v>3.0309999999999997</v>
      </c>
      <c r="AO44" s="4">
        <v>0</v>
      </c>
      <c r="AP44" s="4">
        <v>869.03909999999985</v>
      </c>
      <c r="AQ44" s="4">
        <v>1455.6287999999997</v>
      </c>
      <c r="AR44" s="4">
        <v>2923.0673999999995</v>
      </c>
      <c r="AS44" s="4">
        <v>1664.9781999999996</v>
      </c>
      <c r="AT44" s="4">
        <v>744.5729</v>
      </c>
      <c r="AU44" s="4">
        <v>209.64619999999999</v>
      </c>
      <c r="AV44" s="4">
        <v>37.002299999999998</v>
      </c>
      <c r="AW44" s="4">
        <v>5.1456</v>
      </c>
      <c r="AX44" s="4">
        <v>1.5901999999999998</v>
      </c>
      <c r="AY44" s="4">
        <v>0</v>
      </c>
      <c r="AZ44" s="4">
        <v>5800.8753000000015</v>
      </c>
      <c r="BA44" s="4">
        <v>21692.455400000003</v>
      </c>
      <c r="BB44" s="4">
        <v>21899.061099999992</v>
      </c>
      <c r="BC44" s="4">
        <v>9870.2315999999992</v>
      </c>
      <c r="BD44" s="4">
        <v>3197.8510999999985</v>
      </c>
      <c r="BE44" s="4">
        <v>794.5643</v>
      </c>
      <c r="BF44" s="4">
        <v>137.76470000000003</v>
      </c>
      <c r="BG44" s="4">
        <v>30.449000000000002</v>
      </c>
      <c r="BH44" s="4">
        <v>9.3806999999999992</v>
      </c>
      <c r="BI44" s="4">
        <v>2.5663999999999998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45"/>
  <sheetViews>
    <sheetView tabSelected="1" zoomScale="70" zoomScaleNormal="70" workbookViewId="0">
      <selection activeCell="R21" sqref="R21"/>
    </sheetView>
  </sheetViews>
  <sheetFormatPr defaultRowHeight="14.5" x14ac:dyDescent="0.35"/>
  <cols>
    <col min="1" max="1" width="17.7265625" bestFit="1" customWidth="1"/>
    <col min="2" max="2" width="10.08984375" bestFit="1" customWidth="1"/>
    <col min="3" max="8" width="11.81640625" bestFit="1" customWidth="1"/>
    <col min="12" max="12" width="13.6328125" customWidth="1"/>
    <col min="16" max="16" width="9.81640625" customWidth="1"/>
  </cols>
  <sheetData>
    <row r="3" spans="1:17" ht="26" x14ac:dyDescent="0.6">
      <c r="A3" s="1" t="s">
        <v>45</v>
      </c>
      <c r="C3" s="1" t="s">
        <v>1</v>
      </c>
      <c r="K3" s="13" t="s">
        <v>58</v>
      </c>
    </row>
    <row r="4" spans="1:17" x14ac:dyDescent="0.35">
      <c r="A4" s="1" t="s">
        <v>3</v>
      </c>
      <c r="B4" s="1" t="s">
        <v>4</v>
      </c>
      <c r="C4">
        <v>2013</v>
      </c>
      <c r="D4">
        <v>2014</v>
      </c>
      <c r="E4">
        <v>2015</v>
      </c>
      <c r="F4">
        <v>2016</v>
      </c>
      <c r="G4">
        <v>2017</v>
      </c>
      <c r="H4" t="s">
        <v>22</v>
      </c>
    </row>
    <row r="5" spans="1:17" x14ac:dyDescent="0.35">
      <c r="A5">
        <v>21</v>
      </c>
      <c r="B5">
        <v>9</v>
      </c>
      <c r="C5" s="4">
        <v>349.11169999999998</v>
      </c>
      <c r="D5" s="4">
        <v>1233.8828000000001</v>
      </c>
      <c r="E5" s="4">
        <v>88.927200000000013</v>
      </c>
      <c r="F5" s="4">
        <v>15.144599999999999</v>
      </c>
      <c r="G5" s="4">
        <v>69.235199999999992</v>
      </c>
      <c r="H5" s="4">
        <v>351.26030000000003</v>
      </c>
    </row>
    <row r="6" spans="1:17" x14ac:dyDescent="0.35">
      <c r="A6">
        <v>21</v>
      </c>
      <c r="B6">
        <v>10</v>
      </c>
      <c r="C6" s="4">
        <v>80.420100000000005</v>
      </c>
      <c r="D6" s="4">
        <v>42.96</v>
      </c>
      <c r="E6" s="4">
        <v>23.7166</v>
      </c>
      <c r="F6" s="4">
        <v>1.8699999999999999</v>
      </c>
      <c r="G6" s="4">
        <v>14.666599999999999</v>
      </c>
      <c r="H6" s="4">
        <v>32.726659999999995</v>
      </c>
    </row>
    <row r="7" spans="1:17" x14ac:dyDescent="0.35">
      <c r="A7">
        <v>21</v>
      </c>
      <c r="B7">
        <v>11</v>
      </c>
      <c r="C7" s="4">
        <v>114.8334</v>
      </c>
      <c r="D7" s="4">
        <v>36.799999999999997</v>
      </c>
      <c r="E7" s="4">
        <v>60.7</v>
      </c>
      <c r="F7" s="4">
        <v>4.18</v>
      </c>
      <c r="G7" s="4">
        <v>0</v>
      </c>
      <c r="H7" s="4">
        <v>43.302679999999995</v>
      </c>
    </row>
    <row r="8" spans="1:17" x14ac:dyDescent="0.35">
      <c r="A8">
        <v>21</v>
      </c>
      <c r="B8">
        <v>12</v>
      </c>
      <c r="C8" s="4"/>
      <c r="D8" s="4"/>
      <c r="E8" s="4"/>
      <c r="F8" s="4"/>
      <c r="G8" s="4">
        <v>179.62</v>
      </c>
      <c r="H8" s="4">
        <v>179.62</v>
      </c>
      <c r="K8" s="5" t="s">
        <v>46</v>
      </c>
      <c r="L8" s="5" t="s">
        <v>47</v>
      </c>
      <c r="M8" s="5" t="s">
        <v>48</v>
      </c>
      <c r="N8" s="5" t="s">
        <v>57</v>
      </c>
      <c r="Q8" s="6" t="s">
        <v>59</v>
      </c>
    </row>
    <row r="9" spans="1:17" x14ac:dyDescent="0.35">
      <c r="A9">
        <v>22</v>
      </c>
      <c r="B9">
        <v>8</v>
      </c>
      <c r="C9" s="4">
        <v>148.15620000000001</v>
      </c>
      <c r="D9" s="4">
        <v>25.510099999999994</v>
      </c>
      <c r="E9" s="4">
        <v>83.128399999999999</v>
      </c>
      <c r="F9" s="4">
        <v>3.5872000000000002</v>
      </c>
      <c r="G9" s="4">
        <v>78.395200000000003</v>
      </c>
      <c r="H9" s="4">
        <v>67.755420000000001</v>
      </c>
      <c r="K9" s="5">
        <v>22</v>
      </c>
      <c r="L9" s="5" t="s">
        <v>49</v>
      </c>
      <c r="M9" s="5">
        <v>2</v>
      </c>
      <c r="N9" s="5">
        <f>SUM(H9:H10)</f>
        <v>220.27948000000004</v>
      </c>
      <c r="Q9" s="6" t="s">
        <v>60</v>
      </c>
    </row>
    <row r="10" spans="1:17" x14ac:dyDescent="0.35">
      <c r="A10">
        <v>22</v>
      </c>
      <c r="B10">
        <v>9</v>
      </c>
      <c r="C10" s="4">
        <v>249.04810000000003</v>
      </c>
      <c r="D10" s="4">
        <v>90.030500000000004</v>
      </c>
      <c r="E10" s="4">
        <v>212.96</v>
      </c>
      <c r="F10" s="4">
        <v>31.362500000000004</v>
      </c>
      <c r="G10" s="4">
        <v>179.21919999999997</v>
      </c>
      <c r="H10" s="4">
        <v>152.52406000000002</v>
      </c>
      <c r="K10" s="5">
        <v>22</v>
      </c>
      <c r="L10" s="5" t="s">
        <v>50</v>
      </c>
      <c r="M10" s="5">
        <v>3</v>
      </c>
      <c r="N10" s="5">
        <v>0</v>
      </c>
      <c r="Q10" t="str">
        <f t="shared" ref="Q9:Q29" si="0">IF(P10=9,2,IF(P10=10,3,IF(P10=11,4,IF(P10=12,5,IF(P10=13,6,"")))))</f>
        <v/>
      </c>
    </row>
    <row r="11" spans="1:17" x14ac:dyDescent="0.35">
      <c r="A11">
        <v>23</v>
      </c>
      <c r="B11">
        <v>8</v>
      </c>
      <c r="C11" s="4">
        <v>1528.4749999999999</v>
      </c>
      <c r="D11" s="4">
        <v>1106.415</v>
      </c>
      <c r="E11" s="4">
        <v>2700.2305000000001</v>
      </c>
      <c r="F11" s="4">
        <v>246.60919999999999</v>
      </c>
      <c r="G11" s="4">
        <v>578.49599999999998</v>
      </c>
      <c r="H11" s="4">
        <v>1232.0451399999999</v>
      </c>
      <c r="K11" s="5">
        <v>22</v>
      </c>
      <c r="L11" s="5" t="s">
        <v>51</v>
      </c>
      <c r="M11" s="5">
        <v>4</v>
      </c>
      <c r="N11" s="5">
        <v>0</v>
      </c>
      <c r="Q11" t="str">
        <f t="shared" si="0"/>
        <v/>
      </c>
    </row>
    <row r="12" spans="1:17" x14ac:dyDescent="0.35">
      <c r="A12">
        <v>23</v>
      </c>
      <c r="B12">
        <v>9</v>
      </c>
      <c r="C12" s="4">
        <v>241.6</v>
      </c>
      <c r="D12" s="4">
        <v>532.45619999999997</v>
      </c>
      <c r="E12" s="4">
        <v>1376.3968</v>
      </c>
      <c r="F12" s="4">
        <v>12.22</v>
      </c>
      <c r="G12" s="4">
        <v>185.92000000000002</v>
      </c>
      <c r="H12" s="4">
        <v>469.71859999999998</v>
      </c>
      <c r="K12" s="5">
        <v>22</v>
      </c>
      <c r="L12" s="5" t="s">
        <v>52</v>
      </c>
      <c r="M12" s="5">
        <v>5</v>
      </c>
      <c r="N12" s="5">
        <v>0</v>
      </c>
      <c r="Q12" t="str">
        <f t="shared" si="0"/>
        <v/>
      </c>
    </row>
    <row r="13" spans="1:17" x14ac:dyDescent="0.35">
      <c r="A13">
        <v>24</v>
      </c>
      <c r="B13">
        <v>8</v>
      </c>
      <c r="C13" s="4">
        <v>44.873300000000008</v>
      </c>
      <c r="D13" s="4">
        <v>154.13550000000001</v>
      </c>
      <c r="E13" s="4">
        <v>114.71799999999999</v>
      </c>
      <c r="F13" s="4">
        <v>44.472000000000001</v>
      </c>
      <c r="G13" s="4">
        <v>139.99989999999997</v>
      </c>
      <c r="H13" s="4">
        <v>99.639739999999989</v>
      </c>
      <c r="K13" s="5">
        <v>22</v>
      </c>
      <c r="L13" s="5" t="s">
        <v>53</v>
      </c>
      <c r="M13" s="5">
        <v>6</v>
      </c>
      <c r="N13" s="5">
        <v>0</v>
      </c>
      <c r="Q13" t="str">
        <f t="shared" si="0"/>
        <v/>
      </c>
    </row>
    <row r="14" spans="1:17" x14ac:dyDescent="0.35">
      <c r="A14">
        <v>24</v>
      </c>
      <c r="B14">
        <v>9</v>
      </c>
      <c r="C14" s="4">
        <v>132.9306</v>
      </c>
      <c r="D14" s="4">
        <v>724.50019999999995</v>
      </c>
      <c r="E14" s="4">
        <v>233.81480000000002</v>
      </c>
      <c r="F14" s="4">
        <v>328.8537</v>
      </c>
      <c r="G14" s="4">
        <v>468.11470000000003</v>
      </c>
      <c r="H14" s="4">
        <v>377.64279999999997</v>
      </c>
      <c r="K14" s="5">
        <v>24</v>
      </c>
      <c r="L14" s="5" t="s">
        <v>49</v>
      </c>
      <c r="M14" s="5">
        <v>2</v>
      </c>
      <c r="N14" s="5">
        <f>SUM(H13:H14)</f>
        <v>477.28253999999993</v>
      </c>
      <c r="Q14" s="6" t="s">
        <v>60</v>
      </c>
    </row>
    <row r="15" spans="1:17" x14ac:dyDescent="0.35">
      <c r="A15">
        <v>24</v>
      </c>
      <c r="B15">
        <v>10</v>
      </c>
      <c r="C15" s="4">
        <v>1203.9453000000001</v>
      </c>
      <c r="D15" s="4">
        <v>1977.0254</v>
      </c>
      <c r="E15" s="4">
        <v>2081.3507</v>
      </c>
      <c r="F15" s="4">
        <v>1216.1504</v>
      </c>
      <c r="G15" s="4">
        <v>1203.0292000000002</v>
      </c>
      <c r="H15" s="4">
        <v>1536.3001999999999</v>
      </c>
      <c r="K15" s="5">
        <v>24</v>
      </c>
      <c r="L15" s="5" t="s">
        <v>50</v>
      </c>
      <c r="M15" s="5">
        <v>3</v>
      </c>
      <c r="N15" s="5">
        <f>GETPIVOTDATA("Age_1+",$A$3,"Area",24,"SubArea",10)</f>
        <v>1536.3001999999999</v>
      </c>
      <c r="Q15" t="str">
        <f t="shared" si="0"/>
        <v/>
      </c>
    </row>
    <row r="16" spans="1:17" x14ac:dyDescent="0.35">
      <c r="A16">
        <v>25</v>
      </c>
      <c r="B16">
        <v>9</v>
      </c>
      <c r="C16" s="4">
        <v>444.21430000000004</v>
      </c>
      <c r="D16" s="4">
        <v>58.615200000000002</v>
      </c>
      <c r="E16" s="4">
        <v>591.99999999999989</v>
      </c>
      <c r="F16" s="4">
        <v>341.83340000000004</v>
      </c>
      <c r="G16" s="4">
        <v>175.64289999999997</v>
      </c>
      <c r="H16" s="4">
        <v>322.46115999999995</v>
      </c>
      <c r="K16" s="5">
        <v>24</v>
      </c>
      <c r="L16" s="5" t="s">
        <v>51</v>
      </c>
      <c r="M16" s="5">
        <v>4</v>
      </c>
      <c r="N16" s="5">
        <v>0</v>
      </c>
      <c r="Q16" t="str">
        <f t="shared" si="0"/>
        <v/>
      </c>
    </row>
    <row r="17" spans="1:17" x14ac:dyDescent="0.35">
      <c r="A17">
        <v>25</v>
      </c>
      <c r="B17">
        <v>10</v>
      </c>
      <c r="C17" s="4">
        <v>3911.9456</v>
      </c>
      <c r="D17" s="4">
        <v>2975.0027000000005</v>
      </c>
      <c r="E17" s="4">
        <v>1414.7191</v>
      </c>
      <c r="F17" s="4">
        <v>2293.0344</v>
      </c>
      <c r="G17" s="4">
        <v>725.78369999999995</v>
      </c>
      <c r="H17" s="4">
        <v>2264.0971</v>
      </c>
      <c r="K17" s="5">
        <v>24</v>
      </c>
      <c r="L17" s="5" t="s">
        <v>52</v>
      </c>
      <c r="M17" s="5">
        <v>5</v>
      </c>
      <c r="N17" s="5">
        <v>0</v>
      </c>
      <c r="Q17" t="str">
        <f t="shared" si="0"/>
        <v/>
      </c>
    </row>
    <row r="18" spans="1:17" x14ac:dyDescent="0.35">
      <c r="A18">
        <v>25</v>
      </c>
      <c r="B18">
        <v>11</v>
      </c>
      <c r="C18" s="4">
        <v>1574.6323000000002</v>
      </c>
      <c r="D18" s="4">
        <v>2283.5723000000003</v>
      </c>
      <c r="E18" s="4">
        <v>1552.2413000000001</v>
      </c>
      <c r="F18" s="4">
        <v>1586.5517000000004</v>
      </c>
      <c r="G18" s="4">
        <v>915.62630000000001</v>
      </c>
      <c r="H18" s="4">
        <v>1582.5247800000002</v>
      </c>
      <c r="K18" s="5">
        <v>24</v>
      </c>
      <c r="L18" s="5" t="s">
        <v>53</v>
      </c>
      <c r="M18" s="5">
        <v>6</v>
      </c>
      <c r="N18" s="5">
        <v>0</v>
      </c>
      <c r="Q18" t="str">
        <f t="shared" si="0"/>
        <v/>
      </c>
    </row>
    <row r="19" spans="1:17" x14ac:dyDescent="0.35">
      <c r="A19">
        <v>25</v>
      </c>
      <c r="B19">
        <v>12</v>
      </c>
      <c r="C19" s="4">
        <v>508.65589999999997</v>
      </c>
      <c r="D19" s="4">
        <v>291.25830000000002</v>
      </c>
      <c r="E19" s="4">
        <v>2081.1457000000005</v>
      </c>
      <c r="F19" s="4">
        <v>1075.0058999999999</v>
      </c>
      <c r="G19" s="4">
        <v>646.87340000000006</v>
      </c>
      <c r="H19" s="4">
        <v>920.58784000000014</v>
      </c>
      <c r="K19" s="5">
        <v>25</v>
      </c>
      <c r="L19" s="5" t="s">
        <v>54</v>
      </c>
      <c r="M19" s="5">
        <v>2</v>
      </c>
      <c r="N19" s="5">
        <f>GETPIVOTDATA("Age_1+",$A$3,"Area",25,"SubArea",9)</f>
        <v>322.46115999999995</v>
      </c>
      <c r="P19">
        <f>B16</f>
        <v>9</v>
      </c>
      <c r="Q19">
        <f t="shared" si="0"/>
        <v>2</v>
      </c>
    </row>
    <row r="20" spans="1:17" x14ac:dyDescent="0.35">
      <c r="A20">
        <v>26</v>
      </c>
      <c r="B20">
        <v>9</v>
      </c>
      <c r="C20" s="4">
        <v>135.25</v>
      </c>
      <c r="D20" s="4">
        <v>201.20000000000002</v>
      </c>
      <c r="E20" s="4">
        <v>117.2111</v>
      </c>
      <c r="F20" s="4">
        <v>147.13320000000002</v>
      </c>
      <c r="G20" s="4">
        <v>46.999899999999997</v>
      </c>
      <c r="H20" s="4">
        <v>129.55884</v>
      </c>
      <c r="K20" s="5">
        <v>25</v>
      </c>
      <c r="L20" s="5" t="s">
        <v>50</v>
      </c>
      <c r="M20" s="5">
        <v>3</v>
      </c>
      <c r="N20" s="5">
        <f>GETPIVOTDATA("Age_1+",$A$3,"Area",25,"SubArea",10)</f>
        <v>2264.0971</v>
      </c>
      <c r="P20">
        <f>B17</f>
        <v>10</v>
      </c>
      <c r="Q20">
        <f t="shared" si="0"/>
        <v>3</v>
      </c>
    </row>
    <row r="21" spans="1:17" x14ac:dyDescent="0.35">
      <c r="A21">
        <v>26</v>
      </c>
      <c r="B21">
        <v>10</v>
      </c>
      <c r="C21" s="4">
        <v>1088.6432</v>
      </c>
      <c r="D21" s="4">
        <v>1191.9429</v>
      </c>
      <c r="E21" s="4">
        <v>499.39200000000005</v>
      </c>
      <c r="F21" s="4">
        <v>297.45999999999998</v>
      </c>
      <c r="G21" s="4">
        <v>77.349900000000019</v>
      </c>
      <c r="H21" s="4">
        <v>630.95760000000007</v>
      </c>
      <c r="K21" s="5">
        <v>25</v>
      </c>
      <c r="L21" s="5" t="s">
        <v>51</v>
      </c>
      <c r="M21" s="5">
        <v>4</v>
      </c>
      <c r="N21" s="5">
        <f>GETPIVOTDATA("Age_1+",$A$3,"Area",25,"SubArea",11)</f>
        <v>1582.5247800000002</v>
      </c>
      <c r="P21">
        <f>B18</f>
        <v>11</v>
      </c>
      <c r="Q21">
        <f t="shared" si="0"/>
        <v>4</v>
      </c>
    </row>
    <row r="22" spans="1:17" x14ac:dyDescent="0.35">
      <c r="A22">
        <v>26</v>
      </c>
      <c r="B22">
        <v>11</v>
      </c>
      <c r="C22" s="4">
        <v>1667.2386000000001</v>
      </c>
      <c r="D22" s="4">
        <v>217.85999999999999</v>
      </c>
      <c r="E22" s="4">
        <v>352.79990000000004</v>
      </c>
      <c r="F22" s="4">
        <v>759.89749999999981</v>
      </c>
      <c r="G22" s="4">
        <v>392.85979999999995</v>
      </c>
      <c r="H22" s="4">
        <v>678.13116000000014</v>
      </c>
      <c r="K22" s="5">
        <v>25</v>
      </c>
      <c r="L22" s="5" t="s">
        <v>52</v>
      </c>
      <c r="M22" s="5">
        <v>5</v>
      </c>
      <c r="N22" s="5">
        <f>GETPIVOTDATA("Age_1+",$A$3,"Area",25,"SubArea",12)</f>
        <v>920.58784000000014</v>
      </c>
      <c r="P22">
        <f>B19</f>
        <v>12</v>
      </c>
      <c r="Q22">
        <f t="shared" si="0"/>
        <v>5</v>
      </c>
    </row>
    <row r="23" spans="1:17" x14ac:dyDescent="0.35">
      <c r="A23">
        <v>26</v>
      </c>
      <c r="B23">
        <v>12</v>
      </c>
      <c r="C23" s="4">
        <v>611.63150000000019</v>
      </c>
      <c r="D23" s="4">
        <v>252.57140000000001</v>
      </c>
      <c r="E23" s="4">
        <v>404.19990000000001</v>
      </c>
      <c r="F23" s="4">
        <v>1070.9411</v>
      </c>
      <c r="G23" s="4">
        <v>452.58879999999999</v>
      </c>
      <c r="H23" s="4">
        <v>558.38654000000008</v>
      </c>
      <c r="K23" s="5">
        <v>25</v>
      </c>
      <c r="L23" s="5" t="s">
        <v>53</v>
      </c>
      <c r="M23" s="5">
        <v>6</v>
      </c>
      <c r="N23" s="5">
        <v>0</v>
      </c>
      <c r="Q23" t="str">
        <f t="shared" si="0"/>
        <v/>
      </c>
    </row>
    <row r="24" spans="1:17" x14ac:dyDescent="0.35">
      <c r="A24">
        <v>26</v>
      </c>
      <c r="B24">
        <v>13</v>
      </c>
      <c r="C24" s="4">
        <v>70.166500000000013</v>
      </c>
      <c r="D24" s="4">
        <v>14</v>
      </c>
      <c r="E24" s="4">
        <v>283.33330000000001</v>
      </c>
      <c r="F24" s="4">
        <v>337.24999999999994</v>
      </c>
      <c r="G24" s="4">
        <v>561.25009999999997</v>
      </c>
      <c r="H24" s="4">
        <v>253.19998000000001</v>
      </c>
      <c r="K24" s="5">
        <v>26</v>
      </c>
      <c r="L24" s="5" t="s">
        <v>54</v>
      </c>
      <c r="M24" s="5">
        <v>2</v>
      </c>
      <c r="N24" s="5">
        <f>GETPIVOTDATA("Age_1+",$A$3,"Area",26,"SubArea",9)</f>
        <v>129.55884</v>
      </c>
      <c r="P24">
        <f>B20</f>
        <v>9</v>
      </c>
      <c r="Q24">
        <f t="shared" si="0"/>
        <v>2</v>
      </c>
    </row>
    <row r="25" spans="1:17" x14ac:dyDescent="0.35">
      <c r="A25">
        <v>26</v>
      </c>
      <c r="B25">
        <v>14</v>
      </c>
      <c r="C25" s="4"/>
      <c r="D25" s="4"/>
      <c r="E25" s="4">
        <v>405.99990000000008</v>
      </c>
      <c r="F25" s="4">
        <v>1603.9998999999996</v>
      </c>
      <c r="G25" s="4"/>
      <c r="H25" s="4">
        <v>1004.9998999999998</v>
      </c>
      <c r="K25" s="5">
        <v>26</v>
      </c>
      <c r="L25" s="5" t="s">
        <v>50</v>
      </c>
      <c r="M25" s="5">
        <v>3</v>
      </c>
      <c r="N25" s="5">
        <f>GETPIVOTDATA("Age_1+",$A$3,"Area",26,"SubArea",10)</f>
        <v>630.95760000000007</v>
      </c>
      <c r="P25">
        <f>B21</f>
        <v>10</v>
      </c>
      <c r="Q25">
        <f t="shared" si="0"/>
        <v>3</v>
      </c>
    </row>
    <row r="26" spans="1:17" x14ac:dyDescent="0.35">
      <c r="A26">
        <v>27</v>
      </c>
      <c r="B26">
        <v>10</v>
      </c>
      <c r="C26" s="4">
        <v>28.999900000000004</v>
      </c>
      <c r="D26" s="4"/>
      <c r="E26" s="4"/>
      <c r="F26" s="4"/>
      <c r="G26" s="4">
        <v>1</v>
      </c>
      <c r="H26" s="4">
        <v>14.999950000000002</v>
      </c>
      <c r="K26" s="5">
        <v>26</v>
      </c>
      <c r="L26" s="5" t="s">
        <v>51</v>
      </c>
      <c r="M26" s="5">
        <v>4</v>
      </c>
      <c r="N26" s="5">
        <f>GETPIVOTDATA("Age_1+",$A$3,"Area",26,"SubArea",11)</f>
        <v>678.13116000000014</v>
      </c>
      <c r="P26">
        <f>B22</f>
        <v>11</v>
      </c>
      <c r="Q26">
        <f t="shared" si="0"/>
        <v>4</v>
      </c>
    </row>
    <row r="27" spans="1:17" x14ac:dyDescent="0.35">
      <c r="A27">
        <v>27</v>
      </c>
      <c r="B27">
        <v>11</v>
      </c>
      <c r="C27" s="4">
        <v>102.5</v>
      </c>
      <c r="D27" s="4">
        <v>700.25</v>
      </c>
      <c r="E27" s="4">
        <v>1.5</v>
      </c>
      <c r="F27" s="4">
        <v>39.999900000000004</v>
      </c>
      <c r="G27" s="4">
        <v>9</v>
      </c>
      <c r="H27" s="4">
        <v>170.64998</v>
      </c>
      <c r="K27" s="5">
        <v>26</v>
      </c>
      <c r="L27" s="5" t="s">
        <v>52</v>
      </c>
      <c r="M27" s="5">
        <v>5</v>
      </c>
      <c r="N27" s="5">
        <f>GETPIVOTDATA("Age_1+",$A$3,"Area",26,"SubArea",12)</f>
        <v>558.38654000000008</v>
      </c>
      <c r="P27">
        <f>B23</f>
        <v>12</v>
      </c>
      <c r="Q27">
        <f t="shared" si="0"/>
        <v>5</v>
      </c>
    </row>
    <row r="28" spans="1:17" x14ac:dyDescent="0.35">
      <c r="A28">
        <v>27</v>
      </c>
      <c r="B28">
        <v>12</v>
      </c>
      <c r="C28" s="4">
        <v>506</v>
      </c>
      <c r="D28" s="4">
        <v>0</v>
      </c>
      <c r="E28" s="4">
        <v>0</v>
      </c>
      <c r="F28" s="4">
        <v>0</v>
      </c>
      <c r="G28" s="4">
        <v>0</v>
      </c>
      <c r="H28" s="4">
        <v>101.2</v>
      </c>
      <c r="K28" s="5">
        <v>26</v>
      </c>
      <c r="L28" s="5" t="s">
        <v>53</v>
      </c>
      <c r="M28" s="5">
        <v>6</v>
      </c>
      <c r="N28" s="5">
        <f>SUM(H24:H25)</f>
        <v>1258.1998799999999</v>
      </c>
      <c r="Q28" t="s">
        <v>61</v>
      </c>
    </row>
    <row r="29" spans="1:17" x14ac:dyDescent="0.35">
      <c r="A29">
        <v>27</v>
      </c>
      <c r="B29">
        <v>13</v>
      </c>
      <c r="C29" s="4">
        <v>0</v>
      </c>
      <c r="D29" s="4"/>
      <c r="E29" s="4">
        <v>0</v>
      </c>
      <c r="F29" s="4">
        <v>0</v>
      </c>
      <c r="G29" s="4">
        <v>0</v>
      </c>
      <c r="H29" s="4">
        <v>0</v>
      </c>
      <c r="K29" s="5">
        <v>27</v>
      </c>
      <c r="L29" s="5" t="s">
        <v>49</v>
      </c>
      <c r="M29" s="5">
        <v>2</v>
      </c>
      <c r="N29" s="5">
        <v>0</v>
      </c>
      <c r="Q29" t="str">
        <f t="shared" si="0"/>
        <v/>
      </c>
    </row>
    <row r="30" spans="1:17" x14ac:dyDescent="0.35">
      <c r="A30">
        <v>28</v>
      </c>
      <c r="B30">
        <v>9</v>
      </c>
      <c r="C30" s="4">
        <v>2.0000999999999998</v>
      </c>
      <c r="D30" s="4">
        <v>0</v>
      </c>
      <c r="E30" s="4">
        <v>5.3333000000000004</v>
      </c>
      <c r="F30" s="4">
        <v>3</v>
      </c>
      <c r="G30" s="4">
        <v>0</v>
      </c>
      <c r="H30" s="4">
        <v>2.0666800000000003</v>
      </c>
      <c r="K30" s="5">
        <v>27</v>
      </c>
      <c r="L30" s="5" t="s">
        <v>50</v>
      </c>
      <c r="M30" s="5">
        <v>3</v>
      </c>
      <c r="N30" s="5">
        <f>GETPIVOTDATA("Age_1+",$A$3,"Area",27,"SubArea",10)</f>
        <v>14.999950000000002</v>
      </c>
      <c r="P30">
        <f>B26</f>
        <v>10</v>
      </c>
      <c r="Q30">
        <f>IF(P30=9,2,IF(P30=10,3,IF(P30=11,4,IF(P30=12,5,IF(P30=13,6,"")))))</f>
        <v>3</v>
      </c>
    </row>
    <row r="31" spans="1:17" x14ac:dyDescent="0.35">
      <c r="A31">
        <v>28</v>
      </c>
      <c r="B31">
        <v>10</v>
      </c>
      <c r="C31" s="4">
        <v>65.1999</v>
      </c>
      <c r="D31" s="4">
        <v>41.999900000000004</v>
      </c>
      <c r="E31" s="4">
        <v>54.857000000000006</v>
      </c>
      <c r="F31" s="4">
        <v>8.9999999999999982</v>
      </c>
      <c r="G31" s="4">
        <v>16.200099999999999</v>
      </c>
      <c r="H31" s="4">
        <v>37.45138</v>
      </c>
      <c r="K31" s="5">
        <v>27</v>
      </c>
      <c r="L31" s="5" t="s">
        <v>51</v>
      </c>
      <c r="M31" s="5">
        <v>4</v>
      </c>
      <c r="N31" s="5">
        <f>GETPIVOTDATA("Age_1+",$A$3,"Area",27,"SubArea",11)</f>
        <v>170.64998</v>
      </c>
      <c r="P31">
        <f>B27</f>
        <v>11</v>
      </c>
      <c r="Q31">
        <f t="shared" ref="Q31:Q38" si="1">IF(P31=9,2,IF(P31=10,3,IF(P31=11,4,IF(P31=12,5,IF(P31=13,6,"")))))</f>
        <v>4</v>
      </c>
    </row>
    <row r="32" spans="1:17" x14ac:dyDescent="0.35">
      <c r="A32">
        <v>28</v>
      </c>
      <c r="B32">
        <v>11</v>
      </c>
      <c r="C32" s="4">
        <v>48.307799999999993</v>
      </c>
      <c r="D32" s="4">
        <v>187.41659999999996</v>
      </c>
      <c r="E32" s="4">
        <v>68.545299999999997</v>
      </c>
      <c r="F32" s="4">
        <v>32.8887</v>
      </c>
      <c r="G32" s="4">
        <v>15.1999</v>
      </c>
      <c r="H32" s="4">
        <v>70.471659999999986</v>
      </c>
      <c r="K32" s="5">
        <v>27</v>
      </c>
      <c r="L32" s="5" t="s">
        <v>52</v>
      </c>
      <c r="M32" s="5">
        <v>5</v>
      </c>
      <c r="N32" s="5">
        <f>GETPIVOTDATA("Age_1+",$A$3,"Area",27,"SubArea",12)</f>
        <v>101.2</v>
      </c>
      <c r="P32">
        <f>B28</f>
        <v>12</v>
      </c>
      <c r="Q32">
        <f t="shared" si="1"/>
        <v>5</v>
      </c>
    </row>
    <row r="33" spans="1:17" x14ac:dyDescent="0.35">
      <c r="A33">
        <v>28</v>
      </c>
      <c r="B33">
        <v>12</v>
      </c>
      <c r="C33" s="4">
        <v>7</v>
      </c>
      <c r="D33" s="4">
        <v>0</v>
      </c>
      <c r="E33" s="4">
        <v>4.2499999999999991</v>
      </c>
      <c r="F33" s="4">
        <v>3.4285000000000001</v>
      </c>
      <c r="G33" s="4">
        <v>649.59990000000005</v>
      </c>
      <c r="H33" s="4">
        <v>132.85568000000001</v>
      </c>
      <c r="K33" s="5">
        <v>27</v>
      </c>
      <c r="L33" s="5" t="s">
        <v>53</v>
      </c>
      <c r="M33" s="5">
        <v>6</v>
      </c>
      <c r="N33" s="5">
        <f>GETPIVOTDATA("Age_1+",$A$3,"Area",27,"SubArea",13)</f>
        <v>0</v>
      </c>
      <c r="P33">
        <f>B29</f>
        <v>13</v>
      </c>
      <c r="Q33">
        <f t="shared" si="1"/>
        <v>6</v>
      </c>
    </row>
    <row r="34" spans="1:17" x14ac:dyDescent="0.35">
      <c r="A34">
        <v>28</v>
      </c>
      <c r="B34">
        <v>13</v>
      </c>
      <c r="C34" s="4"/>
      <c r="D34" s="4"/>
      <c r="E34" s="4"/>
      <c r="F34" s="4"/>
      <c r="G34" s="4">
        <v>128</v>
      </c>
      <c r="H34" s="4">
        <v>128</v>
      </c>
      <c r="K34" s="5">
        <v>28</v>
      </c>
      <c r="L34" s="5" t="s">
        <v>49</v>
      </c>
      <c r="M34" s="5">
        <v>2</v>
      </c>
      <c r="N34" s="5">
        <f>GETPIVOTDATA("Age_1+",$A$3,"Area",28,"SubArea",9)</f>
        <v>2.0666800000000003</v>
      </c>
      <c r="P34">
        <f>B30</f>
        <v>9</v>
      </c>
      <c r="Q34">
        <f t="shared" si="1"/>
        <v>2</v>
      </c>
    </row>
    <row r="35" spans="1:17" x14ac:dyDescent="0.35">
      <c r="A35" t="s">
        <v>22</v>
      </c>
      <c r="C35" s="4">
        <v>550.58441851851853</v>
      </c>
      <c r="D35" s="4">
        <v>573.57620000000009</v>
      </c>
      <c r="E35" s="4">
        <v>548.64706666666666</v>
      </c>
      <c r="F35" s="4">
        <v>426.14347407407405</v>
      </c>
      <c r="G35" s="4">
        <v>272.78174827586207</v>
      </c>
      <c r="H35" s="4">
        <v>469.89036740740744</v>
      </c>
      <c r="K35" s="5">
        <v>28</v>
      </c>
      <c r="L35" s="5" t="s">
        <v>50</v>
      </c>
      <c r="M35" s="5">
        <v>3</v>
      </c>
      <c r="N35" s="5">
        <f>GETPIVOTDATA("Age_1+",$A$3,"Area",28,"SubArea",10)</f>
        <v>37.45138</v>
      </c>
      <c r="P35">
        <f>B31</f>
        <v>10</v>
      </c>
      <c r="Q35">
        <f t="shared" si="1"/>
        <v>3</v>
      </c>
    </row>
    <row r="36" spans="1:17" x14ac:dyDescent="0.35">
      <c r="K36" s="5">
        <v>28</v>
      </c>
      <c r="L36" s="5" t="s">
        <v>51</v>
      </c>
      <c r="M36" s="5">
        <v>4</v>
      </c>
      <c r="N36" s="5">
        <f>GETPIVOTDATA("Age_1+",$A$3,"Area",28,"SubArea",11)</f>
        <v>70.471659999999986</v>
      </c>
      <c r="P36">
        <f>B32</f>
        <v>11</v>
      </c>
      <c r="Q36">
        <f t="shared" si="1"/>
        <v>4</v>
      </c>
    </row>
    <row r="37" spans="1:17" x14ac:dyDescent="0.35">
      <c r="K37" s="5">
        <v>28</v>
      </c>
      <c r="L37" s="5" t="s">
        <v>52</v>
      </c>
      <c r="M37" s="5">
        <v>5</v>
      </c>
      <c r="N37" s="5">
        <f>GETPIVOTDATA("Age_1+",$A$3,"Area",28,"SubArea",12)</f>
        <v>132.85568000000001</v>
      </c>
      <c r="P37">
        <f>B33</f>
        <v>12</v>
      </c>
      <c r="Q37">
        <f t="shared" si="1"/>
        <v>5</v>
      </c>
    </row>
    <row r="38" spans="1:17" x14ac:dyDescent="0.35">
      <c r="K38" s="5">
        <v>28</v>
      </c>
      <c r="L38" s="5" t="s">
        <v>53</v>
      </c>
      <c r="M38" s="5">
        <v>6</v>
      </c>
      <c r="N38" s="5">
        <f>GETPIVOTDATA("Age_1+",$A$3,"Area",28,"SubArea",13)</f>
        <v>128</v>
      </c>
      <c r="P38">
        <f>B34</f>
        <v>13</v>
      </c>
      <c r="Q38">
        <f t="shared" si="1"/>
        <v>6</v>
      </c>
    </row>
    <row r="39" spans="1:17" ht="43.5" x14ac:dyDescent="0.35">
      <c r="B39" s="7" t="s">
        <v>55</v>
      </c>
      <c r="C39" s="8" t="s">
        <v>56</v>
      </c>
    </row>
    <row r="40" spans="1:17" x14ac:dyDescent="0.35">
      <c r="B40" s="9">
        <v>2</v>
      </c>
      <c r="C40" s="10">
        <v>9</v>
      </c>
    </row>
    <row r="41" spans="1:17" x14ac:dyDescent="0.35">
      <c r="B41" s="9">
        <v>3</v>
      </c>
      <c r="C41" s="10">
        <v>10</v>
      </c>
    </row>
    <row r="42" spans="1:17" x14ac:dyDescent="0.35">
      <c r="B42" s="9">
        <v>4</v>
      </c>
      <c r="C42" s="10">
        <v>11</v>
      </c>
    </row>
    <row r="43" spans="1:17" x14ac:dyDescent="0.35">
      <c r="B43" s="9">
        <v>5</v>
      </c>
      <c r="C43" s="10">
        <v>12</v>
      </c>
    </row>
    <row r="44" spans="1:17" x14ac:dyDescent="0.35">
      <c r="B44" s="9">
        <v>6</v>
      </c>
      <c r="C44" s="10">
        <v>13</v>
      </c>
    </row>
    <row r="45" spans="1:17" x14ac:dyDescent="0.35">
      <c r="B45" s="11">
        <v>7</v>
      </c>
      <c r="C45" s="12">
        <v>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6"/>
  <sheetViews>
    <sheetView workbookViewId="0">
      <selection activeCell="S2" sqref="S2:S136"/>
    </sheetView>
  </sheetViews>
  <sheetFormatPr defaultRowHeight="14.5" x14ac:dyDescent="0.35"/>
  <cols>
    <col min="7" max="7" width="13.81640625" bestFit="1" customWidth="1"/>
    <col min="18" max="18" width="7.81640625" customWidth="1"/>
    <col min="19" max="19" width="9" bestFit="1" customWidth="1"/>
  </cols>
  <sheetData>
    <row r="1" spans="1:2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44</v>
      </c>
    </row>
    <row r="2" spans="1:20" x14ac:dyDescent="0.35">
      <c r="A2" s="5" t="s">
        <v>19</v>
      </c>
      <c r="B2" s="5">
        <v>2013</v>
      </c>
      <c r="C2" s="5">
        <v>1</v>
      </c>
      <c r="D2" s="5">
        <v>21</v>
      </c>
      <c r="E2" s="5">
        <v>10</v>
      </c>
      <c r="F2" s="5">
        <v>126436</v>
      </c>
      <c r="G2" s="5" t="s">
        <v>20</v>
      </c>
      <c r="H2" s="5">
        <v>0</v>
      </c>
      <c r="I2" s="5">
        <v>63.674799999999998</v>
      </c>
      <c r="J2" s="5">
        <v>14.0586</v>
      </c>
      <c r="K2" s="5">
        <v>1.7566999999999999</v>
      </c>
      <c r="L2" s="5">
        <v>0.93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/>
      <c r="T2">
        <f t="shared" ref="T2:T33" si="0">SUM(I2:R2)</f>
        <v>80.420100000000005</v>
      </c>
    </row>
    <row r="3" spans="1:20" x14ac:dyDescent="0.35">
      <c r="A3" s="5" t="s">
        <v>19</v>
      </c>
      <c r="B3" s="5">
        <v>2013</v>
      </c>
      <c r="C3" s="5">
        <v>1</v>
      </c>
      <c r="D3" s="5">
        <v>21</v>
      </c>
      <c r="E3" s="5">
        <v>11</v>
      </c>
      <c r="F3" s="5">
        <v>126436</v>
      </c>
      <c r="G3" s="5" t="s">
        <v>20</v>
      </c>
      <c r="H3" s="5">
        <v>0</v>
      </c>
      <c r="I3" s="5">
        <v>47.7348</v>
      </c>
      <c r="J3" s="5">
        <v>61.185600000000001</v>
      </c>
      <c r="K3" s="5">
        <v>5.9130000000000003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/>
      <c r="T3">
        <f t="shared" si="0"/>
        <v>114.8334</v>
      </c>
    </row>
    <row r="4" spans="1:20" x14ac:dyDescent="0.35">
      <c r="A4" s="5" t="s">
        <v>19</v>
      </c>
      <c r="B4" s="5">
        <v>2013</v>
      </c>
      <c r="C4" s="5">
        <v>1</v>
      </c>
      <c r="D4" s="5">
        <v>21</v>
      </c>
      <c r="E4" s="5">
        <v>9</v>
      </c>
      <c r="F4" s="5">
        <v>126436</v>
      </c>
      <c r="G4" s="5" t="s">
        <v>20</v>
      </c>
      <c r="H4" s="5">
        <v>0</v>
      </c>
      <c r="I4" s="5">
        <v>272.7817</v>
      </c>
      <c r="J4" s="5">
        <v>62.453600000000002</v>
      </c>
      <c r="K4" s="5">
        <v>13.312799999999999</v>
      </c>
      <c r="L4" s="5">
        <v>0</v>
      </c>
      <c r="M4" s="5">
        <v>0.56359999999999999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/>
      <c r="T4">
        <f t="shared" si="0"/>
        <v>349.11169999999998</v>
      </c>
    </row>
    <row r="5" spans="1:20" x14ac:dyDescent="0.35">
      <c r="A5" s="5" t="s">
        <v>19</v>
      </c>
      <c r="B5" s="5">
        <v>2013</v>
      </c>
      <c r="C5" s="5">
        <v>1</v>
      </c>
      <c r="D5" s="5">
        <v>22</v>
      </c>
      <c r="E5" s="5">
        <v>8</v>
      </c>
      <c r="F5" s="5">
        <v>126436</v>
      </c>
      <c r="G5" s="5" t="s">
        <v>20</v>
      </c>
      <c r="H5" s="5">
        <v>0</v>
      </c>
      <c r="I5" s="5">
        <v>104.1443</v>
      </c>
      <c r="J5" s="5">
        <v>27.831900000000001</v>
      </c>
      <c r="K5" s="5">
        <v>13.8634</v>
      </c>
      <c r="L5" s="5">
        <v>1.3084</v>
      </c>
      <c r="M5" s="5">
        <v>1.0082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/>
      <c r="T5">
        <f t="shared" si="0"/>
        <v>148.15620000000001</v>
      </c>
    </row>
    <row r="6" spans="1:20" x14ac:dyDescent="0.35">
      <c r="A6" s="5" t="s">
        <v>19</v>
      </c>
      <c r="B6" s="5">
        <v>2013</v>
      </c>
      <c r="C6" s="5">
        <v>1</v>
      </c>
      <c r="D6" s="5">
        <v>22</v>
      </c>
      <c r="E6" s="5">
        <v>9</v>
      </c>
      <c r="F6" s="5">
        <v>126436</v>
      </c>
      <c r="G6" s="5" t="s">
        <v>20</v>
      </c>
      <c r="H6" s="5">
        <v>0</v>
      </c>
      <c r="I6" s="5">
        <v>178.71340000000001</v>
      </c>
      <c r="J6" s="5">
        <v>28.4956</v>
      </c>
      <c r="K6" s="5">
        <v>34.088700000000003</v>
      </c>
      <c r="L6" s="5">
        <v>3.7921999999999998</v>
      </c>
      <c r="M6" s="5">
        <v>3.1831999999999998</v>
      </c>
      <c r="N6" s="5">
        <v>0.77500000000000002</v>
      </c>
      <c r="O6" s="5">
        <v>0</v>
      </c>
      <c r="P6" s="5">
        <v>0</v>
      </c>
      <c r="Q6" s="5">
        <v>0</v>
      </c>
      <c r="R6" s="5">
        <v>0</v>
      </c>
      <c r="S6" s="5"/>
      <c r="T6">
        <f t="shared" si="0"/>
        <v>249.04810000000003</v>
      </c>
    </row>
    <row r="7" spans="1:20" x14ac:dyDescent="0.35">
      <c r="A7" s="5" t="s">
        <v>19</v>
      </c>
      <c r="B7" s="5">
        <v>2013</v>
      </c>
      <c r="C7" s="5">
        <v>1</v>
      </c>
      <c r="D7" s="5">
        <v>23</v>
      </c>
      <c r="E7" s="5">
        <v>8</v>
      </c>
      <c r="F7" s="5">
        <v>126436</v>
      </c>
      <c r="G7" s="5" t="s">
        <v>20</v>
      </c>
      <c r="H7" s="5">
        <v>0</v>
      </c>
      <c r="I7" s="5">
        <v>135.30000000000001</v>
      </c>
      <c r="J7" s="5">
        <v>462.86500000000001</v>
      </c>
      <c r="K7" s="5">
        <v>768.07669999999996</v>
      </c>
      <c r="L7" s="5">
        <v>108.75830000000001</v>
      </c>
      <c r="M7" s="5">
        <v>53.475000000000001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/>
      <c r="T7">
        <f t="shared" si="0"/>
        <v>1528.4749999999999</v>
      </c>
    </row>
    <row r="8" spans="1:20" x14ac:dyDescent="0.35">
      <c r="A8" s="5" t="s">
        <v>19</v>
      </c>
      <c r="B8" s="5">
        <v>2013</v>
      </c>
      <c r="C8" s="5">
        <v>1</v>
      </c>
      <c r="D8" s="5">
        <v>23</v>
      </c>
      <c r="E8" s="5">
        <v>9</v>
      </c>
      <c r="F8" s="5">
        <v>126436</v>
      </c>
      <c r="G8" s="5" t="s">
        <v>20</v>
      </c>
      <c r="H8" s="5">
        <v>0</v>
      </c>
      <c r="I8" s="5">
        <v>134.19999999999999</v>
      </c>
      <c r="J8" s="5">
        <v>77.846699999999998</v>
      </c>
      <c r="K8" s="5">
        <v>26.453299999999999</v>
      </c>
      <c r="L8" s="5">
        <v>0</v>
      </c>
      <c r="M8" s="5">
        <v>3.1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/>
      <c r="T8">
        <f t="shared" si="0"/>
        <v>241.6</v>
      </c>
    </row>
    <row r="9" spans="1:20" x14ac:dyDescent="0.35">
      <c r="A9" s="5" t="s">
        <v>19</v>
      </c>
      <c r="B9" s="5">
        <v>2013</v>
      </c>
      <c r="C9" s="5">
        <v>1</v>
      </c>
      <c r="D9" s="5">
        <v>24</v>
      </c>
      <c r="E9" s="5">
        <v>10</v>
      </c>
      <c r="F9" s="5">
        <v>126436</v>
      </c>
      <c r="G9" s="5" t="s">
        <v>20</v>
      </c>
      <c r="H9" s="5">
        <v>0</v>
      </c>
      <c r="I9" s="5">
        <v>729.63699999999994</v>
      </c>
      <c r="J9" s="5">
        <v>361.5949</v>
      </c>
      <c r="K9" s="5">
        <v>68.501099999999994</v>
      </c>
      <c r="L9" s="5">
        <v>39.414499999999997</v>
      </c>
      <c r="M9" s="5">
        <v>4.0400999999999998</v>
      </c>
      <c r="N9" s="5">
        <v>0.46250000000000002</v>
      </c>
      <c r="O9" s="5">
        <v>0</v>
      </c>
      <c r="P9" s="5">
        <v>0.29520000000000002</v>
      </c>
      <c r="Q9" s="5">
        <v>0</v>
      </c>
      <c r="R9" s="5">
        <v>0</v>
      </c>
      <c r="S9" s="5"/>
      <c r="T9">
        <f t="shared" si="0"/>
        <v>1203.9453000000001</v>
      </c>
    </row>
    <row r="10" spans="1:20" x14ac:dyDescent="0.35">
      <c r="A10" s="5" t="s">
        <v>19</v>
      </c>
      <c r="B10" s="5">
        <v>2013</v>
      </c>
      <c r="C10" s="5">
        <v>1</v>
      </c>
      <c r="D10" s="5">
        <v>24</v>
      </c>
      <c r="E10" s="5">
        <v>8</v>
      </c>
      <c r="F10" s="5">
        <v>126436</v>
      </c>
      <c r="G10" s="5" t="s">
        <v>20</v>
      </c>
      <c r="H10" s="5">
        <v>0</v>
      </c>
      <c r="I10" s="5">
        <v>20.453800000000001</v>
      </c>
      <c r="J10" s="5">
        <v>13.245900000000001</v>
      </c>
      <c r="K10" s="5">
        <v>7.0267999999999997</v>
      </c>
      <c r="L10" s="5">
        <v>3.7299000000000002</v>
      </c>
      <c r="M10" s="5">
        <v>0.39389999999999997</v>
      </c>
      <c r="N10" s="5">
        <v>2.3E-2</v>
      </c>
      <c r="O10" s="5">
        <v>0</v>
      </c>
      <c r="P10" s="5">
        <v>0</v>
      </c>
      <c r="Q10" s="5">
        <v>0</v>
      </c>
      <c r="R10" s="5">
        <v>0</v>
      </c>
      <c r="S10" s="5"/>
      <c r="T10">
        <f t="shared" si="0"/>
        <v>44.873300000000008</v>
      </c>
    </row>
    <row r="11" spans="1:20" x14ac:dyDescent="0.35">
      <c r="A11" s="5" t="s">
        <v>19</v>
      </c>
      <c r="B11" s="5">
        <v>2013</v>
      </c>
      <c r="C11" s="5">
        <v>1</v>
      </c>
      <c r="D11" s="5">
        <v>24</v>
      </c>
      <c r="E11" s="5">
        <v>9</v>
      </c>
      <c r="F11" s="5">
        <v>126436</v>
      </c>
      <c r="G11" s="5" t="s">
        <v>20</v>
      </c>
      <c r="H11" s="5">
        <v>0</v>
      </c>
      <c r="I11" s="5">
        <v>91.211799999999997</v>
      </c>
      <c r="J11" s="5">
        <v>25.1845</v>
      </c>
      <c r="K11" s="5">
        <v>10.0014</v>
      </c>
      <c r="L11" s="5">
        <v>5.8097000000000003</v>
      </c>
      <c r="M11" s="5">
        <v>0.66100000000000003</v>
      </c>
      <c r="N11" s="5">
        <v>6.2199999999999998E-2</v>
      </c>
      <c r="O11" s="5">
        <v>0</v>
      </c>
      <c r="P11" s="5">
        <v>0</v>
      </c>
      <c r="Q11" s="5">
        <v>0</v>
      </c>
      <c r="R11" s="5">
        <v>0</v>
      </c>
      <c r="S11" s="5"/>
      <c r="T11">
        <f t="shared" si="0"/>
        <v>132.9306</v>
      </c>
    </row>
    <row r="12" spans="1:20" x14ac:dyDescent="0.35">
      <c r="A12" s="5" t="s">
        <v>19</v>
      </c>
      <c r="B12" s="5">
        <v>2013</v>
      </c>
      <c r="C12" s="5">
        <v>1</v>
      </c>
      <c r="D12" s="5">
        <v>25</v>
      </c>
      <c r="E12" s="5">
        <v>10</v>
      </c>
      <c r="F12" s="5">
        <v>126436</v>
      </c>
      <c r="G12" s="5" t="s">
        <v>20</v>
      </c>
      <c r="H12" s="5">
        <v>0</v>
      </c>
      <c r="I12" s="5">
        <v>50.839100000000002</v>
      </c>
      <c r="J12" s="5">
        <v>2206.7676999999999</v>
      </c>
      <c r="K12" s="5">
        <v>1194.1274000000001</v>
      </c>
      <c r="L12" s="5">
        <v>347.96420000000001</v>
      </c>
      <c r="M12" s="5">
        <v>73.318899999999999</v>
      </c>
      <c r="N12" s="5">
        <v>33.474800000000002</v>
      </c>
      <c r="O12" s="5">
        <v>5.0063000000000004</v>
      </c>
      <c r="P12" s="5">
        <v>0.42049999999999998</v>
      </c>
      <c r="Q12" s="5">
        <v>2.6700000000000002E-2</v>
      </c>
      <c r="R12" s="5">
        <v>0</v>
      </c>
      <c r="S12" s="5"/>
      <c r="T12">
        <f t="shared" si="0"/>
        <v>3911.9456</v>
      </c>
    </row>
    <row r="13" spans="1:20" x14ac:dyDescent="0.35">
      <c r="A13" s="5" t="s">
        <v>19</v>
      </c>
      <c r="B13" s="5">
        <v>2013</v>
      </c>
      <c r="C13" s="5">
        <v>1</v>
      </c>
      <c r="D13" s="5">
        <v>25</v>
      </c>
      <c r="E13" s="5">
        <v>11</v>
      </c>
      <c r="F13" s="5">
        <v>126436</v>
      </c>
      <c r="G13" s="5" t="s">
        <v>20</v>
      </c>
      <c r="H13" s="5">
        <v>0</v>
      </c>
      <c r="I13" s="5">
        <v>15.3269</v>
      </c>
      <c r="J13" s="5">
        <v>662.79819999999995</v>
      </c>
      <c r="K13" s="5">
        <v>562.33429999999998</v>
      </c>
      <c r="L13" s="5">
        <v>229.49629999999999</v>
      </c>
      <c r="M13" s="5">
        <v>67.850800000000007</v>
      </c>
      <c r="N13" s="5">
        <v>29.787800000000001</v>
      </c>
      <c r="O13" s="5">
        <v>5.63</v>
      </c>
      <c r="P13" s="5">
        <v>1.0615000000000001</v>
      </c>
      <c r="Q13" s="5">
        <v>0.11310000000000001</v>
      </c>
      <c r="R13" s="5">
        <v>0.2334</v>
      </c>
      <c r="S13" s="5"/>
      <c r="T13">
        <f t="shared" si="0"/>
        <v>1574.6323000000002</v>
      </c>
    </row>
    <row r="14" spans="1:20" x14ac:dyDescent="0.35">
      <c r="A14" s="5" t="s">
        <v>19</v>
      </c>
      <c r="B14" s="5">
        <v>2013</v>
      </c>
      <c r="C14" s="5">
        <v>1</v>
      </c>
      <c r="D14" s="5">
        <v>25</v>
      </c>
      <c r="E14" s="5">
        <v>12</v>
      </c>
      <c r="F14" s="5">
        <v>126436</v>
      </c>
      <c r="G14" s="5" t="s">
        <v>20</v>
      </c>
      <c r="H14" s="5">
        <v>0</v>
      </c>
      <c r="I14" s="5">
        <v>6.1905999999999999</v>
      </c>
      <c r="J14" s="5">
        <v>105.5902</v>
      </c>
      <c r="K14" s="5">
        <v>204.44120000000001</v>
      </c>
      <c r="L14" s="5">
        <v>119.8943</v>
      </c>
      <c r="M14" s="5">
        <v>46.803199999999997</v>
      </c>
      <c r="N14" s="5">
        <v>21.086400000000001</v>
      </c>
      <c r="O14" s="5">
        <v>4.0568</v>
      </c>
      <c r="P14" s="5">
        <v>0.57799999999999996</v>
      </c>
      <c r="Q14" s="5">
        <v>1.52E-2</v>
      </c>
      <c r="R14" s="5">
        <v>0</v>
      </c>
      <c r="S14" s="5"/>
      <c r="T14">
        <f t="shared" si="0"/>
        <v>508.65589999999997</v>
      </c>
    </row>
    <row r="15" spans="1:20" x14ac:dyDescent="0.35">
      <c r="A15" s="5" t="s">
        <v>19</v>
      </c>
      <c r="B15" s="5">
        <v>2013</v>
      </c>
      <c r="C15" s="5">
        <v>1</v>
      </c>
      <c r="D15" s="5">
        <v>25</v>
      </c>
      <c r="E15" s="5">
        <v>9</v>
      </c>
      <c r="F15" s="5">
        <v>126436</v>
      </c>
      <c r="G15" s="5" t="s">
        <v>20</v>
      </c>
      <c r="H15" s="5">
        <v>0</v>
      </c>
      <c r="I15" s="5">
        <v>3.0468000000000002</v>
      </c>
      <c r="J15" s="5">
        <v>184.9486</v>
      </c>
      <c r="K15" s="5">
        <v>167.5027</v>
      </c>
      <c r="L15" s="5">
        <v>68.796599999999998</v>
      </c>
      <c r="M15" s="5">
        <v>12.8512</v>
      </c>
      <c r="N15" s="5">
        <v>6.2415000000000003</v>
      </c>
      <c r="O15" s="5">
        <v>0.7873</v>
      </c>
      <c r="P15" s="5">
        <v>1.3599999999999999E-2</v>
      </c>
      <c r="Q15" s="5">
        <v>2.5999999999999999E-2</v>
      </c>
      <c r="R15" s="5">
        <v>0</v>
      </c>
      <c r="S15" s="5"/>
      <c r="T15">
        <f t="shared" si="0"/>
        <v>444.21430000000004</v>
      </c>
    </row>
    <row r="16" spans="1:20" x14ac:dyDescent="0.35">
      <c r="A16" s="5" t="s">
        <v>19</v>
      </c>
      <c r="B16" s="5">
        <v>2013</v>
      </c>
      <c r="C16" s="5">
        <v>1</v>
      </c>
      <c r="D16" s="5">
        <v>26</v>
      </c>
      <c r="E16" s="5">
        <v>10</v>
      </c>
      <c r="F16" s="5">
        <v>126436</v>
      </c>
      <c r="G16" s="5" t="s">
        <v>20</v>
      </c>
      <c r="H16" s="5">
        <v>0</v>
      </c>
      <c r="I16" s="5">
        <v>7.8827999999999996</v>
      </c>
      <c r="J16" s="5">
        <v>386.9348</v>
      </c>
      <c r="K16" s="5">
        <v>483.7672</v>
      </c>
      <c r="L16" s="5">
        <v>145.05539999999999</v>
      </c>
      <c r="M16" s="5">
        <v>48.6066</v>
      </c>
      <c r="N16" s="5">
        <v>13.5938</v>
      </c>
      <c r="O16" s="5">
        <v>1.196</v>
      </c>
      <c r="P16" s="5">
        <v>1.4612000000000001</v>
      </c>
      <c r="Q16" s="5">
        <v>5.21E-2</v>
      </c>
      <c r="R16" s="5">
        <v>9.3299999999999994E-2</v>
      </c>
      <c r="S16" s="5"/>
      <c r="T16">
        <f t="shared" si="0"/>
        <v>1088.6432</v>
      </c>
    </row>
    <row r="17" spans="1:20" x14ac:dyDescent="0.35">
      <c r="A17" s="5" t="s">
        <v>19</v>
      </c>
      <c r="B17" s="5">
        <v>2013</v>
      </c>
      <c r="C17" s="5">
        <v>1</v>
      </c>
      <c r="D17" s="5">
        <v>26</v>
      </c>
      <c r="E17" s="5">
        <v>11</v>
      </c>
      <c r="F17" s="5">
        <v>126436</v>
      </c>
      <c r="G17" s="5" t="s">
        <v>20</v>
      </c>
      <c r="H17" s="5">
        <v>0</v>
      </c>
      <c r="I17" s="5">
        <v>83.440200000000004</v>
      </c>
      <c r="J17" s="5">
        <v>882.18889999999999</v>
      </c>
      <c r="K17" s="5">
        <v>489.42669999999998</v>
      </c>
      <c r="L17" s="5">
        <v>140.50040000000001</v>
      </c>
      <c r="M17" s="5">
        <v>50.922699999999999</v>
      </c>
      <c r="N17" s="5">
        <v>15.749599999999999</v>
      </c>
      <c r="O17" s="5">
        <v>2.8902000000000001</v>
      </c>
      <c r="P17" s="5">
        <v>1.7497</v>
      </c>
      <c r="Q17" s="5">
        <v>0.1716</v>
      </c>
      <c r="R17" s="5">
        <v>0.1986</v>
      </c>
      <c r="S17" s="5"/>
      <c r="T17">
        <f t="shared" si="0"/>
        <v>1667.2386000000001</v>
      </c>
    </row>
    <row r="18" spans="1:20" x14ac:dyDescent="0.35">
      <c r="A18" s="5" t="s">
        <v>19</v>
      </c>
      <c r="B18" s="5">
        <v>2013</v>
      </c>
      <c r="C18" s="5">
        <v>1</v>
      </c>
      <c r="D18" s="5">
        <v>26</v>
      </c>
      <c r="E18" s="5">
        <v>12</v>
      </c>
      <c r="F18" s="5">
        <v>126436</v>
      </c>
      <c r="G18" s="5" t="s">
        <v>20</v>
      </c>
      <c r="H18" s="5">
        <v>0</v>
      </c>
      <c r="I18" s="5">
        <v>4.8312999999999997</v>
      </c>
      <c r="J18" s="5">
        <v>151.93209999999999</v>
      </c>
      <c r="K18" s="5">
        <v>275.73700000000002</v>
      </c>
      <c r="L18" s="5">
        <v>104.1947</v>
      </c>
      <c r="M18" s="5">
        <v>47.7898</v>
      </c>
      <c r="N18" s="5">
        <v>18.6281</v>
      </c>
      <c r="O18" s="5">
        <v>5.5807000000000002</v>
      </c>
      <c r="P18" s="5">
        <v>2.3037000000000001</v>
      </c>
      <c r="Q18" s="5">
        <v>0.21129999999999999</v>
      </c>
      <c r="R18" s="5">
        <v>0.42280000000000001</v>
      </c>
      <c r="S18" s="5"/>
      <c r="T18">
        <f t="shared" si="0"/>
        <v>611.63150000000019</v>
      </c>
    </row>
    <row r="19" spans="1:20" x14ac:dyDescent="0.35">
      <c r="A19" s="5" t="s">
        <v>19</v>
      </c>
      <c r="B19" s="5">
        <v>2013</v>
      </c>
      <c r="C19" s="5">
        <v>1</v>
      </c>
      <c r="D19" s="5">
        <v>26</v>
      </c>
      <c r="E19" s="5">
        <v>13</v>
      </c>
      <c r="F19" s="5">
        <v>126436</v>
      </c>
      <c r="G19" s="5" t="s">
        <v>20</v>
      </c>
      <c r="H19" s="5">
        <v>0</v>
      </c>
      <c r="I19" s="5">
        <v>0.12989999999999999</v>
      </c>
      <c r="J19" s="5">
        <v>14.8453</v>
      </c>
      <c r="K19" s="5">
        <v>25.777100000000001</v>
      </c>
      <c r="L19" s="5">
        <v>14.628299999999999</v>
      </c>
      <c r="M19" s="5">
        <v>8.4591999999999992</v>
      </c>
      <c r="N19" s="5">
        <v>4.0587999999999997</v>
      </c>
      <c r="O19" s="5">
        <v>1.3781000000000001</v>
      </c>
      <c r="P19" s="5">
        <v>0.41670000000000001</v>
      </c>
      <c r="Q19" s="5">
        <v>7.3099999999999998E-2</v>
      </c>
      <c r="R19" s="5">
        <v>0.4</v>
      </c>
      <c r="S19" s="5"/>
      <c r="T19">
        <f t="shared" si="0"/>
        <v>70.166500000000013</v>
      </c>
    </row>
    <row r="20" spans="1:20" x14ac:dyDescent="0.35">
      <c r="A20" s="5" t="s">
        <v>19</v>
      </c>
      <c r="B20" s="5">
        <v>2013</v>
      </c>
      <c r="C20" s="5">
        <v>1</v>
      </c>
      <c r="D20" s="5">
        <v>26</v>
      </c>
      <c r="E20" s="5">
        <v>9</v>
      </c>
      <c r="F20" s="5">
        <v>126436</v>
      </c>
      <c r="G20" s="5" t="s">
        <v>20</v>
      </c>
      <c r="H20" s="5">
        <v>0</v>
      </c>
      <c r="I20" s="5">
        <v>1.0238</v>
      </c>
      <c r="J20" s="5">
        <v>28.3185</v>
      </c>
      <c r="K20" s="5">
        <v>70.0929</v>
      </c>
      <c r="L20" s="5">
        <v>22.989100000000001</v>
      </c>
      <c r="M20" s="5">
        <v>9.9558999999999997</v>
      </c>
      <c r="N20" s="5">
        <v>2.4769000000000001</v>
      </c>
      <c r="O20" s="5">
        <v>0.1142</v>
      </c>
      <c r="P20" s="5">
        <v>0.2787</v>
      </c>
      <c r="Q20" s="5">
        <v>0</v>
      </c>
      <c r="R20" s="5">
        <v>0</v>
      </c>
      <c r="S20" s="5"/>
      <c r="T20">
        <f t="shared" si="0"/>
        <v>135.25</v>
      </c>
    </row>
    <row r="21" spans="1:20" x14ac:dyDescent="0.35">
      <c r="A21" s="5" t="s">
        <v>19</v>
      </c>
      <c r="B21" s="5">
        <v>2013</v>
      </c>
      <c r="C21" s="5">
        <v>1</v>
      </c>
      <c r="D21" s="5">
        <v>27</v>
      </c>
      <c r="E21" s="5">
        <v>10</v>
      </c>
      <c r="F21" s="5">
        <v>126436</v>
      </c>
      <c r="G21" s="5" t="s">
        <v>20</v>
      </c>
      <c r="H21" s="5">
        <v>0</v>
      </c>
      <c r="I21" s="5">
        <v>0</v>
      </c>
      <c r="J21" s="5">
        <v>8.8800000000000008</v>
      </c>
      <c r="K21" s="5">
        <v>18.369900000000001</v>
      </c>
      <c r="L21" s="5">
        <v>1.75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/>
      <c r="T21">
        <f t="shared" si="0"/>
        <v>28.999900000000004</v>
      </c>
    </row>
    <row r="22" spans="1:20" x14ac:dyDescent="0.35">
      <c r="A22" s="5" t="s">
        <v>19</v>
      </c>
      <c r="B22" s="5">
        <v>2013</v>
      </c>
      <c r="C22" s="5">
        <v>1</v>
      </c>
      <c r="D22" s="5">
        <v>27</v>
      </c>
      <c r="E22" s="5">
        <v>11</v>
      </c>
      <c r="F22" s="5">
        <v>126436</v>
      </c>
      <c r="G22" s="5" t="s">
        <v>20</v>
      </c>
      <c r="H22" s="5">
        <v>0</v>
      </c>
      <c r="I22" s="5">
        <v>4.5</v>
      </c>
      <c r="J22" s="5">
        <v>69.584699999999998</v>
      </c>
      <c r="K22" s="5">
        <v>23.165299999999998</v>
      </c>
      <c r="L22" s="5">
        <v>2.75</v>
      </c>
      <c r="M22" s="5">
        <v>1.875</v>
      </c>
      <c r="N22" s="5">
        <v>0.625</v>
      </c>
      <c r="O22" s="5">
        <v>0</v>
      </c>
      <c r="P22" s="5">
        <v>0</v>
      </c>
      <c r="Q22" s="5">
        <v>0</v>
      </c>
      <c r="R22" s="5">
        <v>0</v>
      </c>
      <c r="S22" s="5"/>
      <c r="T22">
        <f t="shared" si="0"/>
        <v>102.5</v>
      </c>
    </row>
    <row r="23" spans="1:20" x14ac:dyDescent="0.35">
      <c r="A23" s="5" t="s">
        <v>19</v>
      </c>
      <c r="B23" s="5">
        <v>2013</v>
      </c>
      <c r="C23" s="5">
        <v>1</v>
      </c>
      <c r="D23" s="5">
        <v>27</v>
      </c>
      <c r="E23" s="5">
        <v>12</v>
      </c>
      <c r="F23" s="5">
        <v>126436</v>
      </c>
      <c r="G23" s="5" t="s">
        <v>20</v>
      </c>
      <c r="H23" s="5">
        <v>0</v>
      </c>
      <c r="I23" s="5">
        <v>0</v>
      </c>
      <c r="J23" s="5">
        <v>439.49439999999998</v>
      </c>
      <c r="K23" s="5">
        <v>66.005600000000001</v>
      </c>
      <c r="L23" s="5">
        <v>0</v>
      </c>
      <c r="M23" s="5">
        <v>0.5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/>
      <c r="T23">
        <f t="shared" si="0"/>
        <v>506</v>
      </c>
    </row>
    <row r="24" spans="1:20" x14ac:dyDescent="0.35">
      <c r="A24" s="5" t="s">
        <v>19</v>
      </c>
      <c r="B24" s="5">
        <v>2013</v>
      </c>
      <c r="C24" s="5">
        <v>1</v>
      </c>
      <c r="D24" s="5">
        <v>27</v>
      </c>
      <c r="E24" s="5">
        <v>13</v>
      </c>
      <c r="F24" s="5">
        <v>126436</v>
      </c>
      <c r="G24" s="5" t="s">
        <v>20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/>
      <c r="T24">
        <f t="shared" si="0"/>
        <v>0</v>
      </c>
    </row>
    <row r="25" spans="1:20" x14ac:dyDescent="0.35">
      <c r="A25" s="5" t="s">
        <v>19</v>
      </c>
      <c r="B25" s="5">
        <v>2013</v>
      </c>
      <c r="C25" s="5">
        <v>1</v>
      </c>
      <c r="D25" s="5">
        <v>28</v>
      </c>
      <c r="E25" s="5">
        <v>10</v>
      </c>
      <c r="F25" s="5">
        <v>126436</v>
      </c>
      <c r="G25" s="5" t="s">
        <v>20</v>
      </c>
      <c r="H25" s="5">
        <v>0</v>
      </c>
      <c r="I25" s="5">
        <v>4.3250000000000002</v>
      </c>
      <c r="J25" s="5">
        <v>34.210900000000002</v>
      </c>
      <c r="K25" s="5">
        <v>17.436</v>
      </c>
      <c r="L25" s="5">
        <v>6.8003</v>
      </c>
      <c r="M25" s="5">
        <v>1.9333</v>
      </c>
      <c r="N25" s="5">
        <v>0.49440000000000001</v>
      </c>
      <c r="O25" s="5">
        <v>0</v>
      </c>
      <c r="P25" s="5">
        <v>0</v>
      </c>
      <c r="Q25" s="5">
        <v>0</v>
      </c>
      <c r="R25" s="5">
        <v>0</v>
      </c>
      <c r="S25" s="5"/>
      <c r="T25">
        <f t="shared" si="0"/>
        <v>65.1999</v>
      </c>
    </row>
    <row r="26" spans="1:20" x14ac:dyDescent="0.35">
      <c r="A26" s="5" t="s">
        <v>19</v>
      </c>
      <c r="B26" s="5">
        <v>2013</v>
      </c>
      <c r="C26" s="5">
        <v>1</v>
      </c>
      <c r="D26" s="5">
        <v>28</v>
      </c>
      <c r="E26" s="5">
        <v>11</v>
      </c>
      <c r="F26" s="5">
        <v>126436</v>
      </c>
      <c r="G26" s="5" t="s">
        <v>20</v>
      </c>
      <c r="H26" s="5">
        <v>0</v>
      </c>
      <c r="I26" s="5">
        <v>3.8462000000000001</v>
      </c>
      <c r="J26" s="5">
        <v>27.481300000000001</v>
      </c>
      <c r="K26" s="5">
        <v>10.951499999999999</v>
      </c>
      <c r="L26" s="5">
        <v>3.8792</v>
      </c>
      <c r="M26" s="5">
        <v>1.7649999999999999</v>
      </c>
      <c r="N26" s="5">
        <v>0.3846</v>
      </c>
      <c r="O26" s="5">
        <v>0</v>
      </c>
      <c r="P26" s="5">
        <v>0</v>
      </c>
      <c r="Q26" s="5">
        <v>0</v>
      </c>
      <c r="R26" s="5">
        <v>0</v>
      </c>
      <c r="S26" s="5"/>
      <c r="T26">
        <f t="shared" si="0"/>
        <v>48.307799999999993</v>
      </c>
    </row>
    <row r="27" spans="1:20" x14ac:dyDescent="0.35">
      <c r="A27" s="5" t="s">
        <v>19</v>
      </c>
      <c r="B27" s="5">
        <v>2013</v>
      </c>
      <c r="C27" s="5">
        <v>1</v>
      </c>
      <c r="D27" s="5">
        <v>28</v>
      </c>
      <c r="E27" s="5">
        <v>12</v>
      </c>
      <c r="F27" s="5">
        <v>126436</v>
      </c>
      <c r="G27" s="5" t="s">
        <v>20</v>
      </c>
      <c r="H27" s="5">
        <v>0</v>
      </c>
      <c r="I27" s="5">
        <v>0</v>
      </c>
      <c r="J27" s="5">
        <v>2.7355999999999998</v>
      </c>
      <c r="K27" s="5">
        <v>2.6093999999999999</v>
      </c>
      <c r="L27" s="5">
        <v>1.3203</v>
      </c>
      <c r="M27" s="5">
        <v>0.3347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/>
      <c r="T27">
        <f t="shared" si="0"/>
        <v>7</v>
      </c>
    </row>
    <row r="28" spans="1:20" x14ac:dyDescent="0.35">
      <c r="A28" s="5" t="s">
        <v>19</v>
      </c>
      <c r="B28" s="5">
        <v>2013</v>
      </c>
      <c r="C28" s="5">
        <v>1</v>
      </c>
      <c r="D28" s="5">
        <v>28</v>
      </c>
      <c r="E28" s="5">
        <v>9</v>
      </c>
      <c r="F28" s="5">
        <v>126436</v>
      </c>
      <c r="G28" s="5" t="s">
        <v>20</v>
      </c>
      <c r="H28" s="5">
        <v>0</v>
      </c>
      <c r="I28" s="5">
        <v>0</v>
      </c>
      <c r="J28" s="5">
        <v>0</v>
      </c>
      <c r="K28" s="5">
        <v>0.86670000000000003</v>
      </c>
      <c r="L28" s="5">
        <v>0.7</v>
      </c>
      <c r="M28" s="5">
        <v>0.26669999999999999</v>
      </c>
      <c r="N28" s="5">
        <v>0.16669999999999999</v>
      </c>
      <c r="O28" s="5">
        <v>0</v>
      </c>
      <c r="P28" s="5">
        <v>0</v>
      </c>
      <c r="Q28" s="5">
        <v>0</v>
      </c>
      <c r="R28" s="5">
        <v>0</v>
      </c>
      <c r="S28" s="5"/>
      <c r="T28">
        <f t="shared" si="0"/>
        <v>2.0000999999999998</v>
      </c>
    </row>
    <row r="29" spans="1:20" x14ac:dyDescent="0.35">
      <c r="A29" s="5" t="s">
        <v>19</v>
      </c>
      <c r="B29" s="5">
        <v>2014</v>
      </c>
      <c r="C29" s="5">
        <v>1</v>
      </c>
      <c r="D29" s="5">
        <v>21</v>
      </c>
      <c r="E29" s="5">
        <v>10</v>
      </c>
      <c r="F29" s="5">
        <v>126436</v>
      </c>
      <c r="G29" s="5" t="s">
        <v>20</v>
      </c>
      <c r="H29" s="5">
        <v>0</v>
      </c>
      <c r="I29" s="5">
        <v>20.758600000000001</v>
      </c>
      <c r="J29" s="5">
        <v>19.101400000000002</v>
      </c>
      <c r="K29" s="5">
        <v>1.86</v>
      </c>
      <c r="L29" s="5">
        <v>1.24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/>
      <c r="T29">
        <f t="shared" si="0"/>
        <v>42.96</v>
      </c>
    </row>
    <row r="30" spans="1:20" x14ac:dyDescent="0.35">
      <c r="A30" s="5" t="s">
        <v>19</v>
      </c>
      <c r="B30" s="5">
        <v>2014</v>
      </c>
      <c r="C30" s="5">
        <v>1</v>
      </c>
      <c r="D30" s="5">
        <v>21</v>
      </c>
      <c r="E30" s="5">
        <v>11</v>
      </c>
      <c r="F30" s="5">
        <v>126436</v>
      </c>
      <c r="G30" s="5" t="s">
        <v>20</v>
      </c>
      <c r="H30" s="5">
        <v>0</v>
      </c>
      <c r="I30" s="5">
        <v>13.346299999999999</v>
      </c>
      <c r="J30" s="5">
        <v>11.053699999999999</v>
      </c>
      <c r="K30" s="5">
        <v>12.4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/>
      <c r="T30">
        <f t="shared" si="0"/>
        <v>36.799999999999997</v>
      </c>
    </row>
    <row r="31" spans="1:20" x14ac:dyDescent="0.35">
      <c r="A31" s="5" t="s">
        <v>19</v>
      </c>
      <c r="B31" s="5">
        <v>2014</v>
      </c>
      <c r="C31" s="5">
        <v>1</v>
      </c>
      <c r="D31" s="5">
        <v>21</v>
      </c>
      <c r="E31" s="5">
        <v>9</v>
      </c>
      <c r="F31" s="5">
        <v>126436</v>
      </c>
      <c r="G31" s="5" t="s">
        <v>20</v>
      </c>
      <c r="H31" s="5">
        <v>0</v>
      </c>
      <c r="I31" s="5">
        <v>130.423</v>
      </c>
      <c r="J31" s="5">
        <v>1086.1355000000001</v>
      </c>
      <c r="K31" s="5">
        <v>15.7742</v>
      </c>
      <c r="L31" s="5">
        <v>1.0730999999999999</v>
      </c>
      <c r="M31" s="5">
        <v>0</v>
      </c>
      <c r="N31" s="5">
        <v>0.23849999999999999</v>
      </c>
      <c r="O31" s="5">
        <v>0</v>
      </c>
      <c r="P31" s="5">
        <v>0</v>
      </c>
      <c r="Q31" s="5">
        <v>0</v>
      </c>
      <c r="R31" s="5">
        <v>0.23849999999999999</v>
      </c>
      <c r="S31" s="5"/>
      <c r="T31">
        <f t="shared" si="0"/>
        <v>1233.8828000000001</v>
      </c>
    </row>
    <row r="32" spans="1:20" x14ac:dyDescent="0.35">
      <c r="A32" s="5" t="s">
        <v>19</v>
      </c>
      <c r="B32" s="5">
        <v>2014</v>
      </c>
      <c r="C32" s="5">
        <v>1</v>
      </c>
      <c r="D32" s="5">
        <v>22</v>
      </c>
      <c r="E32" s="5">
        <v>8</v>
      </c>
      <c r="F32" s="5">
        <v>126436</v>
      </c>
      <c r="G32" s="5" t="s">
        <v>20</v>
      </c>
      <c r="H32" s="5">
        <v>0</v>
      </c>
      <c r="I32" s="5">
        <v>11.1952</v>
      </c>
      <c r="J32" s="5">
        <v>11.286899999999999</v>
      </c>
      <c r="K32" s="5">
        <v>1.1236999999999999</v>
      </c>
      <c r="L32" s="5">
        <v>0.871</v>
      </c>
      <c r="M32" s="5">
        <v>0.25829999999999997</v>
      </c>
      <c r="N32" s="5">
        <v>0.46500000000000002</v>
      </c>
      <c r="O32" s="5">
        <v>0</v>
      </c>
      <c r="P32" s="5">
        <v>0.31</v>
      </c>
      <c r="Q32" s="5">
        <v>0</v>
      </c>
      <c r="R32" s="5">
        <v>0</v>
      </c>
      <c r="S32" s="5"/>
      <c r="T32">
        <f t="shared" si="0"/>
        <v>25.510099999999994</v>
      </c>
    </row>
    <row r="33" spans="1:20" x14ac:dyDescent="0.35">
      <c r="A33" s="5" t="s">
        <v>19</v>
      </c>
      <c r="B33" s="5">
        <v>2014</v>
      </c>
      <c r="C33" s="5">
        <v>1</v>
      </c>
      <c r="D33" s="5">
        <v>22</v>
      </c>
      <c r="E33" s="5">
        <v>9</v>
      </c>
      <c r="F33" s="5">
        <v>126436</v>
      </c>
      <c r="G33" s="5" t="s">
        <v>20</v>
      </c>
      <c r="H33" s="5">
        <v>0</v>
      </c>
      <c r="I33" s="5">
        <v>37.585299999999997</v>
      </c>
      <c r="J33" s="5">
        <v>40.135599999999997</v>
      </c>
      <c r="K33" s="5">
        <v>8.6245999999999992</v>
      </c>
      <c r="L33" s="5">
        <v>2.91</v>
      </c>
      <c r="M33" s="5">
        <v>0.25829999999999997</v>
      </c>
      <c r="N33" s="5">
        <v>0.51670000000000005</v>
      </c>
      <c r="O33" s="5">
        <v>0</v>
      </c>
      <c r="P33" s="5">
        <v>0</v>
      </c>
      <c r="Q33" s="5">
        <v>0</v>
      </c>
      <c r="R33" s="5">
        <v>0</v>
      </c>
      <c r="S33" s="5"/>
      <c r="T33">
        <f t="shared" si="0"/>
        <v>90.030500000000004</v>
      </c>
    </row>
    <row r="34" spans="1:20" x14ac:dyDescent="0.35">
      <c r="A34" s="5" t="s">
        <v>19</v>
      </c>
      <c r="B34" s="5">
        <v>2014</v>
      </c>
      <c r="C34" s="5">
        <v>1</v>
      </c>
      <c r="D34" s="5">
        <v>23</v>
      </c>
      <c r="E34" s="5">
        <v>8</v>
      </c>
      <c r="F34" s="5">
        <v>126436</v>
      </c>
      <c r="G34" s="5" t="s">
        <v>20</v>
      </c>
      <c r="H34" s="5">
        <v>0</v>
      </c>
      <c r="I34" s="5">
        <v>38.484000000000002</v>
      </c>
      <c r="J34" s="5">
        <v>988.39739999999995</v>
      </c>
      <c r="K34" s="5">
        <v>79.533600000000007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/>
      <c r="T34">
        <f t="shared" ref="T34:T65" si="1">SUM(I34:R34)</f>
        <v>1106.415</v>
      </c>
    </row>
    <row r="35" spans="1:20" x14ac:dyDescent="0.35">
      <c r="A35" s="5" t="s">
        <v>19</v>
      </c>
      <c r="B35" s="5">
        <v>2014</v>
      </c>
      <c r="C35" s="5">
        <v>1</v>
      </c>
      <c r="D35" s="5">
        <v>23</v>
      </c>
      <c r="E35" s="5">
        <v>9</v>
      </c>
      <c r="F35" s="5">
        <v>126436</v>
      </c>
      <c r="G35" s="5" t="s">
        <v>20</v>
      </c>
      <c r="H35" s="5">
        <v>0</v>
      </c>
      <c r="I35" s="5">
        <v>10.980399999999999</v>
      </c>
      <c r="J35" s="5">
        <v>411.84269999999998</v>
      </c>
      <c r="K35" s="5">
        <v>103.9624</v>
      </c>
      <c r="L35" s="5">
        <v>5.6707000000000001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/>
      <c r="T35">
        <f t="shared" si="1"/>
        <v>532.45619999999997</v>
      </c>
    </row>
    <row r="36" spans="1:20" x14ac:dyDescent="0.35">
      <c r="A36" s="5" t="s">
        <v>19</v>
      </c>
      <c r="B36" s="5">
        <v>2014</v>
      </c>
      <c r="C36" s="5">
        <v>1</v>
      </c>
      <c r="D36" s="5">
        <v>24</v>
      </c>
      <c r="E36" s="5">
        <v>10</v>
      </c>
      <c r="F36" s="5">
        <v>126436</v>
      </c>
      <c r="G36" s="5" t="s">
        <v>20</v>
      </c>
      <c r="H36" s="5">
        <v>0</v>
      </c>
      <c r="I36" s="5">
        <v>1005.7243999999999</v>
      </c>
      <c r="J36" s="5">
        <v>881.56179999999995</v>
      </c>
      <c r="K36" s="5">
        <v>60.529000000000003</v>
      </c>
      <c r="L36" s="5">
        <v>25.138500000000001</v>
      </c>
      <c r="M36" s="5">
        <v>2.9218000000000002</v>
      </c>
      <c r="N36" s="5">
        <v>0.98499999999999999</v>
      </c>
      <c r="O36" s="5">
        <v>0.16489999999999999</v>
      </c>
      <c r="P36" s="5">
        <v>0</v>
      </c>
      <c r="Q36" s="5">
        <v>0</v>
      </c>
      <c r="R36" s="5">
        <v>0</v>
      </c>
      <c r="S36" s="5"/>
      <c r="T36">
        <f t="shared" si="1"/>
        <v>1977.0254</v>
      </c>
    </row>
    <row r="37" spans="1:20" x14ac:dyDescent="0.35">
      <c r="A37" s="5" t="s">
        <v>19</v>
      </c>
      <c r="B37" s="5">
        <v>2014</v>
      </c>
      <c r="C37" s="5">
        <v>1</v>
      </c>
      <c r="D37" s="5">
        <v>24</v>
      </c>
      <c r="E37" s="5">
        <v>8</v>
      </c>
      <c r="F37" s="5">
        <v>126436</v>
      </c>
      <c r="G37" s="5" t="s">
        <v>20</v>
      </c>
      <c r="H37" s="5">
        <v>0</v>
      </c>
      <c r="I37" s="5">
        <v>22.2194</v>
      </c>
      <c r="J37" s="5">
        <v>103.5401</v>
      </c>
      <c r="K37" s="5">
        <v>15.410500000000001</v>
      </c>
      <c r="L37" s="5">
        <v>11.214399999999999</v>
      </c>
      <c r="M37" s="5">
        <v>1.2747999999999999</v>
      </c>
      <c r="N37" s="5">
        <v>0.39279999999999998</v>
      </c>
      <c r="O37" s="5">
        <v>8.3500000000000005E-2</v>
      </c>
      <c r="P37" s="5">
        <v>0</v>
      </c>
      <c r="Q37" s="5">
        <v>0</v>
      </c>
      <c r="R37" s="5">
        <v>0</v>
      </c>
      <c r="S37" s="5"/>
      <c r="T37">
        <f t="shared" si="1"/>
        <v>154.13550000000001</v>
      </c>
    </row>
    <row r="38" spans="1:20" x14ac:dyDescent="0.35">
      <c r="A38" s="5" t="s">
        <v>19</v>
      </c>
      <c r="B38" s="5">
        <v>2014</v>
      </c>
      <c r="C38" s="5">
        <v>1</v>
      </c>
      <c r="D38" s="5">
        <v>24</v>
      </c>
      <c r="E38" s="5">
        <v>9</v>
      </c>
      <c r="F38" s="5">
        <v>126436</v>
      </c>
      <c r="G38" s="5" t="s">
        <v>20</v>
      </c>
      <c r="H38" s="5">
        <v>0</v>
      </c>
      <c r="I38" s="5">
        <v>447.41980000000001</v>
      </c>
      <c r="J38" s="5">
        <v>253.517</v>
      </c>
      <c r="K38" s="5">
        <v>16.0808</v>
      </c>
      <c r="L38" s="5">
        <v>6.6162000000000001</v>
      </c>
      <c r="M38" s="5">
        <v>0.71120000000000005</v>
      </c>
      <c r="N38" s="5">
        <v>0.1552</v>
      </c>
      <c r="O38" s="5">
        <v>0</v>
      </c>
      <c r="P38" s="5">
        <v>0</v>
      </c>
      <c r="Q38" s="5">
        <v>0</v>
      </c>
      <c r="R38" s="5">
        <v>0</v>
      </c>
      <c r="S38" s="5"/>
      <c r="T38">
        <f t="shared" si="1"/>
        <v>724.50019999999995</v>
      </c>
    </row>
    <row r="39" spans="1:20" x14ac:dyDescent="0.35">
      <c r="A39" s="5" t="s">
        <v>19</v>
      </c>
      <c r="B39" s="5">
        <v>2014</v>
      </c>
      <c r="C39" s="5">
        <v>1</v>
      </c>
      <c r="D39" s="5">
        <v>25</v>
      </c>
      <c r="E39" s="5">
        <v>10</v>
      </c>
      <c r="F39" s="5">
        <v>126436</v>
      </c>
      <c r="G39" s="5" t="s">
        <v>20</v>
      </c>
      <c r="H39" s="5">
        <v>0</v>
      </c>
      <c r="I39" s="5">
        <v>63.417099999999998</v>
      </c>
      <c r="J39" s="5">
        <v>804.09019999999998</v>
      </c>
      <c r="K39" s="5">
        <v>802.03989999999999</v>
      </c>
      <c r="L39" s="5">
        <v>824.57360000000006</v>
      </c>
      <c r="M39" s="5">
        <v>374.91230000000002</v>
      </c>
      <c r="N39" s="5">
        <v>85.188500000000005</v>
      </c>
      <c r="O39" s="5">
        <v>15.007199999999999</v>
      </c>
      <c r="P39" s="5">
        <v>4.2531999999999996</v>
      </c>
      <c r="Q39" s="5">
        <v>1.3418000000000001</v>
      </c>
      <c r="R39" s="5">
        <v>0.1789</v>
      </c>
      <c r="S39" s="5"/>
      <c r="T39">
        <f t="shared" si="1"/>
        <v>2975.0027000000005</v>
      </c>
    </row>
    <row r="40" spans="1:20" x14ac:dyDescent="0.35">
      <c r="A40" s="5" t="s">
        <v>19</v>
      </c>
      <c r="B40" s="5">
        <v>2014</v>
      </c>
      <c r="C40" s="5">
        <v>1</v>
      </c>
      <c r="D40" s="5">
        <v>25</v>
      </c>
      <c r="E40" s="5">
        <v>11</v>
      </c>
      <c r="F40" s="5">
        <v>126436</v>
      </c>
      <c r="G40" s="5" t="s">
        <v>20</v>
      </c>
      <c r="H40" s="5">
        <v>0</v>
      </c>
      <c r="I40" s="5">
        <v>44.234200000000001</v>
      </c>
      <c r="J40" s="5">
        <v>566.81179999999995</v>
      </c>
      <c r="K40" s="5">
        <v>615.48739999999998</v>
      </c>
      <c r="L40" s="5">
        <v>633.12530000000004</v>
      </c>
      <c r="M40" s="5">
        <v>315.09780000000001</v>
      </c>
      <c r="N40" s="5">
        <v>81.919899999999998</v>
      </c>
      <c r="O40" s="5">
        <v>19.2973</v>
      </c>
      <c r="P40" s="5">
        <v>5.6360999999999999</v>
      </c>
      <c r="Q40" s="5">
        <v>1.6400999999999999</v>
      </c>
      <c r="R40" s="5">
        <v>0.32240000000000002</v>
      </c>
      <c r="S40" s="5"/>
      <c r="T40">
        <f t="shared" si="1"/>
        <v>2283.5723000000003</v>
      </c>
    </row>
    <row r="41" spans="1:20" x14ac:dyDescent="0.35">
      <c r="A41" s="5" t="s">
        <v>19</v>
      </c>
      <c r="B41" s="5">
        <v>2014</v>
      </c>
      <c r="C41" s="5">
        <v>1</v>
      </c>
      <c r="D41" s="5">
        <v>25</v>
      </c>
      <c r="E41" s="5">
        <v>12</v>
      </c>
      <c r="F41" s="5">
        <v>126436</v>
      </c>
      <c r="G41" s="5" t="s">
        <v>20</v>
      </c>
      <c r="H41" s="5">
        <v>0</v>
      </c>
      <c r="I41" s="5">
        <v>3.1476999999999999</v>
      </c>
      <c r="J41" s="5">
        <v>33.635300000000001</v>
      </c>
      <c r="K41" s="5">
        <v>72.574799999999996</v>
      </c>
      <c r="L41" s="5">
        <v>88.803100000000001</v>
      </c>
      <c r="M41" s="5">
        <v>62.713900000000002</v>
      </c>
      <c r="N41" s="5">
        <v>20.941500000000001</v>
      </c>
      <c r="O41" s="5">
        <v>6.6502999999999997</v>
      </c>
      <c r="P41" s="5">
        <v>2.2740999999999998</v>
      </c>
      <c r="Q41" s="5">
        <v>0.43659999999999999</v>
      </c>
      <c r="R41" s="5">
        <v>8.1000000000000003E-2</v>
      </c>
      <c r="S41" s="5"/>
      <c r="T41">
        <f t="shared" si="1"/>
        <v>291.25830000000002</v>
      </c>
    </row>
    <row r="42" spans="1:20" x14ac:dyDescent="0.35">
      <c r="A42" s="5" t="s">
        <v>19</v>
      </c>
      <c r="B42" s="5">
        <v>2014</v>
      </c>
      <c r="C42" s="5">
        <v>1</v>
      </c>
      <c r="D42" s="5">
        <v>25</v>
      </c>
      <c r="E42" s="5">
        <v>9</v>
      </c>
      <c r="F42" s="5">
        <v>126436</v>
      </c>
      <c r="G42" s="5" t="s">
        <v>20</v>
      </c>
      <c r="H42" s="5">
        <v>0</v>
      </c>
      <c r="I42" s="5">
        <v>0.69020000000000004</v>
      </c>
      <c r="J42" s="5">
        <v>2.9866000000000001</v>
      </c>
      <c r="K42" s="5">
        <v>14.5219</v>
      </c>
      <c r="L42" s="5">
        <v>16.799099999999999</v>
      </c>
      <c r="M42" s="5">
        <v>14.96</v>
      </c>
      <c r="N42" s="5">
        <v>5.9317000000000002</v>
      </c>
      <c r="O42" s="5">
        <v>1.8263</v>
      </c>
      <c r="P42" s="5">
        <v>0.69820000000000004</v>
      </c>
      <c r="Q42" s="5">
        <v>0.187</v>
      </c>
      <c r="R42" s="5">
        <v>1.4200000000000001E-2</v>
      </c>
      <c r="S42" s="5"/>
      <c r="T42">
        <f t="shared" si="1"/>
        <v>58.615200000000002</v>
      </c>
    </row>
    <row r="43" spans="1:20" x14ac:dyDescent="0.35">
      <c r="A43" s="5" t="s">
        <v>19</v>
      </c>
      <c r="B43" s="5">
        <v>2014</v>
      </c>
      <c r="C43" s="5">
        <v>1</v>
      </c>
      <c r="D43" s="5">
        <v>26</v>
      </c>
      <c r="E43" s="5">
        <v>10</v>
      </c>
      <c r="F43" s="5">
        <v>126436</v>
      </c>
      <c r="G43" s="5" t="s">
        <v>20</v>
      </c>
      <c r="H43" s="5">
        <v>0</v>
      </c>
      <c r="I43" s="5">
        <v>55.714300000000001</v>
      </c>
      <c r="J43" s="5">
        <v>314.49619999999999</v>
      </c>
      <c r="K43" s="5">
        <v>498.1694</v>
      </c>
      <c r="L43" s="5">
        <v>250.60659999999999</v>
      </c>
      <c r="M43" s="5">
        <v>64.352099999999993</v>
      </c>
      <c r="N43" s="5">
        <v>8.6043000000000003</v>
      </c>
      <c r="O43" s="5">
        <v>0</v>
      </c>
      <c r="P43" s="5">
        <v>0</v>
      </c>
      <c r="Q43" s="5">
        <v>0</v>
      </c>
      <c r="R43" s="5">
        <v>0</v>
      </c>
      <c r="S43" s="5"/>
      <c r="T43">
        <f t="shared" si="1"/>
        <v>1191.9429</v>
      </c>
    </row>
    <row r="44" spans="1:20" x14ac:dyDescent="0.35">
      <c r="A44" s="5" t="s">
        <v>19</v>
      </c>
      <c r="B44" s="5">
        <v>2014</v>
      </c>
      <c r="C44" s="5">
        <v>1</v>
      </c>
      <c r="D44" s="5">
        <v>26</v>
      </c>
      <c r="E44" s="5">
        <v>11</v>
      </c>
      <c r="F44" s="5">
        <v>126436</v>
      </c>
      <c r="G44" s="5" t="s">
        <v>20</v>
      </c>
      <c r="H44" s="5">
        <v>0</v>
      </c>
      <c r="I44" s="5">
        <v>2.2139000000000002</v>
      </c>
      <c r="J44" s="5">
        <v>76.868799999999993</v>
      </c>
      <c r="K44" s="5">
        <v>88.631600000000006</v>
      </c>
      <c r="L44" s="5">
        <v>39.441600000000001</v>
      </c>
      <c r="M44" s="5">
        <v>9.5394000000000005</v>
      </c>
      <c r="N44" s="5">
        <v>1.1647000000000001</v>
      </c>
      <c r="O44" s="5">
        <v>0</v>
      </c>
      <c r="P44" s="5">
        <v>0</v>
      </c>
      <c r="Q44" s="5">
        <v>0</v>
      </c>
      <c r="R44" s="5">
        <v>0</v>
      </c>
      <c r="S44" s="5"/>
      <c r="T44">
        <f t="shared" si="1"/>
        <v>217.85999999999999</v>
      </c>
    </row>
    <row r="45" spans="1:20" x14ac:dyDescent="0.35">
      <c r="A45" s="5" t="s">
        <v>19</v>
      </c>
      <c r="B45" s="5">
        <v>2014</v>
      </c>
      <c r="C45" s="5">
        <v>1</v>
      </c>
      <c r="D45" s="5">
        <v>26</v>
      </c>
      <c r="E45" s="5">
        <v>12</v>
      </c>
      <c r="F45" s="5">
        <v>126436</v>
      </c>
      <c r="G45" s="5" t="s">
        <v>20</v>
      </c>
      <c r="H45" s="5">
        <v>0</v>
      </c>
      <c r="I45" s="5">
        <v>2.8397999999999999</v>
      </c>
      <c r="J45" s="5">
        <v>66.757900000000006</v>
      </c>
      <c r="K45" s="5">
        <v>110.9632</v>
      </c>
      <c r="L45" s="5">
        <v>56.334600000000002</v>
      </c>
      <c r="M45" s="5">
        <v>13.9856</v>
      </c>
      <c r="N45" s="5">
        <v>1.6902999999999999</v>
      </c>
      <c r="O45" s="5">
        <v>0</v>
      </c>
      <c r="P45" s="5">
        <v>0</v>
      </c>
      <c r="Q45" s="5">
        <v>0</v>
      </c>
      <c r="R45" s="5">
        <v>0</v>
      </c>
      <c r="S45" s="5"/>
      <c r="T45">
        <f t="shared" si="1"/>
        <v>252.57140000000001</v>
      </c>
    </row>
    <row r="46" spans="1:20" x14ac:dyDescent="0.35">
      <c r="A46" s="5" t="s">
        <v>19</v>
      </c>
      <c r="B46" s="5">
        <v>2014</v>
      </c>
      <c r="C46" s="5">
        <v>1</v>
      </c>
      <c r="D46" s="5">
        <v>26</v>
      </c>
      <c r="E46" s="5">
        <v>13</v>
      </c>
      <c r="F46" s="5">
        <v>126436</v>
      </c>
      <c r="G46" s="5" t="s">
        <v>20</v>
      </c>
      <c r="H46" s="5">
        <v>0</v>
      </c>
      <c r="I46" s="5">
        <v>0</v>
      </c>
      <c r="J46" s="5">
        <v>1.8906000000000001</v>
      </c>
      <c r="K46" s="5">
        <v>6.7755999999999998</v>
      </c>
      <c r="L46" s="5">
        <v>3.7624</v>
      </c>
      <c r="M46" s="5">
        <v>1.4742</v>
      </c>
      <c r="N46" s="5">
        <v>9.7199999999999995E-2</v>
      </c>
      <c r="O46" s="5">
        <v>0</v>
      </c>
      <c r="P46" s="5">
        <v>0</v>
      </c>
      <c r="Q46" s="5">
        <v>0</v>
      </c>
      <c r="R46" s="5">
        <v>0</v>
      </c>
      <c r="S46" s="5"/>
      <c r="T46">
        <f t="shared" si="1"/>
        <v>14</v>
      </c>
    </row>
    <row r="47" spans="1:20" x14ac:dyDescent="0.35">
      <c r="A47" s="5" t="s">
        <v>19</v>
      </c>
      <c r="B47" s="5">
        <v>2014</v>
      </c>
      <c r="C47" s="5">
        <v>1</v>
      </c>
      <c r="D47" s="5">
        <v>26</v>
      </c>
      <c r="E47" s="5">
        <v>9</v>
      </c>
      <c r="F47" s="5">
        <v>126436</v>
      </c>
      <c r="G47" s="5" t="s">
        <v>20</v>
      </c>
      <c r="H47" s="5">
        <v>0</v>
      </c>
      <c r="I47" s="5">
        <v>18.485700000000001</v>
      </c>
      <c r="J47" s="5">
        <v>60.956899999999997</v>
      </c>
      <c r="K47" s="5">
        <v>77.756399999999999</v>
      </c>
      <c r="L47" s="5">
        <v>32.886200000000002</v>
      </c>
      <c r="M47" s="5">
        <v>10.023</v>
      </c>
      <c r="N47" s="5">
        <v>1.0918000000000001</v>
      </c>
      <c r="O47" s="5">
        <v>0</v>
      </c>
      <c r="P47" s="5">
        <v>0</v>
      </c>
      <c r="Q47" s="5">
        <v>0</v>
      </c>
      <c r="R47" s="5">
        <v>0</v>
      </c>
      <c r="S47" s="5"/>
      <c r="T47">
        <f t="shared" si="1"/>
        <v>201.20000000000002</v>
      </c>
    </row>
    <row r="48" spans="1:20" x14ac:dyDescent="0.35">
      <c r="A48" s="5" t="s">
        <v>19</v>
      </c>
      <c r="B48" s="5">
        <v>2014</v>
      </c>
      <c r="C48" s="5">
        <v>1</v>
      </c>
      <c r="D48" s="5">
        <v>27</v>
      </c>
      <c r="E48" s="5">
        <v>11</v>
      </c>
      <c r="F48" s="5">
        <v>126436</v>
      </c>
      <c r="G48" s="5" t="s">
        <v>20</v>
      </c>
      <c r="H48" s="5">
        <v>0</v>
      </c>
      <c r="I48" s="5">
        <v>0.5</v>
      </c>
      <c r="J48" s="5">
        <v>446.39170000000001</v>
      </c>
      <c r="K48" s="5">
        <v>242.75829999999999</v>
      </c>
      <c r="L48" s="5">
        <v>9</v>
      </c>
      <c r="M48" s="5">
        <v>1.6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/>
      <c r="T48">
        <f t="shared" si="1"/>
        <v>700.25</v>
      </c>
    </row>
    <row r="49" spans="1:20" x14ac:dyDescent="0.35">
      <c r="A49" s="5" t="s">
        <v>19</v>
      </c>
      <c r="B49" s="5">
        <v>2014</v>
      </c>
      <c r="C49" s="5">
        <v>1</v>
      </c>
      <c r="D49" s="5">
        <v>27</v>
      </c>
      <c r="E49" s="5">
        <v>12</v>
      </c>
      <c r="F49" s="5">
        <v>126436</v>
      </c>
      <c r="G49" s="5" t="s">
        <v>20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/>
      <c r="T49">
        <f t="shared" si="1"/>
        <v>0</v>
      </c>
    </row>
    <row r="50" spans="1:20" x14ac:dyDescent="0.35">
      <c r="A50" s="5" t="s">
        <v>19</v>
      </c>
      <c r="B50" s="5">
        <v>2014</v>
      </c>
      <c r="C50" s="5">
        <v>1</v>
      </c>
      <c r="D50" s="5">
        <v>28</v>
      </c>
      <c r="E50" s="5">
        <v>10</v>
      </c>
      <c r="F50" s="5">
        <v>126436</v>
      </c>
      <c r="G50" s="5" t="s">
        <v>20</v>
      </c>
      <c r="H50" s="5">
        <v>0</v>
      </c>
      <c r="I50" s="5">
        <v>2.5</v>
      </c>
      <c r="J50" s="5">
        <v>12.3515</v>
      </c>
      <c r="K50" s="5">
        <v>14.1153</v>
      </c>
      <c r="L50" s="5">
        <v>8.5089000000000006</v>
      </c>
      <c r="M50" s="5">
        <v>3.339</v>
      </c>
      <c r="N50" s="5">
        <v>0.96299999999999997</v>
      </c>
      <c r="O50" s="5">
        <v>0.22220000000000001</v>
      </c>
      <c r="P50" s="5">
        <v>0</v>
      </c>
      <c r="Q50" s="5">
        <v>0</v>
      </c>
      <c r="R50" s="5">
        <v>0</v>
      </c>
      <c r="S50" s="5"/>
      <c r="T50">
        <f t="shared" si="1"/>
        <v>41.999900000000004</v>
      </c>
    </row>
    <row r="51" spans="1:20" x14ac:dyDescent="0.35">
      <c r="A51" s="5" t="s">
        <v>19</v>
      </c>
      <c r="B51" s="5">
        <v>2014</v>
      </c>
      <c r="C51" s="5">
        <v>1</v>
      </c>
      <c r="D51" s="5">
        <v>28</v>
      </c>
      <c r="E51" s="5">
        <v>11</v>
      </c>
      <c r="F51" s="5">
        <v>126436</v>
      </c>
      <c r="G51" s="5" t="s">
        <v>20</v>
      </c>
      <c r="H51" s="5">
        <v>0</v>
      </c>
      <c r="I51" s="5">
        <v>0.45829999999999999</v>
      </c>
      <c r="J51" s="5">
        <v>112.452</v>
      </c>
      <c r="K51" s="5">
        <v>45.37</v>
      </c>
      <c r="L51" s="5">
        <v>23.463999999999999</v>
      </c>
      <c r="M51" s="5">
        <v>4.6074999999999999</v>
      </c>
      <c r="N51" s="5">
        <v>0.89810000000000001</v>
      </c>
      <c r="O51" s="5">
        <v>0.16669999999999999</v>
      </c>
      <c r="P51" s="5">
        <v>0</v>
      </c>
      <c r="Q51" s="5">
        <v>0</v>
      </c>
      <c r="R51" s="5">
        <v>0</v>
      </c>
      <c r="S51" s="5"/>
      <c r="T51">
        <f t="shared" si="1"/>
        <v>187.41659999999996</v>
      </c>
    </row>
    <row r="52" spans="1:20" x14ac:dyDescent="0.35">
      <c r="A52" s="5" t="s">
        <v>19</v>
      </c>
      <c r="B52" s="5">
        <v>2014</v>
      </c>
      <c r="C52" s="5">
        <v>1</v>
      </c>
      <c r="D52" s="5">
        <v>28</v>
      </c>
      <c r="E52" s="5">
        <v>12</v>
      </c>
      <c r="F52" s="5">
        <v>126436</v>
      </c>
      <c r="G52" s="5" t="s">
        <v>20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/>
      <c r="T52">
        <f t="shared" si="1"/>
        <v>0</v>
      </c>
    </row>
    <row r="53" spans="1:20" x14ac:dyDescent="0.35">
      <c r="A53" s="5" t="s">
        <v>19</v>
      </c>
      <c r="B53" s="5">
        <v>2014</v>
      </c>
      <c r="C53" s="5">
        <v>1</v>
      </c>
      <c r="D53" s="5">
        <v>28</v>
      </c>
      <c r="E53" s="5">
        <v>9</v>
      </c>
      <c r="F53" s="5">
        <v>126436</v>
      </c>
      <c r="G53" s="5" t="s">
        <v>20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/>
      <c r="T53">
        <f t="shared" si="1"/>
        <v>0</v>
      </c>
    </row>
    <row r="54" spans="1:20" x14ac:dyDescent="0.35">
      <c r="A54" s="5" t="s">
        <v>19</v>
      </c>
      <c r="B54" s="5">
        <v>2015</v>
      </c>
      <c r="C54" s="5">
        <v>1</v>
      </c>
      <c r="D54" s="5">
        <v>21</v>
      </c>
      <c r="E54" s="5">
        <v>10</v>
      </c>
      <c r="F54" s="5">
        <v>126436</v>
      </c>
      <c r="G54" s="5" t="s">
        <v>20</v>
      </c>
      <c r="H54" s="5">
        <v>0</v>
      </c>
      <c r="I54" s="5">
        <v>4.8183999999999996</v>
      </c>
      <c r="J54" s="5">
        <v>7.6687000000000003</v>
      </c>
      <c r="K54" s="5">
        <v>10.5406</v>
      </c>
      <c r="L54" s="5">
        <v>0.68889999999999996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/>
      <c r="T54">
        <f t="shared" si="1"/>
        <v>23.7166</v>
      </c>
    </row>
    <row r="55" spans="1:20" x14ac:dyDescent="0.35">
      <c r="A55" s="5" t="s">
        <v>19</v>
      </c>
      <c r="B55" s="5">
        <v>2015</v>
      </c>
      <c r="C55" s="5">
        <v>1</v>
      </c>
      <c r="D55" s="5">
        <v>21</v>
      </c>
      <c r="E55" s="5">
        <v>11</v>
      </c>
      <c r="F55" s="5">
        <v>126436</v>
      </c>
      <c r="G55" s="5" t="s">
        <v>20</v>
      </c>
      <c r="H55" s="5">
        <v>0</v>
      </c>
      <c r="I55" s="5">
        <v>10.594900000000001</v>
      </c>
      <c r="J55" s="5">
        <v>17.6326</v>
      </c>
      <c r="K55" s="5">
        <v>30.4575</v>
      </c>
      <c r="L55" s="5">
        <v>2.0150000000000001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/>
      <c r="T55">
        <f t="shared" si="1"/>
        <v>60.7</v>
      </c>
    </row>
    <row r="56" spans="1:20" x14ac:dyDescent="0.35">
      <c r="A56" s="5" t="s">
        <v>19</v>
      </c>
      <c r="B56" s="5">
        <v>2015</v>
      </c>
      <c r="C56" s="5">
        <v>1</v>
      </c>
      <c r="D56" s="5">
        <v>21</v>
      </c>
      <c r="E56" s="5">
        <v>9</v>
      </c>
      <c r="F56" s="5">
        <v>126436</v>
      </c>
      <c r="G56" s="5" t="s">
        <v>20</v>
      </c>
      <c r="H56" s="5">
        <v>0</v>
      </c>
      <c r="I56" s="5">
        <v>49.8386</v>
      </c>
      <c r="J56" s="5">
        <v>20.6676</v>
      </c>
      <c r="K56" s="5">
        <v>15.445</v>
      </c>
      <c r="L56" s="5">
        <v>2.3109000000000002</v>
      </c>
      <c r="M56" s="5">
        <v>0.28179999999999999</v>
      </c>
      <c r="N56" s="5">
        <v>0</v>
      </c>
      <c r="O56" s="5">
        <v>0</v>
      </c>
      <c r="P56" s="5">
        <v>0</v>
      </c>
      <c r="Q56" s="5">
        <v>0</v>
      </c>
      <c r="R56" s="5">
        <v>0.38329999999999997</v>
      </c>
      <c r="S56" s="5"/>
      <c r="T56">
        <f t="shared" si="1"/>
        <v>88.927200000000013</v>
      </c>
    </row>
    <row r="57" spans="1:20" x14ac:dyDescent="0.35">
      <c r="A57" s="5" t="s">
        <v>19</v>
      </c>
      <c r="B57" s="5">
        <v>2015</v>
      </c>
      <c r="C57" s="5">
        <v>1</v>
      </c>
      <c r="D57" s="5">
        <v>22</v>
      </c>
      <c r="E57" s="5">
        <v>8</v>
      </c>
      <c r="F57" s="5">
        <v>126436</v>
      </c>
      <c r="G57" s="5" t="s">
        <v>20</v>
      </c>
      <c r="H57" s="5">
        <v>0</v>
      </c>
      <c r="I57" s="5">
        <v>13.130100000000001</v>
      </c>
      <c r="J57" s="5">
        <v>51.026800000000001</v>
      </c>
      <c r="K57" s="5">
        <v>13.8607</v>
      </c>
      <c r="L57" s="5">
        <v>2.8227000000000002</v>
      </c>
      <c r="M57" s="5">
        <v>2.0667</v>
      </c>
      <c r="N57" s="5">
        <v>0.22140000000000001</v>
      </c>
      <c r="O57" s="5">
        <v>0</v>
      </c>
      <c r="P57" s="5">
        <v>0</v>
      </c>
      <c r="Q57" s="5">
        <v>0</v>
      </c>
      <c r="R57" s="5">
        <v>0</v>
      </c>
      <c r="S57" s="5"/>
      <c r="T57">
        <f t="shared" si="1"/>
        <v>83.128399999999999</v>
      </c>
    </row>
    <row r="58" spans="1:20" x14ac:dyDescent="0.35">
      <c r="A58" s="5" t="s">
        <v>19</v>
      </c>
      <c r="B58" s="5">
        <v>2015</v>
      </c>
      <c r="C58" s="5">
        <v>1</v>
      </c>
      <c r="D58" s="5">
        <v>22</v>
      </c>
      <c r="E58" s="5">
        <v>9</v>
      </c>
      <c r="F58" s="5">
        <v>126436</v>
      </c>
      <c r="G58" s="5" t="s">
        <v>20</v>
      </c>
      <c r="H58" s="5">
        <v>0</v>
      </c>
      <c r="I58" s="5">
        <v>49.503999999999998</v>
      </c>
      <c r="J58" s="5">
        <v>107.40170000000001</v>
      </c>
      <c r="K58" s="5">
        <v>52.506300000000003</v>
      </c>
      <c r="L58" s="5">
        <v>2.6869000000000001</v>
      </c>
      <c r="M58" s="5">
        <v>0.86109999999999998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/>
      <c r="T58">
        <f t="shared" si="1"/>
        <v>212.96</v>
      </c>
    </row>
    <row r="59" spans="1:20" x14ac:dyDescent="0.35">
      <c r="A59" s="5" t="s">
        <v>19</v>
      </c>
      <c r="B59" s="5">
        <v>2015</v>
      </c>
      <c r="C59" s="5">
        <v>1</v>
      </c>
      <c r="D59" s="5">
        <v>23</v>
      </c>
      <c r="E59" s="5">
        <v>8</v>
      </c>
      <c r="F59" s="5">
        <v>126436</v>
      </c>
      <c r="G59" s="5" t="s">
        <v>20</v>
      </c>
      <c r="H59" s="5">
        <v>0</v>
      </c>
      <c r="I59" s="5">
        <v>533.33280000000002</v>
      </c>
      <c r="J59" s="5">
        <v>1496.3154999999999</v>
      </c>
      <c r="K59" s="5">
        <v>647.45870000000002</v>
      </c>
      <c r="L59" s="5">
        <v>23.1235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/>
      <c r="T59">
        <f t="shared" si="1"/>
        <v>2700.2305000000001</v>
      </c>
    </row>
    <row r="60" spans="1:20" x14ac:dyDescent="0.35">
      <c r="A60" s="5" t="s">
        <v>19</v>
      </c>
      <c r="B60" s="5">
        <v>2015</v>
      </c>
      <c r="C60" s="5">
        <v>1</v>
      </c>
      <c r="D60" s="5">
        <v>23</v>
      </c>
      <c r="E60" s="5">
        <v>9</v>
      </c>
      <c r="F60" s="5">
        <v>126436</v>
      </c>
      <c r="G60" s="5" t="s">
        <v>20</v>
      </c>
      <c r="H60" s="5">
        <v>0</v>
      </c>
      <c r="I60" s="5">
        <v>59.103000000000002</v>
      </c>
      <c r="J60" s="5">
        <v>718.74570000000006</v>
      </c>
      <c r="K60" s="5">
        <v>588.77139999999997</v>
      </c>
      <c r="L60" s="5">
        <v>6.5635000000000003</v>
      </c>
      <c r="M60" s="5">
        <v>3.2132000000000001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/>
      <c r="T60">
        <f t="shared" si="1"/>
        <v>1376.3968</v>
      </c>
    </row>
    <row r="61" spans="1:20" x14ac:dyDescent="0.35">
      <c r="A61" s="5" t="s">
        <v>19</v>
      </c>
      <c r="B61" s="5">
        <v>2015</v>
      </c>
      <c r="C61" s="5">
        <v>1</v>
      </c>
      <c r="D61" s="5">
        <v>24</v>
      </c>
      <c r="E61" s="5">
        <v>10</v>
      </c>
      <c r="F61" s="5">
        <v>126436</v>
      </c>
      <c r="G61" s="5" t="s">
        <v>20</v>
      </c>
      <c r="H61" s="5">
        <v>0</v>
      </c>
      <c r="I61" s="5">
        <v>190.60759999999999</v>
      </c>
      <c r="J61" s="5">
        <v>1368.3439000000001</v>
      </c>
      <c r="K61" s="5">
        <v>481.39269999999999</v>
      </c>
      <c r="L61" s="5">
        <v>37.947200000000002</v>
      </c>
      <c r="M61" s="5">
        <v>0.54149999999999998</v>
      </c>
      <c r="N61" s="5">
        <v>1.0024999999999999</v>
      </c>
      <c r="O61" s="5">
        <v>0.62919999999999998</v>
      </c>
      <c r="P61" s="5">
        <v>0.8861</v>
      </c>
      <c r="Q61" s="5">
        <v>0</v>
      </c>
      <c r="R61" s="5">
        <v>0</v>
      </c>
      <c r="S61" s="5"/>
      <c r="T61">
        <f t="shared" si="1"/>
        <v>2081.3507</v>
      </c>
    </row>
    <row r="62" spans="1:20" x14ac:dyDescent="0.35">
      <c r="A62" s="5" t="s">
        <v>19</v>
      </c>
      <c r="B62" s="5">
        <v>2015</v>
      </c>
      <c r="C62" s="5">
        <v>1</v>
      </c>
      <c r="D62" s="5">
        <v>24</v>
      </c>
      <c r="E62" s="5">
        <v>8</v>
      </c>
      <c r="F62" s="5">
        <v>126436</v>
      </c>
      <c r="G62" s="5" t="s">
        <v>20</v>
      </c>
      <c r="H62" s="5">
        <v>0</v>
      </c>
      <c r="I62" s="5">
        <v>20.4222</v>
      </c>
      <c r="J62" s="5">
        <v>68.544399999999996</v>
      </c>
      <c r="K62" s="5">
        <v>23.2957</v>
      </c>
      <c r="L62" s="5">
        <v>2.3369</v>
      </c>
      <c r="M62" s="5">
        <v>3.5200000000000002E-2</v>
      </c>
      <c r="N62" s="5">
        <v>3.3700000000000001E-2</v>
      </c>
      <c r="O62" s="5">
        <v>1.61E-2</v>
      </c>
      <c r="P62" s="5">
        <v>3.3799999999999997E-2</v>
      </c>
      <c r="Q62" s="5">
        <v>0</v>
      </c>
      <c r="R62" s="5">
        <v>0</v>
      </c>
      <c r="S62" s="5"/>
      <c r="T62">
        <f t="shared" si="1"/>
        <v>114.71799999999999</v>
      </c>
    </row>
    <row r="63" spans="1:20" x14ac:dyDescent="0.35">
      <c r="A63" s="5" t="s">
        <v>19</v>
      </c>
      <c r="B63" s="5">
        <v>2015</v>
      </c>
      <c r="C63" s="5">
        <v>1</v>
      </c>
      <c r="D63" s="5">
        <v>24</v>
      </c>
      <c r="E63" s="5">
        <v>9</v>
      </c>
      <c r="F63" s="5">
        <v>126436</v>
      </c>
      <c r="G63" s="5" t="s">
        <v>20</v>
      </c>
      <c r="H63" s="5">
        <v>0</v>
      </c>
      <c r="I63" s="5">
        <v>16.854700000000001</v>
      </c>
      <c r="J63" s="5">
        <v>155</v>
      </c>
      <c r="K63" s="5">
        <v>56.7042</v>
      </c>
      <c r="L63" s="5">
        <v>4.9557000000000002</v>
      </c>
      <c r="M63" s="5">
        <v>3.8800000000000001E-2</v>
      </c>
      <c r="N63" s="5">
        <v>7.1900000000000006E-2</v>
      </c>
      <c r="O63" s="5">
        <v>4.3099999999999999E-2</v>
      </c>
      <c r="P63" s="5">
        <v>0.1464</v>
      </c>
      <c r="Q63" s="5">
        <v>0</v>
      </c>
      <c r="R63" s="5">
        <v>0</v>
      </c>
      <c r="S63" s="5"/>
      <c r="T63">
        <f t="shared" si="1"/>
        <v>233.81480000000002</v>
      </c>
    </row>
    <row r="64" spans="1:20" x14ac:dyDescent="0.35">
      <c r="A64" s="5" t="s">
        <v>19</v>
      </c>
      <c r="B64" s="5">
        <v>2015</v>
      </c>
      <c r="C64" s="5">
        <v>1</v>
      </c>
      <c r="D64" s="5">
        <v>25</v>
      </c>
      <c r="E64" s="5">
        <v>10</v>
      </c>
      <c r="F64" s="5">
        <v>126436</v>
      </c>
      <c r="G64" s="5" t="s">
        <v>20</v>
      </c>
      <c r="H64" s="5">
        <v>0</v>
      </c>
      <c r="I64" s="5">
        <v>7.4968000000000004</v>
      </c>
      <c r="J64" s="5">
        <v>473.18470000000002</v>
      </c>
      <c r="K64" s="5">
        <v>728.57680000000005</v>
      </c>
      <c r="L64" s="5">
        <v>181.3218</v>
      </c>
      <c r="M64" s="5">
        <v>20.287099999999999</v>
      </c>
      <c r="N64" s="5">
        <v>3.5602999999999998</v>
      </c>
      <c r="O64" s="5">
        <v>0.2535</v>
      </c>
      <c r="P64" s="5">
        <v>0</v>
      </c>
      <c r="Q64" s="5">
        <v>3.8100000000000002E-2</v>
      </c>
      <c r="R64" s="5">
        <v>0</v>
      </c>
      <c r="S64" s="5"/>
      <c r="T64">
        <f t="shared" si="1"/>
        <v>1414.7191</v>
      </c>
    </row>
    <row r="65" spans="1:20" x14ac:dyDescent="0.35">
      <c r="A65" s="5" t="s">
        <v>19</v>
      </c>
      <c r="B65" s="5">
        <v>2015</v>
      </c>
      <c r="C65" s="5">
        <v>1</v>
      </c>
      <c r="D65" s="5">
        <v>25</v>
      </c>
      <c r="E65" s="5">
        <v>11</v>
      </c>
      <c r="F65" s="5">
        <v>126436</v>
      </c>
      <c r="G65" s="5" t="s">
        <v>20</v>
      </c>
      <c r="H65" s="5">
        <v>0</v>
      </c>
      <c r="I65" s="5">
        <v>5.0511999999999997</v>
      </c>
      <c r="J65" s="5">
        <v>291.58499999999998</v>
      </c>
      <c r="K65" s="5">
        <v>963.89750000000004</v>
      </c>
      <c r="L65" s="5">
        <v>257.20089999999999</v>
      </c>
      <c r="M65" s="5">
        <v>28.783100000000001</v>
      </c>
      <c r="N65" s="5">
        <v>5.2507000000000001</v>
      </c>
      <c r="O65" s="5">
        <v>0.3992</v>
      </c>
      <c r="P65" s="5">
        <v>0</v>
      </c>
      <c r="Q65" s="5">
        <v>7.3700000000000002E-2</v>
      </c>
      <c r="R65" s="5">
        <v>0</v>
      </c>
      <c r="S65" s="5"/>
      <c r="T65">
        <f t="shared" si="1"/>
        <v>1552.2413000000001</v>
      </c>
    </row>
    <row r="66" spans="1:20" x14ac:dyDescent="0.35">
      <c r="A66" s="5" t="s">
        <v>19</v>
      </c>
      <c r="B66" s="5">
        <v>2015</v>
      </c>
      <c r="C66" s="5">
        <v>1</v>
      </c>
      <c r="D66" s="5">
        <v>25</v>
      </c>
      <c r="E66" s="5">
        <v>12</v>
      </c>
      <c r="F66" s="5">
        <v>126436</v>
      </c>
      <c r="G66" s="5" t="s">
        <v>20</v>
      </c>
      <c r="H66" s="5">
        <v>0</v>
      </c>
      <c r="I66" s="5">
        <v>2.1696</v>
      </c>
      <c r="J66" s="5">
        <v>167.54849999999999</v>
      </c>
      <c r="K66" s="5">
        <v>1315.5862</v>
      </c>
      <c r="L66" s="5">
        <v>523.35209999999995</v>
      </c>
      <c r="M66" s="5">
        <v>60.651800000000001</v>
      </c>
      <c r="N66" s="5">
        <v>11.006399999999999</v>
      </c>
      <c r="O66" s="5">
        <v>0.74470000000000003</v>
      </c>
      <c r="P66" s="5">
        <v>0</v>
      </c>
      <c r="Q66" s="5">
        <v>8.6400000000000005E-2</v>
      </c>
      <c r="R66" s="5">
        <v>0</v>
      </c>
      <c r="S66" s="5"/>
      <c r="T66">
        <f t="shared" ref="T66:T97" si="2">SUM(I66:R66)</f>
        <v>2081.1457000000005</v>
      </c>
    </row>
    <row r="67" spans="1:20" x14ac:dyDescent="0.35">
      <c r="A67" s="5" t="s">
        <v>19</v>
      </c>
      <c r="B67" s="5">
        <v>2015</v>
      </c>
      <c r="C67" s="5">
        <v>1</v>
      </c>
      <c r="D67" s="5">
        <v>25</v>
      </c>
      <c r="E67" s="5">
        <v>9</v>
      </c>
      <c r="F67" s="5">
        <v>126436</v>
      </c>
      <c r="G67" s="5" t="s">
        <v>20</v>
      </c>
      <c r="H67" s="5">
        <v>0</v>
      </c>
      <c r="I67" s="5">
        <v>0.5</v>
      </c>
      <c r="J67" s="5">
        <v>26.114000000000001</v>
      </c>
      <c r="K67" s="5">
        <v>417.65550000000002</v>
      </c>
      <c r="L67" s="5">
        <v>134.82849999999999</v>
      </c>
      <c r="M67" s="5">
        <v>11.1174</v>
      </c>
      <c r="N67" s="5">
        <v>1.631</v>
      </c>
      <c r="O67" s="5">
        <v>0.15359999999999999</v>
      </c>
      <c r="P67" s="5">
        <v>0</v>
      </c>
      <c r="Q67" s="5">
        <v>0</v>
      </c>
      <c r="R67" s="5">
        <v>0</v>
      </c>
      <c r="S67" s="5"/>
      <c r="T67">
        <f t="shared" si="2"/>
        <v>591.99999999999989</v>
      </c>
    </row>
    <row r="68" spans="1:20" x14ac:dyDescent="0.35">
      <c r="A68" s="5" t="s">
        <v>19</v>
      </c>
      <c r="B68" s="5">
        <v>2015</v>
      </c>
      <c r="C68" s="5">
        <v>1</v>
      </c>
      <c r="D68" s="5">
        <v>26</v>
      </c>
      <c r="E68" s="5">
        <v>10</v>
      </c>
      <c r="F68" s="5">
        <v>126436</v>
      </c>
      <c r="G68" s="5" t="s">
        <v>20</v>
      </c>
      <c r="H68" s="5">
        <v>0</v>
      </c>
      <c r="I68" s="5">
        <v>6.5845000000000002</v>
      </c>
      <c r="J68" s="5">
        <v>65.898899999999998</v>
      </c>
      <c r="K68" s="5">
        <v>230.3947</v>
      </c>
      <c r="L68" s="5">
        <v>131.2527</v>
      </c>
      <c r="M68" s="5">
        <v>53.0349</v>
      </c>
      <c r="N68" s="5">
        <v>9.2098999999999993</v>
      </c>
      <c r="O68" s="5">
        <v>2.6444000000000001</v>
      </c>
      <c r="P68" s="5">
        <v>0.372</v>
      </c>
      <c r="Q68" s="5">
        <v>0</v>
      </c>
      <c r="R68" s="5">
        <v>0</v>
      </c>
      <c r="S68" s="5"/>
      <c r="T68">
        <f t="shared" si="2"/>
        <v>499.39200000000005</v>
      </c>
    </row>
    <row r="69" spans="1:20" x14ac:dyDescent="0.35">
      <c r="A69" s="5" t="s">
        <v>19</v>
      </c>
      <c r="B69" s="5">
        <v>2015</v>
      </c>
      <c r="C69" s="5">
        <v>1</v>
      </c>
      <c r="D69" s="5">
        <v>26</v>
      </c>
      <c r="E69" s="5">
        <v>11</v>
      </c>
      <c r="F69" s="5">
        <v>126436</v>
      </c>
      <c r="G69" s="5" t="s">
        <v>20</v>
      </c>
      <c r="H69" s="5">
        <v>0</v>
      </c>
      <c r="I69" s="5">
        <v>3.6915</v>
      </c>
      <c r="J69" s="5">
        <v>69.141000000000005</v>
      </c>
      <c r="K69" s="5">
        <v>154.7116</v>
      </c>
      <c r="L69" s="5">
        <v>86.247100000000003</v>
      </c>
      <c r="M69" s="5">
        <v>31.922499999999999</v>
      </c>
      <c r="N69" s="5">
        <v>5.0561999999999996</v>
      </c>
      <c r="O69" s="5">
        <v>1.7359</v>
      </c>
      <c r="P69" s="5">
        <v>0.29409999999999997</v>
      </c>
      <c r="Q69" s="5">
        <v>0</v>
      </c>
      <c r="R69" s="5">
        <v>0</v>
      </c>
      <c r="S69" s="5"/>
      <c r="T69">
        <f t="shared" si="2"/>
        <v>352.79990000000004</v>
      </c>
    </row>
    <row r="70" spans="1:20" x14ac:dyDescent="0.35">
      <c r="A70" s="5" t="s">
        <v>19</v>
      </c>
      <c r="B70" s="5">
        <v>2015</v>
      </c>
      <c r="C70" s="5">
        <v>1</v>
      </c>
      <c r="D70" s="5">
        <v>26</v>
      </c>
      <c r="E70" s="5">
        <v>12</v>
      </c>
      <c r="F70" s="5">
        <v>126436</v>
      </c>
      <c r="G70" s="5" t="s">
        <v>20</v>
      </c>
      <c r="H70" s="5">
        <v>0</v>
      </c>
      <c r="I70" s="5">
        <v>1.0545</v>
      </c>
      <c r="J70" s="5">
        <v>59.8919</v>
      </c>
      <c r="K70" s="5">
        <v>187.09700000000001</v>
      </c>
      <c r="L70" s="5">
        <v>109.0159</v>
      </c>
      <c r="M70" s="5">
        <v>38.962899999999998</v>
      </c>
      <c r="N70" s="5">
        <v>6.3720999999999997</v>
      </c>
      <c r="O70" s="5">
        <v>1.6055999999999999</v>
      </c>
      <c r="P70" s="5">
        <v>0.1</v>
      </c>
      <c r="Q70" s="5">
        <v>0.1</v>
      </c>
      <c r="R70" s="5">
        <v>0</v>
      </c>
      <c r="S70" s="5"/>
      <c r="T70">
        <f t="shared" si="2"/>
        <v>404.19990000000001</v>
      </c>
    </row>
    <row r="71" spans="1:20" x14ac:dyDescent="0.35">
      <c r="A71" s="5" t="s">
        <v>19</v>
      </c>
      <c r="B71" s="5">
        <v>2015</v>
      </c>
      <c r="C71" s="5">
        <v>1</v>
      </c>
      <c r="D71" s="5">
        <v>26</v>
      </c>
      <c r="E71" s="5">
        <v>13</v>
      </c>
      <c r="F71" s="5">
        <v>126436</v>
      </c>
      <c r="G71" s="5" t="s">
        <v>20</v>
      </c>
      <c r="H71" s="5">
        <v>0</v>
      </c>
      <c r="I71" s="5">
        <v>0.71430000000000005</v>
      </c>
      <c r="J71" s="5">
        <v>22.894200000000001</v>
      </c>
      <c r="K71" s="5">
        <v>140.69829999999999</v>
      </c>
      <c r="L71" s="5">
        <v>78.5261</v>
      </c>
      <c r="M71" s="5">
        <v>33.675899999999999</v>
      </c>
      <c r="N71" s="5">
        <v>4.9329999999999998</v>
      </c>
      <c r="O71" s="5">
        <v>1.3915</v>
      </c>
      <c r="P71" s="5">
        <v>0.33329999999999999</v>
      </c>
      <c r="Q71" s="5">
        <v>0.16669999999999999</v>
      </c>
      <c r="R71" s="5">
        <v>0</v>
      </c>
      <c r="S71" s="5"/>
      <c r="T71">
        <f t="shared" si="2"/>
        <v>283.33330000000001</v>
      </c>
    </row>
    <row r="72" spans="1:20" x14ac:dyDescent="0.35">
      <c r="A72" s="5" t="s">
        <v>19</v>
      </c>
      <c r="B72" s="5">
        <v>2015</v>
      </c>
      <c r="C72" s="5">
        <v>1</v>
      </c>
      <c r="D72" s="5">
        <v>26</v>
      </c>
      <c r="E72" s="5">
        <v>14</v>
      </c>
      <c r="F72" s="5">
        <v>126436</v>
      </c>
      <c r="G72" s="5" t="s">
        <v>20</v>
      </c>
      <c r="H72" s="5">
        <v>0</v>
      </c>
      <c r="I72" s="5">
        <v>3.5</v>
      </c>
      <c r="J72" s="5">
        <v>29.214400000000001</v>
      </c>
      <c r="K72" s="5">
        <v>179.65520000000001</v>
      </c>
      <c r="L72" s="5">
        <v>118.23220000000001</v>
      </c>
      <c r="M72" s="5">
        <v>59.0488</v>
      </c>
      <c r="N72" s="5">
        <v>13.455299999999999</v>
      </c>
      <c r="O72" s="5">
        <v>2.8940000000000001</v>
      </c>
      <c r="P72" s="5">
        <v>0</v>
      </c>
      <c r="Q72" s="5">
        <v>0</v>
      </c>
      <c r="R72" s="5">
        <v>0</v>
      </c>
      <c r="S72" s="5"/>
      <c r="T72">
        <f t="shared" si="2"/>
        <v>405.99990000000008</v>
      </c>
    </row>
    <row r="73" spans="1:20" x14ac:dyDescent="0.35">
      <c r="A73" s="5" t="s">
        <v>19</v>
      </c>
      <c r="B73" s="5">
        <v>2015</v>
      </c>
      <c r="C73" s="5">
        <v>1</v>
      </c>
      <c r="D73" s="5">
        <v>26</v>
      </c>
      <c r="E73" s="5">
        <v>9</v>
      </c>
      <c r="F73" s="5">
        <v>126436</v>
      </c>
      <c r="G73" s="5" t="s">
        <v>20</v>
      </c>
      <c r="H73" s="5">
        <v>0</v>
      </c>
      <c r="I73" s="5">
        <v>7.8277999999999999</v>
      </c>
      <c r="J73" s="5">
        <v>18.6859</v>
      </c>
      <c r="K73" s="5">
        <v>48.572699999999998</v>
      </c>
      <c r="L73" s="5">
        <v>28.4635</v>
      </c>
      <c r="M73" s="5">
        <v>11.041700000000001</v>
      </c>
      <c r="N73" s="5">
        <v>1.9664999999999999</v>
      </c>
      <c r="O73" s="5">
        <v>0.65300000000000002</v>
      </c>
      <c r="P73" s="5">
        <v>0</v>
      </c>
      <c r="Q73" s="5">
        <v>0</v>
      </c>
      <c r="R73" s="5">
        <v>0</v>
      </c>
      <c r="S73" s="5"/>
      <c r="T73">
        <f t="shared" si="2"/>
        <v>117.2111</v>
      </c>
    </row>
    <row r="74" spans="1:20" x14ac:dyDescent="0.35">
      <c r="A74" s="5" t="s">
        <v>19</v>
      </c>
      <c r="B74" s="5">
        <v>2015</v>
      </c>
      <c r="C74" s="5">
        <v>1</v>
      </c>
      <c r="D74" s="5">
        <v>27</v>
      </c>
      <c r="E74" s="5">
        <v>11</v>
      </c>
      <c r="F74" s="5">
        <v>126436</v>
      </c>
      <c r="G74" s="5" t="s">
        <v>20</v>
      </c>
      <c r="H74" s="5">
        <v>0</v>
      </c>
      <c r="I74" s="5">
        <v>0</v>
      </c>
      <c r="J74" s="5">
        <v>0.8</v>
      </c>
      <c r="K74" s="5">
        <v>0.2</v>
      </c>
      <c r="L74" s="5">
        <v>0</v>
      </c>
      <c r="M74" s="5">
        <v>0.5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/>
      <c r="T74">
        <f t="shared" si="2"/>
        <v>1.5</v>
      </c>
    </row>
    <row r="75" spans="1:20" x14ac:dyDescent="0.35">
      <c r="A75" s="5" t="s">
        <v>19</v>
      </c>
      <c r="B75" s="5">
        <v>2015</v>
      </c>
      <c r="C75" s="5">
        <v>1</v>
      </c>
      <c r="D75" s="5">
        <v>27</v>
      </c>
      <c r="E75" s="5">
        <v>12</v>
      </c>
      <c r="F75" s="5">
        <v>126436</v>
      </c>
      <c r="G75" s="5" t="s">
        <v>20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/>
      <c r="T75">
        <f t="shared" si="2"/>
        <v>0</v>
      </c>
    </row>
    <row r="76" spans="1:20" x14ac:dyDescent="0.35">
      <c r="A76" s="5" t="s">
        <v>19</v>
      </c>
      <c r="B76" s="5">
        <v>2015</v>
      </c>
      <c r="C76" s="5">
        <v>1</v>
      </c>
      <c r="D76" s="5">
        <v>27</v>
      </c>
      <c r="E76" s="5">
        <v>13</v>
      </c>
      <c r="F76" s="5">
        <v>126436</v>
      </c>
      <c r="G76" s="5" t="s">
        <v>20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/>
      <c r="T76">
        <f t="shared" si="2"/>
        <v>0</v>
      </c>
    </row>
    <row r="77" spans="1:20" x14ac:dyDescent="0.35">
      <c r="A77" s="5" t="s">
        <v>19</v>
      </c>
      <c r="B77" s="5">
        <v>2015</v>
      </c>
      <c r="C77" s="5">
        <v>1</v>
      </c>
      <c r="D77" s="5">
        <v>28</v>
      </c>
      <c r="E77" s="5">
        <v>10</v>
      </c>
      <c r="F77" s="5">
        <v>126436</v>
      </c>
      <c r="G77" s="5" t="s">
        <v>20</v>
      </c>
      <c r="H77" s="5">
        <v>0</v>
      </c>
      <c r="I77" s="5">
        <v>2</v>
      </c>
      <c r="J77" s="5">
        <v>15.977600000000001</v>
      </c>
      <c r="K77" s="5">
        <v>25.257200000000001</v>
      </c>
      <c r="L77" s="5">
        <v>9.4143000000000008</v>
      </c>
      <c r="M77" s="5">
        <v>1.7476</v>
      </c>
      <c r="N77" s="5">
        <v>0.23810000000000001</v>
      </c>
      <c r="O77" s="5">
        <v>0.22220000000000001</v>
      </c>
      <c r="P77" s="5">
        <v>0</v>
      </c>
      <c r="Q77" s="5">
        <v>0</v>
      </c>
      <c r="R77" s="5">
        <v>0</v>
      </c>
      <c r="S77" s="5"/>
      <c r="T77">
        <f t="shared" si="2"/>
        <v>54.857000000000006</v>
      </c>
    </row>
    <row r="78" spans="1:20" x14ac:dyDescent="0.35">
      <c r="A78" s="5" t="s">
        <v>19</v>
      </c>
      <c r="B78" s="5">
        <v>2015</v>
      </c>
      <c r="C78" s="5">
        <v>1</v>
      </c>
      <c r="D78" s="5">
        <v>28</v>
      </c>
      <c r="E78" s="5">
        <v>11</v>
      </c>
      <c r="F78" s="5">
        <v>126436</v>
      </c>
      <c r="G78" s="5" t="s">
        <v>20</v>
      </c>
      <c r="H78" s="5">
        <v>0</v>
      </c>
      <c r="I78" s="5">
        <v>0.36359999999999998</v>
      </c>
      <c r="J78" s="5">
        <v>18.884799999999998</v>
      </c>
      <c r="K78" s="5">
        <v>30.355599999999999</v>
      </c>
      <c r="L78" s="5">
        <v>14.0657</v>
      </c>
      <c r="M78" s="5">
        <v>3.7368000000000001</v>
      </c>
      <c r="N78" s="5">
        <v>0.73480000000000001</v>
      </c>
      <c r="O78" s="5">
        <v>0.40400000000000003</v>
      </c>
      <c r="P78" s="5">
        <v>0</v>
      </c>
      <c r="Q78" s="5">
        <v>0</v>
      </c>
      <c r="R78" s="5">
        <v>0</v>
      </c>
      <c r="S78" s="5"/>
      <c r="T78">
        <f t="shared" si="2"/>
        <v>68.545299999999997</v>
      </c>
    </row>
    <row r="79" spans="1:20" x14ac:dyDescent="0.35">
      <c r="A79" s="5" t="s">
        <v>19</v>
      </c>
      <c r="B79" s="5">
        <v>2015</v>
      </c>
      <c r="C79" s="5">
        <v>1</v>
      </c>
      <c r="D79" s="5">
        <v>28</v>
      </c>
      <c r="E79" s="5">
        <v>12</v>
      </c>
      <c r="F79" s="5">
        <v>126436</v>
      </c>
      <c r="G79" s="5" t="s">
        <v>20</v>
      </c>
      <c r="H79" s="5">
        <v>0</v>
      </c>
      <c r="I79" s="5">
        <v>0</v>
      </c>
      <c r="J79" s="5">
        <v>0.42920000000000003</v>
      </c>
      <c r="K79" s="5">
        <v>1.7442</v>
      </c>
      <c r="L79" s="5">
        <v>1.0093000000000001</v>
      </c>
      <c r="M79" s="5">
        <v>0.65059999999999996</v>
      </c>
      <c r="N79" s="5">
        <v>0.25</v>
      </c>
      <c r="O79" s="5">
        <v>0.16669999999999999</v>
      </c>
      <c r="P79" s="5">
        <v>0</v>
      </c>
      <c r="Q79" s="5">
        <v>0</v>
      </c>
      <c r="R79" s="5">
        <v>0</v>
      </c>
      <c r="S79" s="5"/>
      <c r="T79">
        <f t="shared" si="2"/>
        <v>4.2499999999999991</v>
      </c>
    </row>
    <row r="80" spans="1:20" x14ac:dyDescent="0.35">
      <c r="A80" s="5" t="s">
        <v>19</v>
      </c>
      <c r="B80" s="5">
        <v>2015</v>
      </c>
      <c r="C80" s="5">
        <v>1</v>
      </c>
      <c r="D80" s="5">
        <v>28</v>
      </c>
      <c r="E80" s="5">
        <v>9</v>
      </c>
      <c r="F80" s="5">
        <v>126436</v>
      </c>
      <c r="G80" s="5" t="s">
        <v>20</v>
      </c>
      <c r="H80" s="5">
        <v>0</v>
      </c>
      <c r="I80" s="5">
        <v>0</v>
      </c>
      <c r="J80" s="5">
        <v>0.1111</v>
      </c>
      <c r="K80" s="5">
        <v>1.8889</v>
      </c>
      <c r="L80" s="5">
        <v>2</v>
      </c>
      <c r="M80" s="5">
        <v>1</v>
      </c>
      <c r="N80" s="5">
        <v>0.33329999999999999</v>
      </c>
      <c r="O80" s="5">
        <v>0</v>
      </c>
      <c r="P80" s="5">
        <v>0</v>
      </c>
      <c r="Q80" s="5">
        <v>0</v>
      </c>
      <c r="R80" s="5">
        <v>0</v>
      </c>
      <c r="S80" s="5"/>
      <c r="T80">
        <f t="shared" si="2"/>
        <v>5.3333000000000004</v>
      </c>
    </row>
    <row r="81" spans="1:20" x14ac:dyDescent="0.35">
      <c r="A81" s="5" t="s">
        <v>19</v>
      </c>
      <c r="B81" s="5">
        <v>2016</v>
      </c>
      <c r="C81" s="5">
        <v>1</v>
      </c>
      <c r="D81" s="5">
        <v>21</v>
      </c>
      <c r="E81" s="5">
        <v>10</v>
      </c>
      <c r="F81" s="5">
        <v>126436</v>
      </c>
      <c r="G81" s="5" t="s">
        <v>20</v>
      </c>
      <c r="H81" s="5">
        <v>0</v>
      </c>
      <c r="I81" s="5">
        <v>5.5E-2</v>
      </c>
      <c r="J81" s="5">
        <v>0.58069999999999999</v>
      </c>
      <c r="K81" s="5">
        <v>1.0543</v>
      </c>
      <c r="L81" s="5">
        <v>7.7100000000000002E-2</v>
      </c>
      <c r="M81" s="5">
        <v>0.10290000000000001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/>
      <c r="T81">
        <f t="shared" si="2"/>
        <v>1.8699999999999999</v>
      </c>
    </row>
    <row r="82" spans="1:20" x14ac:dyDescent="0.35">
      <c r="A82" s="5" t="s">
        <v>19</v>
      </c>
      <c r="B82" s="5">
        <v>2016</v>
      </c>
      <c r="C82" s="5">
        <v>1</v>
      </c>
      <c r="D82" s="5">
        <v>21</v>
      </c>
      <c r="E82" s="5">
        <v>11</v>
      </c>
      <c r="F82" s="5">
        <v>126436</v>
      </c>
      <c r="G82" s="5" t="s">
        <v>20</v>
      </c>
      <c r="H82" s="5">
        <v>0</v>
      </c>
      <c r="I82" s="5">
        <v>0</v>
      </c>
      <c r="J82" s="5">
        <v>4.18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/>
      <c r="T82">
        <f t="shared" si="2"/>
        <v>4.18</v>
      </c>
    </row>
    <row r="83" spans="1:20" x14ac:dyDescent="0.35">
      <c r="A83" s="5" t="s">
        <v>19</v>
      </c>
      <c r="B83" s="5">
        <v>2016</v>
      </c>
      <c r="C83" s="5">
        <v>1</v>
      </c>
      <c r="D83" s="5">
        <v>21</v>
      </c>
      <c r="E83" s="5">
        <v>9</v>
      </c>
      <c r="F83" s="5">
        <v>126436</v>
      </c>
      <c r="G83" s="5" t="s">
        <v>20</v>
      </c>
      <c r="H83" s="5">
        <v>0</v>
      </c>
      <c r="I83" s="5">
        <v>1.5024</v>
      </c>
      <c r="J83" s="5">
        <v>5.9086999999999996</v>
      </c>
      <c r="K83" s="5">
        <v>1.3263</v>
      </c>
      <c r="L83" s="5">
        <v>3.9020000000000001</v>
      </c>
      <c r="M83" s="5">
        <v>2.3565</v>
      </c>
      <c r="N83" s="5">
        <v>9.7900000000000001E-2</v>
      </c>
      <c r="O83" s="5">
        <v>5.0799999999999998E-2</v>
      </c>
      <c r="P83" s="5">
        <v>0</v>
      </c>
      <c r="Q83" s="5">
        <v>0</v>
      </c>
      <c r="R83" s="5">
        <v>0</v>
      </c>
      <c r="S83" s="5"/>
      <c r="T83">
        <f t="shared" si="2"/>
        <v>15.144599999999999</v>
      </c>
    </row>
    <row r="84" spans="1:20" x14ac:dyDescent="0.35">
      <c r="A84" s="5" t="s">
        <v>19</v>
      </c>
      <c r="B84" s="5">
        <v>2016</v>
      </c>
      <c r="C84" s="5">
        <v>1</v>
      </c>
      <c r="D84" s="5">
        <v>22</v>
      </c>
      <c r="E84" s="5">
        <v>8</v>
      </c>
      <c r="F84" s="5">
        <v>126436</v>
      </c>
      <c r="G84" s="5" t="s">
        <v>20</v>
      </c>
      <c r="H84" s="5">
        <v>0</v>
      </c>
      <c r="I84" s="5">
        <v>0.3831</v>
      </c>
      <c r="J84" s="5">
        <v>1.1472</v>
      </c>
      <c r="K84" s="5">
        <v>0.22509999999999999</v>
      </c>
      <c r="L84" s="5">
        <v>1.2217</v>
      </c>
      <c r="M84" s="5">
        <v>0.40660000000000002</v>
      </c>
      <c r="N84" s="5">
        <v>0.20349999999999999</v>
      </c>
      <c r="O84" s="5">
        <v>0</v>
      </c>
      <c r="P84" s="5">
        <v>0</v>
      </c>
      <c r="Q84" s="5">
        <v>0</v>
      </c>
      <c r="R84" s="5">
        <v>0</v>
      </c>
      <c r="S84" s="5"/>
      <c r="T84">
        <f t="shared" si="2"/>
        <v>3.5872000000000002</v>
      </c>
    </row>
    <row r="85" spans="1:20" x14ac:dyDescent="0.35">
      <c r="A85" s="5" t="s">
        <v>19</v>
      </c>
      <c r="B85" s="5">
        <v>2016</v>
      </c>
      <c r="C85" s="5">
        <v>1</v>
      </c>
      <c r="D85" s="5">
        <v>22</v>
      </c>
      <c r="E85" s="5">
        <v>9</v>
      </c>
      <c r="F85" s="5">
        <v>126436</v>
      </c>
      <c r="G85" s="5" t="s">
        <v>20</v>
      </c>
      <c r="H85" s="5">
        <v>0</v>
      </c>
      <c r="I85" s="5">
        <v>0.43219999999999997</v>
      </c>
      <c r="J85" s="5">
        <v>8.3065999999999995</v>
      </c>
      <c r="K85" s="5">
        <v>16.882200000000001</v>
      </c>
      <c r="L85" s="5">
        <v>4.3868999999999998</v>
      </c>
      <c r="M85" s="5">
        <v>1.0607</v>
      </c>
      <c r="N85" s="5">
        <v>0.26640000000000003</v>
      </c>
      <c r="O85" s="5">
        <v>2.75E-2</v>
      </c>
      <c r="P85" s="5">
        <v>0</v>
      </c>
      <c r="Q85" s="5">
        <v>0</v>
      </c>
      <c r="R85" s="5">
        <v>0</v>
      </c>
      <c r="S85" s="5"/>
      <c r="T85">
        <f t="shared" si="2"/>
        <v>31.362500000000004</v>
      </c>
    </row>
    <row r="86" spans="1:20" x14ac:dyDescent="0.35">
      <c r="A86" s="5" t="s">
        <v>19</v>
      </c>
      <c r="B86" s="5">
        <v>2016</v>
      </c>
      <c r="C86" s="5">
        <v>1</v>
      </c>
      <c r="D86" s="5">
        <v>23</v>
      </c>
      <c r="E86" s="5">
        <v>8</v>
      </c>
      <c r="F86" s="5">
        <v>126436</v>
      </c>
      <c r="G86" s="5" t="s">
        <v>20</v>
      </c>
      <c r="H86" s="5">
        <v>0</v>
      </c>
      <c r="I86" s="5">
        <v>0</v>
      </c>
      <c r="J86" s="5">
        <v>107.9218</v>
      </c>
      <c r="K86" s="5">
        <v>89.459800000000001</v>
      </c>
      <c r="L86" s="5">
        <v>45.296799999999998</v>
      </c>
      <c r="M86" s="5">
        <v>3.9308000000000001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/>
      <c r="T86">
        <f t="shared" si="2"/>
        <v>246.60919999999999</v>
      </c>
    </row>
    <row r="87" spans="1:20" x14ac:dyDescent="0.35">
      <c r="A87" s="5" t="s">
        <v>19</v>
      </c>
      <c r="B87" s="5">
        <v>2016</v>
      </c>
      <c r="C87" s="5">
        <v>1</v>
      </c>
      <c r="D87" s="5">
        <v>23</v>
      </c>
      <c r="E87" s="5">
        <v>9</v>
      </c>
      <c r="F87" s="5">
        <v>126436</v>
      </c>
      <c r="G87" s="5" t="s">
        <v>20</v>
      </c>
      <c r="H87" s="5">
        <v>0</v>
      </c>
      <c r="I87" s="5">
        <v>0</v>
      </c>
      <c r="J87" s="5">
        <v>1.5732999999999999</v>
      </c>
      <c r="K87" s="5">
        <v>1.4</v>
      </c>
      <c r="L87" s="5">
        <v>5.9226999999999999</v>
      </c>
      <c r="M87" s="5">
        <v>3.3239999999999998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/>
      <c r="T87">
        <f t="shared" si="2"/>
        <v>12.22</v>
      </c>
    </row>
    <row r="88" spans="1:20" x14ac:dyDescent="0.35">
      <c r="A88" s="5" t="s">
        <v>19</v>
      </c>
      <c r="B88" s="5">
        <v>2016</v>
      </c>
      <c r="C88" s="5">
        <v>1</v>
      </c>
      <c r="D88" s="5">
        <v>24</v>
      </c>
      <c r="E88" s="5">
        <v>10</v>
      </c>
      <c r="F88" s="5">
        <v>126436</v>
      </c>
      <c r="G88" s="5" t="s">
        <v>20</v>
      </c>
      <c r="H88" s="5">
        <v>0</v>
      </c>
      <c r="I88" s="5">
        <v>4.1344000000000003</v>
      </c>
      <c r="J88" s="5">
        <v>0</v>
      </c>
      <c r="K88" s="5">
        <v>742.44100000000003</v>
      </c>
      <c r="L88" s="5">
        <v>469.57499999999999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/>
      <c r="T88">
        <f t="shared" si="2"/>
        <v>1216.1504</v>
      </c>
    </row>
    <row r="89" spans="1:20" x14ac:dyDescent="0.35">
      <c r="A89" s="5" t="s">
        <v>19</v>
      </c>
      <c r="B89" s="5">
        <v>2016</v>
      </c>
      <c r="C89" s="5">
        <v>1</v>
      </c>
      <c r="D89" s="5">
        <v>24</v>
      </c>
      <c r="E89" s="5">
        <v>8</v>
      </c>
      <c r="F89" s="5">
        <v>126436</v>
      </c>
      <c r="G89" s="5" t="s">
        <v>20</v>
      </c>
      <c r="H89" s="5">
        <v>0</v>
      </c>
      <c r="I89" s="5">
        <v>0</v>
      </c>
      <c r="J89" s="5">
        <v>0</v>
      </c>
      <c r="K89" s="5">
        <v>18.312000000000001</v>
      </c>
      <c r="L89" s="5">
        <v>26.16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/>
      <c r="T89">
        <f t="shared" si="2"/>
        <v>44.472000000000001</v>
      </c>
    </row>
    <row r="90" spans="1:20" x14ac:dyDescent="0.35">
      <c r="A90" s="5" t="s">
        <v>19</v>
      </c>
      <c r="B90" s="5">
        <v>2016</v>
      </c>
      <c r="C90" s="5">
        <v>1</v>
      </c>
      <c r="D90" s="5">
        <v>24</v>
      </c>
      <c r="E90" s="5">
        <v>9</v>
      </c>
      <c r="F90" s="5">
        <v>126436</v>
      </c>
      <c r="G90" s="5" t="s">
        <v>20</v>
      </c>
      <c r="H90" s="5">
        <v>0</v>
      </c>
      <c r="I90" s="5">
        <v>0.73329999999999995</v>
      </c>
      <c r="J90" s="5">
        <v>0</v>
      </c>
      <c r="K90" s="5">
        <v>211.8587</v>
      </c>
      <c r="L90" s="5">
        <v>116.2617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/>
      <c r="T90">
        <f t="shared" si="2"/>
        <v>328.8537</v>
      </c>
    </row>
    <row r="91" spans="1:20" x14ac:dyDescent="0.35">
      <c r="A91" s="5" t="s">
        <v>19</v>
      </c>
      <c r="B91" s="5">
        <v>2016</v>
      </c>
      <c r="C91" s="5">
        <v>1</v>
      </c>
      <c r="D91" s="5">
        <v>25</v>
      </c>
      <c r="E91" s="5">
        <v>10</v>
      </c>
      <c r="F91" s="5">
        <v>126436</v>
      </c>
      <c r="G91" s="5" t="s">
        <v>20</v>
      </c>
      <c r="H91" s="5">
        <v>0</v>
      </c>
      <c r="I91" s="5">
        <v>14.610099999999999</v>
      </c>
      <c r="J91" s="5">
        <v>812.86019999999996</v>
      </c>
      <c r="K91" s="5">
        <v>1006.7113000000001</v>
      </c>
      <c r="L91" s="5">
        <v>409.51100000000002</v>
      </c>
      <c r="M91" s="5">
        <v>44.914200000000001</v>
      </c>
      <c r="N91" s="5">
        <v>3.1815000000000002</v>
      </c>
      <c r="O91" s="5">
        <v>0.83560000000000001</v>
      </c>
      <c r="P91" s="5">
        <v>0.41049999999999998</v>
      </c>
      <c r="Q91" s="5">
        <v>0</v>
      </c>
      <c r="R91" s="5">
        <v>0</v>
      </c>
      <c r="S91" s="5"/>
      <c r="T91">
        <f t="shared" si="2"/>
        <v>2293.0344</v>
      </c>
    </row>
    <row r="92" spans="1:20" x14ac:dyDescent="0.35">
      <c r="A92" s="5" t="s">
        <v>19</v>
      </c>
      <c r="B92" s="5">
        <v>2016</v>
      </c>
      <c r="C92" s="5">
        <v>1</v>
      </c>
      <c r="D92" s="5">
        <v>25</v>
      </c>
      <c r="E92" s="5">
        <v>11</v>
      </c>
      <c r="F92" s="5">
        <v>126436</v>
      </c>
      <c r="G92" s="5" t="s">
        <v>20</v>
      </c>
      <c r="H92" s="5">
        <v>0</v>
      </c>
      <c r="I92" s="5">
        <v>2.4045000000000001</v>
      </c>
      <c r="J92" s="5">
        <v>471.30650000000003</v>
      </c>
      <c r="K92" s="5">
        <v>741.42529999999999</v>
      </c>
      <c r="L92" s="5">
        <v>337.77870000000001</v>
      </c>
      <c r="M92" s="5">
        <v>31.090299999999999</v>
      </c>
      <c r="N92" s="5">
        <v>1.7542</v>
      </c>
      <c r="O92" s="5">
        <v>0.63129999999999997</v>
      </c>
      <c r="P92" s="5">
        <v>0.16089999999999999</v>
      </c>
      <c r="Q92" s="5">
        <v>0</v>
      </c>
      <c r="R92" s="5">
        <v>0</v>
      </c>
      <c r="S92" s="5"/>
      <c r="T92">
        <f t="shared" si="2"/>
        <v>1586.5517000000004</v>
      </c>
    </row>
    <row r="93" spans="1:20" x14ac:dyDescent="0.35">
      <c r="A93" s="5" t="s">
        <v>19</v>
      </c>
      <c r="B93" s="5">
        <v>2016</v>
      </c>
      <c r="C93" s="5">
        <v>1</v>
      </c>
      <c r="D93" s="5">
        <v>25</v>
      </c>
      <c r="E93" s="5">
        <v>12</v>
      </c>
      <c r="F93" s="5">
        <v>126436</v>
      </c>
      <c r="G93" s="5" t="s">
        <v>20</v>
      </c>
      <c r="H93" s="5">
        <v>0</v>
      </c>
      <c r="I93" s="5">
        <v>0.13070000000000001</v>
      </c>
      <c r="J93" s="5">
        <v>102.55110000000001</v>
      </c>
      <c r="K93" s="5">
        <v>559.52139999999997</v>
      </c>
      <c r="L93" s="5">
        <v>372.16989999999998</v>
      </c>
      <c r="M93" s="5">
        <v>37.121099999999998</v>
      </c>
      <c r="N93" s="5">
        <v>2.1522000000000001</v>
      </c>
      <c r="O93" s="5">
        <v>0.94920000000000004</v>
      </c>
      <c r="P93" s="5">
        <v>0.4103</v>
      </c>
      <c r="Q93" s="5">
        <v>0</v>
      </c>
      <c r="R93" s="5">
        <v>0</v>
      </c>
      <c r="S93" s="5"/>
      <c r="T93">
        <f t="shared" si="2"/>
        <v>1075.0058999999999</v>
      </c>
    </row>
    <row r="94" spans="1:20" x14ac:dyDescent="0.35">
      <c r="A94" s="5" t="s">
        <v>19</v>
      </c>
      <c r="B94" s="5">
        <v>2016</v>
      </c>
      <c r="C94" s="5">
        <v>1</v>
      </c>
      <c r="D94" s="5">
        <v>25</v>
      </c>
      <c r="E94" s="5">
        <v>9</v>
      </c>
      <c r="F94" s="5">
        <v>126436</v>
      </c>
      <c r="G94" s="5" t="s">
        <v>20</v>
      </c>
      <c r="H94" s="5">
        <v>0</v>
      </c>
      <c r="I94" s="5">
        <v>0.33329999999999999</v>
      </c>
      <c r="J94" s="5">
        <v>7.6231</v>
      </c>
      <c r="K94" s="5">
        <v>169.2835</v>
      </c>
      <c r="L94" s="5">
        <v>149.62690000000001</v>
      </c>
      <c r="M94" s="5">
        <v>13.964700000000001</v>
      </c>
      <c r="N94" s="5">
        <v>0.74009999999999998</v>
      </c>
      <c r="O94" s="5">
        <v>0.20619999999999999</v>
      </c>
      <c r="P94" s="5">
        <v>5.5599999999999997E-2</v>
      </c>
      <c r="Q94" s="5">
        <v>0</v>
      </c>
      <c r="R94" s="5">
        <v>0</v>
      </c>
      <c r="S94" s="5"/>
      <c r="T94">
        <f t="shared" si="2"/>
        <v>341.83340000000004</v>
      </c>
    </row>
    <row r="95" spans="1:20" x14ac:dyDescent="0.35">
      <c r="A95" s="5" t="s">
        <v>19</v>
      </c>
      <c r="B95" s="5">
        <v>2016</v>
      </c>
      <c r="C95" s="5">
        <v>1</v>
      </c>
      <c r="D95" s="5">
        <v>26</v>
      </c>
      <c r="E95" s="5">
        <v>10</v>
      </c>
      <c r="F95" s="5">
        <v>126436</v>
      </c>
      <c r="G95" s="5" t="s">
        <v>20</v>
      </c>
      <c r="H95" s="5">
        <v>0</v>
      </c>
      <c r="I95" s="5">
        <v>13.537699999999999</v>
      </c>
      <c r="J95" s="5">
        <v>54.408099999999997</v>
      </c>
      <c r="K95" s="5">
        <v>102.5322</v>
      </c>
      <c r="L95" s="5">
        <v>75.475399999999993</v>
      </c>
      <c r="M95" s="5">
        <v>40.125399999999999</v>
      </c>
      <c r="N95" s="5">
        <v>10.2691</v>
      </c>
      <c r="O95" s="5">
        <v>0.92120000000000002</v>
      </c>
      <c r="P95" s="5">
        <v>0.1</v>
      </c>
      <c r="Q95" s="5">
        <v>9.0899999999999995E-2</v>
      </c>
      <c r="R95" s="5">
        <v>0</v>
      </c>
      <c r="S95" s="5"/>
      <c r="T95">
        <f t="shared" si="2"/>
        <v>297.45999999999998</v>
      </c>
    </row>
    <row r="96" spans="1:20" x14ac:dyDescent="0.35">
      <c r="A96" s="5" t="s">
        <v>19</v>
      </c>
      <c r="B96" s="5">
        <v>2016</v>
      </c>
      <c r="C96" s="5">
        <v>1</v>
      </c>
      <c r="D96" s="5">
        <v>26</v>
      </c>
      <c r="E96" s="5">
        <v>11</v>
      </c>
      <c r="F96" s="5">
        <v>126436</v>
      </c>
      <c r="G96" s="5" t="s">
        <v>20</v>
      </c>
      <c r="H96" s="5">
        <v>0</v>
      </c>
      <c r="I96" s="5">
        <v>2.8618999999999999</v>
      </c>
      <c r="J96" s="5">
        <v>327.18650000000002</v>
      </c>
      <c r="K96" s="5">
        <v>233.5667</v>
      </c>
      <c r="L96" s="5">
        <v>117.6147</v>
      </c>
      <c r="M96" s="5">
        <v>64.657200000000003</v>
      </c>
      <c r="N96" s="5">
        <v>13.1927</v>
      </c>
      <c r="O96" s="5">
        <v>0.62929999999999997</v>
      </c>
      <c r="P96" s="5">
        <v>0</v>
      </c>
      <c r="Q96" s="5">
        <v>0.1885</v>
      </c>
      <c r="R96" s="5">
        <v>0</v>
      </c>
      <c r="S96" s="5"/>
      <c r="T96">
        <f t="shared" si="2"/>
        <v>759.89749999999981</v>
      </c>
    </row>
    <row r="97" spans="1:20" x14ac:dyDescent="0.35">
      <c r="A97" s="5" t="s">
        <v>19</v>
      </c>
      <c r="B97" s="5">
        <v>2016</v>
      </c>
      <c r="C97" s="5">
        <v>1</v>
      </c>
      <c r="D97" s="5">
        <v>26</v>
      </c>
      <c r="E97" s="5">
        <v>12</v>
      </c>
      <c r="F97" s="5">
        <v>126436</v>
      </c>
      <c r="G97" s="5" t="s">
        <v>20</v>
      </c>
      <c r="H97" s="5">
        <v>0</v>
      </c>
      <c r="I97" s="5">
        <v>1.6783999999999999</v>
      </c>
      <c r="J97" s="5">
        <v>198.06880000000001</v>
      </c>
      <c r="K97" s="5">
        <v>443.61759999999998</v>
      </c>
      <c r="L97" s="5">
        <v>251.4913</v>
      </c>
      <c r="M97" s="5">
        <v>145.65379999999999</v>
      </c>
      <c r="N97" s="5">
        <v>28.7454</v>
      </c>
      <c r="O97" s="5">
        <v>1.4291</v>
      </c>
      <c r="P97" s="5">
        <v>0</v>
      </c>
      <c r="Q97" s="5">
        <v>0.25669999999999998</v>
      </c>
      <c r="R97" s="5">
        <v>0</v>
      </c>
      <c r="S97" s="5"/>
      <c r="T97">
        <f t="shared" si="2"/>
        <v>1070.9411</v>
      </c>
    </row>
    <row r="98" spans="1:20" x14ac:dyDescent="0.35">
      <c r="A98" s="5" t="s">
        <v>19</v>
      </c>
      <c r="B98" s="5">
        <v>2016</v>
      </c>
      <c r="C98" s="5">
        <v>1</v>
      </c>
      <c r="D98" s="5">
        <v>26</v>
      </c>
      <c r="E98" s="5">
        <v>13</v>
      </c>
      <c r="F98" s="5">
        <v>126436</v>
      </c>
      <c r="G98" s="5" t="s">
        <v>20</v>
      </c>
      <c r="H98" s="5">
        <v>0</v>
      </c>
      <c r="I98" s="5">
        <v>0</v>
      </c>
      <c r="J98" s="5">
        <v>18.069299999999998</v>
      </c>
      <c r="K98" s="5">
        <v>138.49160000000001</v>
      </c>
      <c r="L98" s="5">
        <v>98.906099999999995</v>
      </c>
      <c r="M98" s="5">
        <v>65.174599999999998</v>
      </c>
      <c r="N98" s="5">
        <v>13.7912</v>
      </c>
      <c r="O98" s="5">
        <v>2.4763000000000002</v>
      </c>
      <c r="P98" s="5">
        <v>0.25</v>
      </c>
      <c r="Q98" s="5">
        <v>9.0899999999999995E-2</v>
      </c>
      <c r="R98" s="5">
        <v>0</v>
      </c>
      <c r="S98" s="5"/>
      <c r="T98">
        <f t="shared" ref="T98:T129" si="3">SUM(I98:R98)</f>
        <v>337.24999999999994</v>
      </c>
    </row>
    <row r="99" spans="1:20" x14ac:dyDescent="0.35">
      <c r="A99" s="5" t="s">
        <v>19</v>
      </c>
      <c r="B99" s="5">
        <v>2016</v>
      </c>
      <c r="C99" s="5">
        <v>1</v>
      </c>
      <c r="D99" s="5">
        <v>26</v>
      </c>
      <c r="E99" s="5">
        <v>14</v>
      </c>
      <c r="F99" s="5">
        <v>126436</v>
      </c>
      <c r="G99" s="5" t="s">
        <v>20</v>
      </c>
      <c r="H99" s="5">
        <v>0</v>
      </c>
      <c r="I99" s="5">
        <v>0</v>
      </c>
      <c r="J99" s="5">
        <v>109.0431</v>
      </c>
      <c r="K99" s="5">
        <v>602.68769999999995</v>
      </c>
      <c r="L99" s="5">
        <v>503.12009999999998</v>
      </c>
      <c r="M99" s="5">
        <v>297.65710000000001</v>
      </c>
      <c r="N99" s="5">
        <v>80.775700000000001</v>
      </c>
      <c r="O99" s="5">
        <v>8.3526000000000007</v>
      </c>
      <c r="P99" s="5">
        <v>0</v>
      </c>
      <c r="Q99" s="5">
        <v>2.3635999999999999</v>
      </c>
      <c r="R99" s="5">
        <v>0</v>
      </c>
      <c r="S99" s="5"/>
      <c r="T99">
        <f t="shared" si="3"/>
        <v>1603.9998999999996</v>
      </c>
    </row>
    <row r="100" spans="1:20" x14ac:dyDescent="0.35">
      <c r="A100" s="5" t="s">
        <v>19</v>
      </c>
      <c r="B100" s="5">
        <v>2016</v>
      </c>
      <c r="C100" s="5">
        <v>1</v>
      </c>
      <c r="D100" s="5">
        <v>26</v>
      </c>
      <c r="E100" s="5">
        <v>9</v>
      </c>
      <c r="F100" s="5">
        <v>126436</v>
      </c>
      <c r="G100" s="5" t="s">
        <v>20</v>
      </c>
      <c r="H100" s="5">
        <v>0</v>
      </c>
      <c r="I100" s="5">
        <v>2.5295999999999998</v>
      </c>
      <c r="J100" s="5">
        <v>44.688200000000002</v>
      </c>
      <c r="K100" s="5">
        <v>54.451700000000002</v>
      </c>
      <c r="L100" s="5">
        <v>28.580500000000001</v>
      </c>
      <c r="M100" s="5">
        <v>13.0739</v>
      </c>
      <c r="N100" s="5">
        <v>3.5303</v>
      </c>
      <c r="O100" s="5">
        <v>0.23860000000000001</v>
      </c>
      <c r="P100" s="5">
        <v>0</v>
      </c>
      <c r="Q100" s="5">
        <v>4.0399999999999998E-2</v>
      </c>
      <c r="R100" s="5">
        <v>0</v>
      </c>
      <c r="S100" s="5"/>
      <c r="T100">
        <f t="shared" si="3"/>
        <v>147.13320000000002</v>
      </c>
    </row>
    <row r="101" spans="1:20" x14ac:dyDescent="0.35">
      <c r="A101" s="5" t="s">
        <v>19</v>
      </c>
      <c r="B101" s="5">
        <v>2016</v>
      </c>
      <c r="C101" s="5">
        <v>1</v>
      </c>
      <c r="D101" s="5">
        <v>27</v>
      </c>
      <c r="E101" s="5">
        <v>11</v>
      </c>
      <c r="F101" s="5">
        <v>126436</v>
      </c>
      <c r="G101" s="5" t="s">
        <v>20</v>
      </c>
      <c r="H101" s="5">
        <v>0</v>
      </c>
      <c r="I101" s="5">
        <v>0</v>
      </c>
      <c r="J101" s="5">
        <v>18.083300000000001</v>
      </c>
      <c r="K101" s="5">
        <v>15.333299999999999</v>
      </c>
      <c r="L101" s="5">
        <v>5.5833000000000004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/>
      <c r="T101">
        <f t="shared" si="3"/>
        <v>39.999900000000004</v>
      </c>
    </row>
    <row r="102" spans="1:20" x14ac:dyDescent="0.35">
      <c r="A102" s="5" t="s">
        <v>19</v>
      </c>
      <c r="B102" s="5">
        <v>2016</v>
      </c>
      <c r="C102" s="5">
        <v>1</v>
      </c>
      <c r="D102" s="5">
        <v>27</v>
      </c>
      <c r="E102" s="5">
        <v>12</v>
      </c>
      <c r="F102" s="5">
        <v>126436</v>
      </c>
      <c r="G102" s="5" t="s">
        <v>20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/>
      <c r="T102">
        <f t="shared" si="3"/>
        <v>0</v>
      </c>
    </row>
    <row r="103" spans="1:20" x14ac:dyDescent="0.35">
      <c r="A103" s="5" t="s">
        <v>19</v>
      </c>
      <c r="B103" s="5">
        <v>2016</v>
      </c>
      <c r="C103" s="5">
        <v>1</v>
      </c>
      <c r="D103" s="5">
        <v>27</v>
      </c>
      <c r="E103" s="5">
        <v>13</v>
      </c>
      <c r="F103" s="5">
        <v>126436</v>
      </c>
      <c r="G103" s="5" t="s">
        <v>20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/>
      <c r="T103">
        <f t="shared" si="3"/>
        <v>0</v>
      </c>
    </row>
    <row r="104" spans="1:20" x14ac:dyDescent="0.35">
      <c r="A104" s="5" t="s">
        <v>19</v>
      </c>
      <c r="B104" s="5">
        <v>2016</v>
      </c>
      <c r="C104" s="5">
        <v>1</v>
      </c>
      <c r="D104" s="5">
        <v>28</v>
      </c>
      <c r="E104" s="5">
        <v>10</v>
      </c>
      <c r="F104" s="5">
        <v>126436</v>
      </c>
      <c r="G104" s="5" t="s">
        <v>20</v>
      </c>
      <c r="H104" s="5">
        <v>0</v>
      </c>
      <c r="I104" s="5">
        <v>1</v>
      </c>
      <c r="J104" s="5">
        <v>4.1666999999999996</v>
      </c>
      <c r="K104" s="5">
        <v>3</v>
      </c>
      <c r="L104" s="5">
        <v>0.83330000000000004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/>
      <c r="T104">
        <f t="shared" si="3"/>
        <v>8.9999999999999982</v>
      </c>
    </row>
    <row r="105" spans="1:20" x14ac:dyDescent="0.35">
      <c r="A105" s="5" t="s">
        <v>19</v>
      </c>
      <c r="B105" s="5">
        <v>2016</v>
      </c>
      <c r="C105" s="5">
        <v>1</v>
      </c>
      <c r="D105" s="5">
        <v>28</v>
      </c>
      <c r="E105" s="5">
        <v>11</v>
      </c>
      <c r="F105" s="5">
        <v>126436</v>
      </c>
      <c r="G105" s="5" t="s">
        <v>20</v>
      </c>
      <c r="H105" s="5">
        <v>0</v>
      </c>
      <c r="I105" s="5">
        <v>0.44440000000000002</v>
      </c>
      <c r="J105" s="5">
        <v>18.555499999999999</v>
      </c>
      <c r="K105" s="5">
        <v>7.0369999999999999</v>
      </c>
      <c r="L105" s="5">
        <v>3.6295999999999999</v>
      </c>
      <c r="M105" s="5">
        <v>2.2222</v>
      </c>
      <c r="N105" s="5">
        <v>1</v>
      </c>
      <c r="O105" s="5">
        <v>0</v>
      </c>
      <c r="P105" s="5">
        <v>0</v>
      </c>
      <c r="Q105" s="5">
        <v>0</v>
      </c>
      <c r="R105" s="5">
        <v>0</v>
      </c>
      <c r="S105" s="5"/>
      <c r="T105">
        <f t="shared" si="3"/>
        <v>32.8887</v>
      </c>
    </row>
    <row r="106" spans="1:20" x14ac:dyDescent="0.35">
      <c r="A106" s="5" t="s">
        <v>19</v>
      </c>
      <c r="B106" s="5">
        <v>2016</v>
      </c>
      <c r="C106" s="5">
        <v>1</v>
      </c>
      <c r="D106" s="5">
        <v>28</v>
      </c>
      <c r="E106" s="5">
        <v>12</v>
      </c>
      <c r="F106" s="5">
        <v>126436</v>
      </c>
      <c r="G106" s="5" t="s">
        <v>20</v>
      </c>
      <c r="H106" s="5">
        <v>0</v>
      </c>
      <c r="I106" s="5">
        <v>0</v>
      </c>
      <c r="J106" s="5">
        <v>0.57140000000000002</v>
      </c>
      <c r="K106" s="5">
        <v>1.6667000000000001</v>
      </c>
      <c r="L106" s="5">
        <v>0.85709999999999997</v>
      </c>
      <c r="M106" s="5">
        <v>0</v>
      </c>
      <c r="N106" s="5">
        <v>0.33329999999999999</v>
      </c>
      <c r="O106" s="5">
        <v>0</v>
      </c>
      <c r="P106" s="5">
        <v>0</v>
      </c>
      <c r="Q106" s="5">
        <v>0</v>
      </c>
      <c r="R106" s="5">
        <v>0</v>
      </c>
      <c r="S106" s="5"/>
      <c r="T106">
        <f t="shared" si="3"/>
        <v>3.4285000000000001</v>
      </c>
    </row>
    <row r="107" spans="1:20" x14ac:dyDescent="0.35">
      <c r="A107" s="5" t="s">
        <v>19</v>
      </c>
      <c r="B107" s="5">
        <v>2016</v>
      </c>
      <c r="C107" s="5">
        <v>1</v>
      </c>
      <c r="D107" s="5">
        <v>28</v>
      </c>
      <c r="E107" s="5">
        <v>9</v>
      </c>
      <c r="F107" s="5">
        <v>126436</v>
      </c>
      <c r="G107" s="5" t="s">
        <v>20</v>
      </c>
      <c r="H107" s="5">
        <v>0</v>
      </c>
      <c r="I107" s="5">
        <v>0.33329999999999999</v>
      </c>
      <c r="J107" s="5">
        <v>0.58330000000000004</v>
      </c>
      <c r="K107" s="5">
        <v>0.91669999999999996</v>
      </c>
      <c r="L107" s="5">
        <v>0.38890000000000002</v>
      </c>
      <c r="M107" s="5">
        <v>0.55559999999999998</v>
      </c>
      <c r="N107" s="5">
        <v>0.22220000000000001</v>
      </c>
      <c r="O107" s="5">
        <v>0</v>
      </c>
      <c r="P107" s="5">
        <v>0</v>
      </c>
      <c r="Q107" s="5">
        <v>0</v>
      </c>
      <c r="R107" s="5">
        <v>0</v>
      </c>
      <c r="S107" s="5"/>
      <c r="T107">
        <f t="shared" si="3"/>
        <v>3</v>
      </c>
    </row>
    <row r="108" spans="1:20" x14ac:dyDescent="0.35">
      <c r="A108" s="5" t="s">
        <v>19</v>
      </c>
      <c r="B108" s="5">
        <v>2017</v>
      </c>
      <c r="C108" s="5">
        <v>1</v>
      </c>
      <c r="D108" s="5">
        <v>21</v>
      </c>
      <c r="E108" s="5">
        <v>10</v>
      </c>
      <c r="F108" s="5">
        <v>126436</v>
      </c>
      <c r="G108" s="5" t="s">
        <v>20</v>
      </c>
      <c r="H108" s="5">
        <v>0</v>
      </c>
      <c r="I108" s="5">
        <v>13.4221</v>
      </c>
      <c r="J108" s="5">
        <v>0.76449999999999996</v>
      </c>
      <c r="K108" s="5">
        <v>0</v>
      </c>
      <c r="L108" s="5">
        <v>0.40949999999999998</v>
      </c>
      <c r="M108" s="5">
        <v>7.0499999999999993E-2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/>
      <c r="T108">
        <f t="shared" si="3"/>
        <v>14.666599999999999</v>
      </c>
    </row>
    <row r="109" spans="1:20" x14ac:dyDescent="0.35">
      <c r="A109" s="5" t="s">
        <v>19</v>
      </c>
      <c r="B109" s="5">
        <v>2017</v>
      </c>
      <c r="C109" s="5">
        <v>1</v>
      </c>
      <c r="D109" s="5">
        <v>21</v>
      </c>
      <c r="E109" s="5">
        <v>11</v>
      </c>
      <c r="F109" s="5">
        <v>126436</v>
      </c>
      <c r="G109" s="5" t="s">
        <v>20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/>
      <c r="T109">
        <f t="shared" si="3"/>
        <v>0</v>
      </c>
    </row>
    <row r="110" spans="1:20" x14ac:dyDescent="0.35">
      <c r="A110" s="5" t="s">
        <v>19</v>
      </c>
      <c r="B110" s="5">
        <v>2017</v>
      </c>
      <c r="C110" s="5">
        <v>1</v>
      </c>
      <c r="D110" s="5">
        <v>21</v>
      </c>
      <c r="E110" s="5">
        <v>12</v>
      </c>
      <c r="F110" s="5">
        <v>126436</v>
      </c>
      <c r="G110" s="5" t="s">
        <v>20</v>
      </c>
      <c r="H110" s="5">
        <v>0</v>
      </c>
      <c r="I110" s="5">
        <v>174.059</v>
      </c>
      <c r="J110" s="5">
        <v>4.681</v>
      </c>
      <c r="K110" s="5">
        <v>0</v>
      </c>
      <c r="L110" s="5">
        <v>0.88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/>
      <c r="T110">
        <f t="shared" si="3"/>
        <v>179.62</v>
      </c>
    </row>
    <row r="111" spans="1:20" x14ac:dyDescent="0.35">
      <c r="A111" s="5" t="s">
        <v>19</v>
      </c>
      <c r="B111" s="5">
        <v>2017</v>
      </c>
      <c r="C111" s="5">
        <v>1</v>
      </c>
      <c r="D111" s="5">
        <v>21</v>
      </c>
      <c r="E111" s="5">
        <v>9</v>
      </c>
      <c r="F111" s="5">
        <v>126436</v>
      </c>
      <c r="G111" s="5" t="s">
        <v>20</v>
      </c>
      <c r="H111" s="5">
        <v>0</v>
      </c>
      <c r="I111" s="5">
        <v>57.772100000000002</v>
      </c>
      <c r="J111" s="5">
        <v>2.3443000000000001</v>
      </c>
      <c r="K111" s="5">
        <v>1.9028</v>
      </c>
      <c r="L111" s="5">
        <v>4.4630000000000001</v>
      </c>
      <c r="M111" s="5">
        <v>2.2658999999999998</v>
      </c>
      <c r="N111" s="5">
        <v>0.48709999999999998</v>
      </c>
      <c r="O111" s="5">
        <v>0</v>
      </c>
      <c r="P111" s="5">
        <v>0</v>
      </c>
      <c r="Q111" s="5">
        <v>0</v>
      </c>
      <c r="R111" s="5">
        <v>0</v>
      </c>
      <c r="S111" s="5"/>
      <c r="T111">
        <f t="shared" si="3"/>
        <v>69.235199999999992</v>
      </c>
    </row>
    <row r="112" spans="1:20" x14ac:dyDescent="0.35">
      <c r="A112" s="5" t="s">
        <v>19</v>
      </c>
      <c r="B112" s="5">
        <v>2017</v>
      </c>
      <c r="C112" s="5">
        <v>1</v>
      </c>
      <c r="D112" s="5">
        <v>22</v>
      </c>
      <c r="E112" s="5">
        <v>8</v>
      </c>
      <c r="F112" s="5">
        <v>126436</v>
      </c>
      <c r="G112" s="5" t="s">
        <v>20</v>
      </c>
      <c r="H112" s="5">
        <v>0</v>
      </c>
      <c r="I112" s="5">
        <v>68.134100000000004</v>
      </c>
      <c r="J112" s="5">
        <v>2.1372</v>
      </c>
      <c r="K112" s="5">
        <v>6.7210999999999999</v>
      </c>
      <c r="L112" s="5">
        <v>1.0707</v>
      </c>
      <c r="M112" s="5">
        <v>0.33210000000000001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/>
      <c r="T112">
        <f t="shared" si="3"/>
        <v>78.395200000000003</v>
      </c>
    </row>
    <row r="113" spans="1:20" x14ac:dyDescent="0.35">
      <c r="A113" s="5" t="s">
        <v>19</v>
      </c>
      <c r="B113" s="5">
        <v>2017</v>
      </c>
      <c r="C113" s="5">
        <v>1</v>
      </c>
      <c r="D113" s="5">
        <v>22</v>
      </c>
      <c r="E113" s="5">
        <v>9</v>
      </c>
      <c r="F113" s="5">
        <v>126436</v>
      </c>
      <c r="G113" s="5" t="s">
        <v>20</v>
      </c>
      <c r="H113" s="5">
        <v>0</v>
      </c>
      <c r="I113" s="5">
        <v>135.79679999999999</v>
      </c>
      <c r="J113" s="5">
        <v>6.0438999999999998</v>
      </c>
      <c r="K113" s="5">
        <v>22.678599999999999</v>
      </c>
      <c r="L113" s="5">
        <v>8.7973999999999997</v>
      </c>
      <c r="M113" s="5">
        <v>4.6131000000000002</v>
      </c>
      <c r="N113" s="5">
        <v>0.56899999999999995</v>
      </c>
      <c r="O113" s="5">
        <v>0.39369999999999999</v>
      </c>
      <c r="P113" s="5">
        <v>0.32669999999999999</v>
      </c>
      <c r="Q113" s="5">
        <v>0</v>
      </c>
      <c r="R113" s="5">
        <v>0</v>
      </c>
      <c r="S113" s="5"/>
      <c r="T113">
        <f t="shared" si="3"/>
        <v>179.21919999999997</v>
      </c>
    </row>
    <row r="114" spans="1:20" x14ac:dyDescent="0.35">
      <c r="A114" s="5" t="s">
        <v>19</v>
      </c>
      <c r="B114" s="5">
        <v>2017</v>
      </c>
      <c r="C114" s="5">
        <v>1</v>
      </c>
      <c r="D114" s="5">
        <v>23</v>
      </c>
      <c r="E114" s="5">
        <v>8</v>
      </c>
      <c r="F114" s="5">
        <v>126436</v>
      </c>
      <c r="G114" s="5" t="s">
        <v>20</v>
      </c>
      <c r="H114" s="5">
        <v>0</v>
      </c>
      <c r="I114" s="5">
        <v>131.1062</v>
      </c>
      <c r="J114" s="5">
        <v>110.14449999999999</v>
      </c>
      <c r="K114" s="5">
        <v>291.92360000000002</v>
      </c>
      <c r="L114" s="5">
        <v>42.302100000000003</v>
      </c>
      <c r="M114" s="5">
        <v>3.0196000000000001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/>
      <c r="T114">
        <f t="shared" si="3"/>
        <v>578.49599999999998</v>
      </c>
    </row>
    <row r="115" spans="1:20" x14ac:dyDescent="0.35">
      <c r="A115" s="5" t="s">
        <v>19</v>
      </c>
      <c r="B115" s="5">
        <v>2017</v>
      </c>
      <c r="C115" s="5">
        <v>1</v>
      </c>
      <c r="D115" s="5">
        <v>23</v>
      </c>
      <c r="E115" s="5">
        <v>9</v>
      </c>
      <c r="F115" s="5">
        <v>126436</v>
      </c>
      <c r="G115" s="5" t="s">
        <v>20</v>
      </c>
      <c r="H115" s="5">
        <v>0</v>
      </c>
      <c r="I115" s="5">
        <v>35.948900000000002</v>
      </c>
      <c r="J115" s="5">
        <v>29.102799999999998</v>
      </c>
      <c r="K115" s="5">
        <v>108.0309</v>
      </c>
      <c r="L115" s="5">
        <v>10.6774</v>
      </c>
      <c r="M115" s="5">
        <v>1.94</v>
      </c>
      <c r="N115" s="5">
        <v>0.22</v>
      </c>
      <c r="O115" s="5">
        <v>0</v>
      </c>
      <c r="P115" s="5">
        <v>0</v>
      </c>
      <c r="Q115" s="5">
        <v>0</v>
      </c>
      <c r="R115" s="5">
        <v>0</v>
      </c>
      <c r="S115" s="5"/>
      <c r="T115">
        <f t="shared" si="3"/>
        <v>185.92000000000002</v>
      </c>
    </row>
    <row r="116" spans="1:20" x14ac:dyDescent="0.35">
      <c r="A116" s="5" t="s">
        <v>19</v>
      </c>
      <c r="B116" s="5">
        <v>2017</v>
      </c>
      <c r="C116" s="5">
        <v>1</v>
      </c>
      <c r="D116" s="5">
        <v>24</v>
      </c>
      <c r="E116" s="5">
        <v>10</v>
      </c>
      <c r="F116" s="5">
        <v>126436</v>
      </c>
      <c r="G116" s="5" t="s">
        <v>20</v>
      </c>
      <c r="H116" s="5">
        <v>0</v>
      </c>
      <c r="I116" s="5">
        <v>23.805599999999998</v>
      </c>
      <c r="J116" s="5">
        <v>380.62869999999998</v>
      </c>
      <c r="K116" s="5">
        <v>428.47399999999999</v>
      </c>
      <c r="L116" s="5">
        <v>253.33359999999999</v>
      </c>
      <c r="M116" s="5">
        <v>102.0153</v>
      </c>
      <c r="N116" s="5">
        <v>11.2552</v>
      </c>
      <c r="O116" s="5">
        <v>3.5167999999999999</v>
      </c>
      <c r="P116" s="5">
        <v>0</v>
      </c>
      <c r="Q116" s="5">
        <v>0</v>
      </c>
      <c r="R116" s="5">
        <v>0</v>
      </c>
      <c r="S116" s="5"/>
      <c r="T116">
        <f t="shared" si="3"/>
        <v>1203.0292000000002</v>
      </c>
    </row>
    <row r="117" spans="1:20" x14ac:dyDescent="0.35">
      <c r="A117" s="5" t="s">
        <v>19</v>
      </c>
      <c r="B117" s="5">
        <v>2017</v>
      </c>
      <c r="C117" s="5">
        <v>1</v>
      </c>
      <c r="D117" s="5">
        <v>24</v>
      </c>
      <c r="E117" s="5">
        <v>8</v>
      </c>
      <c r="F117" s="5">
        <v>126436</v>
      </c>
      <c r="G117" s="5" t="s">
        <v>20</v>
      </c>
      <c r="H117" s="5">
        <v>0</v>
      </c>
      <c r="I117" s="5">
        <v>53.046199999999999</v>
      </c>
      <c r="J117" s="5">
        <v>53.099499999999999</v>
      </c>
      <c r="K117" s="5">
        <v>11.5084</v>
      </c>
      <c r="L117" s="5">
        <v>10.421900000000001</v>
      </c>
      <c r="M117" s="5">
        <v>10.348100000000001</v>
      </c>
      <c r="N117" s="5">
        <v>1.2068000000000001</v>
      </c>
      <c r="O117" s="5">
        <v>0.36899999999999999</v>
      </c>
      <c r="P117" s="5">
        <v>0</v>
      </c>
      <c r="Q117" s="5">
        <v>0</v>
      </c>
      <c r="R117" s="5">
        <v>0</v>
      </c>
      <c r="S117" s="5"/>
      <c r="T117">
        <f t="shared" si="3"/>
        <v>139.99989999999997</v>
      </c>
    </row>
    <row r="118" spans="1:20" x14ac:dyDescent="0.35">
      <c r="A118" s="5" t="s">
        <v>19</v>
      </c>
      <c r="B118" s="5">
        <v>2017</v>
      </c>
      <c r="C118" s="5">
        <v>1</v>
      </c>
      <c r="D118" s="5">
        <v>24</v>
      </c>
      <c r="E118" s="5">
        <v>9</v>
      </c>
      <c r="F118" s="5">
        <v>126436</v>
      </c>
      <c r="G118" s="5" t="s">
        <v>20</v>
      </c>
      <c r="H118" s="5">
        <v>0</v>
      </c>
      <c r="I118" s="5">
        <v>50.02</v>
      </c>
      <c r="J118" s="5">
        <v>172.2311</v>
      </c>
      <c r="K118" s="5">
        <v>126.18989999999999</v>
      </c>
      <c r="L118" s="5">
        <v>85.375799999999998</v>
      </c>
      <c r="M118" s="5">
        <v>30.677199999999999</v>
      </c>
      <c r="N118" s="5">
        <v>2.7296</v>
      </c>
      <c r="O118" s="5">
        <v>0.8911</v>
      </c>
      <c r="P118" s="5">
        <v>0</v>
      </c>
      <c r="Q118" s="5">
        <v>0</v>
      </c>
      <c r="R118" s="5">
        <v>0</v>
      </c>
      <c r="S118" s="5"/>
      <c r="T118">
        <f t="shared" si="3"/>
        <v>468.11470000000003</v>
      </c>
    </row>
    <row r="119" spans="1:20" x14ac:dyDescent="0.35">
      <c r="A119" s="5" t="s">
        <v>19</v>
      </c>
      <c r="B119" s="5">
        <v>2017</v>
      </c>
      <c r="C119" s="5">
        <v>1</v>
      </c>
      <c r="D119" s="5">
        <v>25</v>
      </c>
      <c r="E119" s="5">
        <v>10</v>
      </c>
      <c r="F119" s="5">
        <v>126436</v>
      </c>
      <c r="G119" s="5" t="s">
        <v>20</v>
      </c>
      <c r="H119" s="5">
        <v>0</v>
      </c>
      <c r="I119" s="5">
        <v>37.144599999999997</v>
      </c>
      <c r="J119" s="5">
        <v>254.0686</v>
      </c>
      <c r="K119" s="5">
        <v>294.06970000000001</v>
      </c>
      <c r="L119" s="5">
        <v>110.0476</v>
      </c>
      <c r="M119" s="5">
        <v>25.7605</v>
      </c>
      <c r="N119" s="5">
        <v>4.1820000000000004</v>
      </c>
      <c r="O119" s="5">
        <v>0.45040000000000002</v>
      </c>
      <c r="P119" s="5">
        <v>6.0299999999999999E-2</v>
      </c>
      <c r="Q119" s="5">
        <v>0</v>
      </c>
      <c r="R119" s="5">
        <v>0</v>
      </c>
      <c r="S119" s="5"/>
      <c r="T119">
        <f t="shared" si="3"/>
        <v>725.78369999999995</v>
      </c>
    </row>
    <row r="120" spans="1:20" x14ac:dyDescent="0.35">
      <c r="A120" s="5" t="s">
        <v>19</v>
      </c>
      <c r="B120" s="5">
        <v>2017</v>
      </c>
      <c r="C120" s="5">
        <v>1</v>
      </c>
      <c r="D120" s="5">
        <v>25</v>
      </c>
      <c r="E120" s="5">
        <v>11</v>
      </c>
      <c r="F120" s="5">
        <v>126436</v>
      </c>
      <c r="G120" s="5" t="s">
        <v>20</v>
      </c>
      <c r="H120" s="5">
        <v>0</v>
      </c>
      <c r="I120" s="5">
        <v>17.157800000000002</v>
      </c>
      <c r="J120" s="5">
        <v>201.4282</v>
      </c>
      <c r="K120" s="5">
        <v>416.49130000000002</v>
      </c>
      <c r="L120" s="5">
        <v>220.46019999999999</v>
      </c>
      <c r="M120" s="5">
        <v>51.317900000000002</v>
      </c>
      <c r="N120" s="5">
        <v>8.2119</v>
      </c>
      <c r="O120" s="5">
        <v>0.50670000000000004</v>
      </c>
      <c r="P120" s="5">
        <v>5.2299999999999999E-2</v>
      </c>
      <c r="Q120" s="5">
        <v>0</v>
      </c>
      <c r="R120" s="5">
        <v>0</v>
      </c>
      <c r="S120" s="5"/>
      <c r="T120">
        <f t="shared" si="3"/>
        <v>915.62630000000001</v>
      </c>
    </row>
    <row r="121" spans="1:20" x14ac:dyDescent="0.35">
      <c r="A121" s="5" t="s">
        <v>19</v>
      </c>
      <c r="B121" s="5">
        <v>2017</v>
      </c>
      <c r="C121" s="5">
        <v>1</v>
      </c>
      <c r="D121" s="5">
        <v>25</v>
      </c>
      <c r="E121" s="5">
        <v>12</v>
      </c>
      <c r="F121" s="5">
        <v>126436</v>
      </c>
      <c r="G121" s="5" t="s">
        <v>20</v>
      </c>
      <c r="H121" s="5">
        <v>0</v>
      </c>
      <c r="I121" s="5">
        <v>0.71809999999999996</v>
      </c>
      <c r="J121" s="5">
        <v>49.7209</v>
      </c>
      <c r="K121" s="5">
        <v>276.5514</v>
      </c>
      <c r="L121" s="5">
        <v>236.6474</v>
      </c>
      <c r="M121" s="5">
        <v>69.703800000000001</v>
      </c>
      <c r="N121" s="5">
        <v>12.2803</v>
      </c>
      <c r="O121" s="5">
        <v>0.97399999999999998</v>
      </c>
      <c r="P121" s="5">
        <v>0.27750000000000002</v>
      </c>
      <c r="Q121" s="5">
        <v>0</v>
      </c>
      <c r="R121" s="5">
        <v>0</v>
      </c>
      <c r="S121" s="5"/>
      <c r="T121">
        <f t="shared" si="3"/>
        <v>646.87340000000006</v>
      </c>
    </row>
    <row r="122" spans="1:20" x14ac:dyDescent="0.35">
      <c r="A122" s="5" t="s">
        <v>19</v>
      </c>
      <c r="B122" s="5">
        <v>2017</v>
      </c>
      <c r="C122" s="5">
        <v>1</v>
      </c>
      <c r="D122" s="5">
        <v>25</v>
      </c>
      <c r="E122" s="5">
        <v>9</v>
      </c>
      <c r="F122" s="5">
        <v>126436</v>
      </c>
      <c r="G122" s="5" t="s">
        <v>20</v>
      </c>
      <c r="H122" s="5">
        <v>0</v>
      </c>
      <c r="I122" s="5">
        <v>6.9603999999999999</v>
      </c>
      <c r="J122" s="5">
        <v>12.3203</v>
      </c>
      <c r="K122" s="5">
        <v>84.109700000000004</v>
      </c>
      <c r="L122" s="5">
        <v>59.264800000000001</v>
      </c>
      <c r="M122" s="5">
        <v>11.2986</v>
      </c>
      <c r="N122" s="5">
        <v>1.6085</v>
      </c>
      <c r="O122" s="5">
        <v>4.7600000000000003E-2</v>
      </c>
      <c r="P122" s="5">
        <v>3.3000000000000002E-2</v>
      </c>
      <c r="Q122" s="5">
        <v>0</v>
      </c>
      <c r="R122" s="5">
        <v>0</v>
      </c>
      <c r="S122" s="5"/>
      <c r="T122">
        <f t="shared" si="3"/>
        <v>175.64289999999997</v>
      </c>
    </row>
    <row r="123" spans="1:20" x14ac:dyDescent="0.35">
      <c r="A123" s="5" t="s">
        <v>19</v>
      </c>
      <c r="B123" s="5">
        <v>2017</v>
      </c>
      <c r="C123" s="5">
        <v>1</v>
      </c>
      <c r="D123" s="5">
        <v>26</v>
      </c>
      <c r="E123" s="5">
        <v>10</v>
      </c>
      <c r="F123" s="5">
        <v>126436</v>
      </c>
      <c r="G123" s="5" t="s">
        <v>20</v>
      </c>
      <c r="H123" s="5">
        <v>0</v>
      </c>
      <c r="I123" s="5">
        <v>27.425899999999999</v>
      </c>
      <c r="J123" s="5">
        <v>14.7864</v>
      </c>
      <c r="K123" s="5">
        <v>11.2788</v>
      </c>
      <c r="L123" s="5">
        <v>10.477</v>
      </c>
      <c r="M123" s="5">
        <v>8.1727000000000007</v>
      </c>
      <c r="N123" s="5">
        <v>4.0989000000000004</v>
      </c>
      <c r="O123" s="5">
        <v>0.85919999999999996</v>
      </c>
      <c r="P123" s="5">
        <v>0.1915</v>
      </c>
      <c r="Q123" s="5">
        <v>5.9499999999999997E-2</v>
      </c>
      <c r="R123" s="5">
        <v>0</v>
      </c>
      <c r="S123" s="5"/>
      <c r="T123">
        <f t="shared" si="3"/>
        <v>77.349900000000019</v>
      </c>
    </row>
    <row r="124" spans="1:20" x14ac:dyDescent="0.35">
      <c r="A124" s="5" t="s">
        <v>19</v>
      </c>
      <c r="B124" s="5">
        <v>2017</v>
      </c>
      <c r="C124" s="5">
        <v>1</v>
      </c>
      <c r="D124" s="5">
        <v>26</v>
      </c>
      <c r="E124" s="5">
        <v>11</v>
      </c>
      <c r="F124" s="5">
        <v>126436</v>
      </c>
      <c r="G124" s="5" t="s">
        <v>20</v>
      </c>
      <c r="H124" s="5">
        <v>0</v>
      </c>
      <c r="I124" s="5">
        <v>10.585699999999999</v>
      </c>
      <c r="J124" s="5">
        <v>54.021000000000001</v>
      </c>
      <c r="K124" s="5">
        <v>141.5856</v>
      </c>
      <c r="L124" s="5">
        <v>97.475999999999999</v>
      </c>
      <c r="M124" s="5">
        <v>58.2913</v>
      </c>
      <c r="N124" s="5">
        <v>25.4283</v>
      </c>
      <c r="O124" s="5">
        <v>4.7241999999999997</v>
      </c>
      <c r="P124" s="5">
        <v>0.61439999999999995</v>
      </c>
      <c r="Q124" s="5">
        <v>0.1333</v>
      </c>
      <c r="R124" s="5">
        <v>0</v>
      </c>
      <c r="S124" s="5"/>
      <c r="T124">
        <f t="shared" si="3"/>
        <v>392.85979999999995</v>
      </c>
    </row>
    <row r="125" spans="1:20" x14ac:dyDescent="0.35">
      <c r="A125" s="5" t="s">
        <v>19</v>
      </c>
      <c r="B125" s="5">
        <v>2017</v>
      </c>
      <c r="C125" s="5">
        <v>1</v>
      </c>
      <c r="D125" s="5">
        <v>26</v>
      </c>
      <c r="E125" s="5">
        <v>12</v>
      </c>
      <c r="F125" s="5">
        <v>126436</v>
      </c>
      <c r="G125" s="5" t="s">
        <v>20</v>
      </c>
      <c r="H125" s="5">
        <v>0</v>
      </c>
      <c r="I125" s="5">
        <v>2.3313000000000001</v>
      </c>
      <c r="J125" s="5">
        <v>27.597100000000001</v>
      </c>
      <c r="K125" s="5">
        <v>166.80529999999999</v>
      </c>
      <c r="L125" s="5">
        <v>132.39959999999999</v>
      </c>
      <c r="M125" s="5">
        <v>81.6661</v>
      </c>
      <c r="N125" s="5">
        <v>35.6935</v>
      </c>
      <c r="O125" s="5">
        <v>5.2789000000000001</v>
      </c>
      <c r="P125" s="5">
        <v>0.67679999999999996</v>
      </c>
      <c r="Q125" s="5">
        <v>0.14019999999999999</v>
      </c>
      <c r="R125" s="5">
        <v>0</v>
      </c>
      <c r="S125" s="5"/>
      <c r="T125">
        <f t="shared" si="3"/>
        <v>452.58879999999999</v>
      </c>
    </row>
    <row r="126" spans="1:20" x14ac:dyDescent="0.35">
      <c r="A126" s="5" t="s">
        <v>19</v>
      </c>
      <c r="B126" s="5">
        <v>2017</v>
      </c>
      <c r="C126" s="5">
        <v>1</v>
      </c>
      <c r="D126" s="5">
        <v>26</v>
      </c>
      <c r="E126" s="5">
        <v>13</v>
      </c>
      <c r="F126" s="5">
        <v>126436</v>
      </c>
      <c r="G126" s="5" t="s">
        <v>20</v>
      </c>
      <c r="H126" s="5">
        <v>0</v>
      </c>
      <c r="I126" s="5">
        <v>6.2778</v>
      </c>
      <c r="J126" s="5">
        <v>17.716899999999999</v>
      </c>
      <c r="K126" s="5">
        <v>174.69149999999999</v>
      </c>
      <c r="L126" s="5">
        <v>171.9461</v>
      </c>
      <c r="M126" s="5">
        <v>126.551</v>
      </c>
      <c r="N126" s="5">
        <v>52.028399999999998</v>
      </c>
      <c r="O126" s="5">
        <v>10.0229</v>
      </c>
      <c r="P126" s="5">
        <v>1.8369</v>
      </c>
      <c r="Q126" s="5">
        <v>0.17860000000000001</v>
      </c>
      <c r="R126" s="5">
        <v>0</v>
      </c>
      <c r="S126" s="5"/>
      <c r="T126">
        <f t="shared" si="3"/>
        <v>561.25009999999997</v>
      </c>
    </row>
    <row r="127" spans="1:20" x14ac:dyDescent="0.35">
      <c r="A127" s="5" t="s">
        <v>19</v>
      </c>
      <c r="B127" s="5">
        <v>2017</v>
      </c>
      <c r="C127" s="5">
        <v>1</v>
      </c>
      <c r="D127" s="5">
        <v>26</v>
      </c>
      <c r="E127" s="5">
        <v>9</v>
      </c>
      <c r="F127" s="5">
        <v>126436</v>
      </c>
      <c r="G127" s="5" t="s">
        <v>20</v>
      </c>
      <c r="H127" s="5">
        <v>0</v>
      </c>
      <c r="I127" s="5">
        <v>13.7265</v>
      </c>
      <c r="J127" s="5">
        <v>4.1921999999999997</v>
      </c>
      <c r="K127" s="5">
        <v>6.4756999999999998</v>
      </c>
      <c r="L127" s="5">
        <v>8.5493000000000006</v>
      </c>
      <c r="M127" s="5">
        <v>7.7798999999999996</v>
      </c>
      <c r="N127" s="5">
        <v>4.9507000000000003</v>
      </c>
      <c r="O127" s="5">
        <v>0.9526</v>
      </c>
      <c r="P127" s="5">
        <v>0.2762</v>
      </c>
      <c r="Q127" s="5">
        <v>9.6799999999999997E-2</v>
      </c>
      <c r="R127" s="5">
        <v>0</v>
      </c>
      <c r="S127" s="5"/>
      <c r="T127">
        <f t="shared" si="3"/>
        <v>46.999899999999997</v>
      </c>
    </row>
    <row r="128" spans="1:20" x14ac:dyDescent="0.35">
      <c r="A128" s="5" t="s">
        <v>19</v>
      </c>
      <c r="B128" s="5">
        <v>2017</v>
      </c>
      <c r="C128" s="5">
        <v>1</v>
      </c>
      <c r="D128" s="5">
        <v>27</v>
      </c>
      <c r="E128" s="5">
        <v>10</v>
      </c>
      <c r="F128" s="5">
        <v>126436</v>
      </c>
      <c r="G128" s="5" t="s">
        <v>20</v>
      </c>
      <c r="H128" s="5">
        <v>0</v>
      </c>
      <c r="I128" s="5">
        <v>0</v>
      </c>
      <c r="J128" s="5">
        <v>0</v>
      </c>
      <c r="K128" s="5">
        <v>1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/>
      <c r="T128">
        <f t="shared" si="3"/>
        <v>1</v>
      </c>
    </row>
    <row r="129" spans="1:20" x14ac:dyDescent="0.35">
      <c r="A129" s="5" t="s">
        <v>19</v>
      </c>
      <c r="B129" s="5">
        <v>2017</v>
      </c>
      <c r="C129" s="5">
        <v>1</v>
      </c>
      <c r="D129" s="5">
        <v>27</v>
      </c>
      <c r="E129" s="5">
        <v>11</v>
      </c>
      <c r="F129" s="5">
        <v>126436</v>
      </c>
      <c r="G129" s="5" t="s">
        <v>20</v>
      </c>
      <c r="H129" s="5">
        <v>0</v>
      </c>
      <c r="I129" s="5">
        <v>0</v>
      </c>
      <c r="J129" s="5">
        <v>0.16669999999999999</v>
      </c>
      <c r="K129" s="5">
        <v>6.1238000000000001</v>
      </c>
      <c r="L129" s="5">
        <v>2.2094999999999998</v>
      </c>
      <c r="M129" s="5">
        <v>0.5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/>
      <c r="T129">
        <f t="shared" si="3"/>
        <v>9</v>
      </c>
    </row>
    <row r="130" spans="1:20" x14ac:dyDescent="0.35">
      <c r="A130" s="5" t="s">
        <v>19</v>
      </c>
      <c r="B130" s="5">
        <v>2017</v>
      </c>
      <c r="C130" s="5">
        <v>1</v>
      </c>
      <c r="D130" s="5">
        <v>27</v>
      </c>
      <c r="E130" s="5">
        <v>12</v>
      </c>
      <c r="F130" s="5">
        <v>126436</v>
      </c>
      <c r="G130" s="5" t="s">
        <v>20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/>
      <c r="T130">
        <f t="shared" ref="T130:T136" si="4">SUM(I130:R130)</f>
        <v>0</v>
      </c>
    </row>
    <row r="131" spans="1:20" x14ac:dyDescent="0.35">
      <c r="A131" s="5" t="s">
        <v>19</v>
      </c>
      <c r="B131" s="5">
        <v>2017</v>
      </c>
      <c r="C131" s="5">
        <v>1</v>
      </c>
      <c r="D131" s="5">
        <v>27</v>
      </c>
      <c r="E131" s="5">
        <v>13</v>
      </c>
      <c r="F131" s="5">
        <v>126436</v>
      </c>
      <c r="G131" s="5" t="s">
        <v>20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/>
      <c r="T131">
        <f t="shared" si="4"/>
        <v>0</v>
      </c>
    </row>
    <row r="132" spans="1:20" x14ac:dyDescent="0.35">
      <c r="A132" s="5" t="s">
        <v>19</v>
      </c>
      <c r="B132" s="5">
        <v>2017</v>
      </c>
      <c r="C132" s="5">
        <v>1</v>
      </c>
      <c r="D132" s="5">
        <v>28</v>
      </c>
      <c r="E132" s="5">
        <v>10</v>
      </c>
      <c r="F132" s="5">
        <v>126436</v>
      </c>
      <c r="G132" s="5" t="s">
        <v>20</v>
      </c>
      <c r="H132" s="5">
        <v>0</v>
      </c>
      <c r="I132" s="5">
        <v>3.6</v>
      </c>
      <c r="J132" s="5">
        <v>1.2796000000000001</v>
      </c>
      <c r="K132" s="5">
        <v>4.0728999999999997</v>
      </c>
      <c r="L132" s="5">
        <v>3.6452</v>
      </c>
      <c r="M132" s="5">
        <v>2.6675</v>
      </c>
      <c r="N132" s="5">
        <v>0.80100000000000005</v>
      </c>
      <c r="O132" s="5">
        <v>0.1157</v>
      </c>
      <c r="P132" s="5">
        <v>0</v>
      </c>
      <c r="Q132" s="5">
        <v>1.8200000000000001E-2</v>
      </c>
      <c r="R132" s="5">
        <v>0</v>
      </c>
      <c r="S132" s="5"/>
      <c r="T132">
        <f t="shared" si="4"/>
        <v>16.200099999999999</v>
      </c>
    </row>
    <row r="133" spans="1:20" x14ac:dyDescent="0.35">
      <c r="A133" s="5" t="s">
        <v>19</v>
      </c>
      <c r="B133" s="5">
        <v>2017</v>
      </c>
      <c r="C133" s="5">
        <v>1</v>
      </c>
      <c r="D133" s="5">
        <v>28</v>
      </c>
      <c r="E133" s="5">
        <v>11</v>
      </c>
      <c r="F133" s="5">
        <v>126436</v>
      </c>
      <c r="G133" s="5" t="s">
        <v>20</v>
      </c>
      <c r="H133" s="5">
        <v>0</v>
      </c>
      <c r="I133" s="5">
        <v>0</v>
      </c>
      <c r="J133" s="5">
        <v>1.3229</v>
      </c>
      <c r="K133" s="5">
        <v>5.3677000000000001</v>
      </c>
      <c r="L133" s="5">
        <v>4.1722000000000001</v>
      </c>
      <c r="M133" s="5">
        <v>2.92</v>
      </c>
      <c r="N133" s="5">
        <v>1.2347999999999999</v>
      </c>
      <c r="O133" s="5">
        <v>0.1641</v>
      </c>
      <c r="P133" s="5">
        <v>0</v>
      </c>
      <c r="Q133" s="5">
        <v>1.8200000000000001E-2</v>
      </c>
      <c r="R133" s="5">
        <v>0</v>
      </c>
      <c r="S133" s="5"/>
      <c r="T133">
        <f t="shared" si="4"/>
        <v>15.1999</v>
      </c>
    </row>
    <row r="134" spans="1:20" x14ac:dyDescent="0.35">
      <c r="A134" s="5" t="s">
        <v>19</v>
      </c>
      <c r="B134" s="5">
        <v>2017</v>
      </c>
      <c r="C134" s="5">
        <v>1</v>
      </c>
      <c r="D134" s="5">
        <v>28</v>
      </c>
      <c r="E134" s="5">
        <v>12</v>
      </c>
      <c r="F134" s="5">
        <v>126436</v>
      </c>
      <c r="G134" s="5" t="s">
        <v>20</v>
      </c>
      <c r="H134" s="5">
        <v>0</v>
      </c>
      <c r="I134" s="5">
        <v>0</v>
      </c>
      <c r="J134" s="5">
        <v>48.4726</v>
      </c>
      <c r="K134" s="5">
        <v>286.1026</v>
      </c>
      <c r="L134" s="5">
        <v>155.45769999999999</v>
      </c>
      <c r="M134" s="5">
        <v>117.0508</v>
      </c>
      <c r="N134" s="5">
        <v>34.126300000000001</v>
      </c>
      <c r="O134" s="5">
        <v>7.0080999999999998</v>
      </c>
      <c r="P134" s="5">
        <v>0.8</v>
      </c>
      <c r="Q134" s="5">
        <v>0.58179999999999998</v>
      </c>
      <c r="R134" s="5">
        <v>0</v>
      </c>
      <c r="S134" s="5"/>
      <c r="T134">
        <f t="shared" si="4"/>
        <v>649.59990000000005</v>
      </c>
    </row>
    <row r="135" spans="1:20" x14ac:dyDescent="0.35">
      <c r="A135" s="5" t="s">
        <v>19</v>
      </c>
      <c r="B135" s="5">
        <v>2017</v>
      </c>
      <c r="C135" s="5">
        <v>1</v>
      </c>
      <c r="D135" s="5">
        <v>28</v>
      </c>
      <c r="E135" s="5">
        <v>13</v>
      </c>
      <c r="F135" s="5">
        <v>126436</v>
      </c>
      <c r="G135" s="5" t="s">
        <v>20</v>
      </c>
      <c r="H135" s="5">
        <v>0</v>
      </c>
      <c r="I135" s="5">
        <v>0</v>
      </c>
      <c r="J135" s="5">
        <v>7.3578999999999999</v>
      </c>
      <c r="K135" s="5">
        <v>50.912100000000002</v>
      </c>
      <c r="L135" s="5">
        <v>34.494199999999999</v>
      </c>
      <c r="M135" s="5">
        <v>25.611000000000001</v>
      </c>
      <c r="N135" s="5">
        <v>8.5338999999999992</v>
      </c>
      <c r="O135" s="5">
        <v>0.72729999999999995</v>
      </c>
      <c r="P135" s="5">
        <v>0</v>
      </c>
      <c r="Q135" s="5">
        <v>0.36359999999999998</v>
      </c>
      <c r="R135" s="5">
        <v>0</v>
      </c>
      <c r="S135" s="5"/>
      <c r="T135">
        <f t="shared" si="4"/>
        <v>128</v>
      </c>
    </row>
    <row r="136" spans="1:20" x14ac:dyDescent="0.35">
      <c r="A136" s="5" t="s">
        <v>19</v>
      </c>
      <c r="B136" s="5">
        <v>2017</v>
      </c>
      <c r="C136" s="5">
        <v>1</v>
      </c>
      <c r="D136" s="5">
        <v>28</v>
      </c>
      <c r="E136" s="5">
        <v>9</v>
      </c>
      <c r="F136" s="5">
        <v>126436</v>
      </c>
      <c r="G136" s="5" t="s">
        <v>20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/>
      <c r="T136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CPUE per age per subarea_2017-0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2019-04-09T14:16:05Z</dcterms:modified>
</cp:coreProperties>
</file>