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Active nonsystem\ICES WG\WGBIFS\Surveys\Allocating of BITS stations\Allocation\1 Distribution of stations on strata\Input files\"/>
    </mc:Choice>
  </mc:AlternateContent>
  <bookViews>
    <workbookView xWindow="-285" yWindow="0" windowWidth="25440" windowHeight="12585" firstSheet="1" activeTab="1"/>
  </bookViews>
  <sheets>
    <sheet name="Read me" sheetId="5" r:id="rId1"/>
    <sheet name="CPUE per area" sheetId="2" r:id="rId2"/>
    <sheet name="CPUE per area and depth strata" sheetId="4" r:id="rId3"/>
    <sheet name="CPUE per age per subarea_2018" sheetId="1" r:id="rId4"/>
  </sheets>
  <calcPr calcId="162913"/>
  <pivotCaches>
    <pivotCache cacheId="13" r:id="rId5"/>
    <pivotCache cacheId="22" r:id="rId6"/>
  </pivotCaches>
</workbook>
</file>

<file path=xl/calcChain.xml><?xml version="1.0" encoding="utf-8"?>
<calcChain xmlns="http://schemas.openxmlformats.org/spreadsheetml/2006/main">
  <c r="T33" i="1" l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29" i="1"/>
  <c r="T30" i="1"/>
  <c r="T31" i="1"/>
  <c r="T32" i="1"/>
  <c r="S6" i="2"/>
  <c r="X36" i="4" l="1"/>
  <c r="Y36" i="4"/>
  <c r="Z36" i="4" s="1"/>
  <c r="X37" i="4"/>
  <c r="Y37" i="4"/>
  <c r="Z37" i="4" s="1"/>
  <c r="X38" i="4"/>
  <c r="Y38" i="4"/>
  <c r="X39" i="4"/>
  <c r="Y39" i="4"/>
  <c r="Z39" i="4"/>
  <c r="X40" i="4"/>
  <c r="Y40" i="4"/>
  <c r="Z40" i="4" s="1"/>
  <c r="Z27" i="4"/>
  <c r="Z28" i="4"/>
  <c r="Z29" i="4"/>
  <c r="Z30" i="4"/>
  <c r="Z31" i="4"/>
  <c r="Z32" i="4"/>
  <c r="Z33" i="4"/>
  <c r="Z34" i="4"/>
  <c r="Z35" i="4"/>
  <c r="Z6" i="4"/>
  <c r="Z7" i="4"/>
  <c r="Z8" i="4"/>
  <c r="Z9" i="4"/>
  <c r="Z10" i="4"/>
  <c r="Z11" i="4"/>
  <c r="Z12" i="4"/>
  <c r="Z13" i="4"/>
  <c r="Z14" i="4"/>
  <c r="Z15" i="4"/>
  <c r="Z16" i="4"/>
  <c r="Z17" i="4"/>
  <c r="Z18" i="4"/>
  <c r="Z19" i="4"/>
  <c r="Z20" i="4"/>
  <c r="Z21" i="4"/>
  <c r="Z22" i="4"/>
  <c r="Z23" i="4"/>
  <c r="Z24" i="4"/>
  <c r="Z25" i="4"/>
  <c r="Z26" i="4"/>
  <c r="Z5" i="4"/>
  <c r="Y6" i="4"/>
  <c r="Y7" i="4"/>
  <c r="Y8" i="4"/>
  <c r="Y9" i="4"/>
  <c r="Y10" i="4"/>
  <c r="Y11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Y5" i="4"/>
  <c r="X6" i="4"/>
  <c r="X7" i="4"/>
  <c r="X8" i="4"/>
  <c r="X9" i="4"/>
  <c r="X10" i="4"/>
  <c r="X11" i="4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35" i="4"/>
  <c r="X5" i="4"/>
  <c r="S12" i="2"/>
  <c r="S11" i="2"/>
  <c r="S9" i="2"/>
  <c r="S7" i="2"/>
  <c r="S8" i="2"/>
  <c r="Z38" i="4" l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</calcChain>
</file>

<file path=xl/sharedStrings.xml><?xml version="1.0" encoding="utf-8"?>
<sst xmlns="http://schemas.openxmlformats.org/spreadsheetml/2006/main" count="316" uniqueCount="33">
  <si>
    <t>Survey</t>
  </si>
  <si>
    <t>Year</t>
  </si>
  <si>
    <t>Quarter</t>
  </si>
  <si>
    <t>Area</t>
  </si>
  <si>
    <t>SubArea</t>
  </si>
  <si>
    <t>AphiaID</t>
  </si>
  <si>
    <t>Species</t>
  </si>
  <si>
    <t>Age_0</t>
  </si>
  <si>
    <t>Age_1</t>
  </si>
  <si>
    <t>Age_2</t>
  </si>
  <si>
    <t>Age_3</t>
  </si>
  <si>
    <t>Age_4</t>
  </si>
  <si>
    <t>Age_5</t>
  </si>
  <si>
    <t>Age_6</t>
  </si>
  <si>
    <t>Age_7</t>
  </si>
  <si>
    <t>Age_8</t>
  </si>
  <si>
    <t>Age_9</t>
  </si>
  <si>
    <t>Age_10</t>
  </si>
  <si>
    <t>DateofCalculation</t>
  </si>
  <si>
    <t>BITS</t>
  </si>
  <si>
    <t>Gadus morhua</t>
  </si>
  <si>
    <t>Column Labels</t>
  </si>
  <si>
    <t>Grand Total</t>
  </si>
  <si>
    <t>Row Labels</t>
  </si>
  <si>
    <t>Age_1+</t>
  </si>
  <si>
    <t>Average of Age_1+</t>
  </si>
  <si>
    <t>Arrange a copy of this so it fits into the input stratification</t>
  </si>
  <si>
    <t>Copy from Pivot to the left</t>
  </si>
  <si>
    <t>SD</t>
  </si>
  <si>
    <t>AreaSection</t>
  </si>
  <si>
    <t>Cpue</t>
  </si>
  <si>
    <t>Output to BITS haul allocation program</t>
  </si>
  <si>
    <t>Input from DATRAS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</si>
</sst>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33" borderId="0" xfId="0" applyFill="1"/>
    <xf numFmtId="0" fontId="0" fillId="0" borderId="0" xfId="0" applyFill="1"/>
    <xf numFmtId="0" fontId="0" fillId="0" borderId="0" xfId="0" applyFill="1" applyAlignment="1"/>
    <xf numFmtId="0" fontId="0" fillId="35" borderId="0" xfId="0" applyFill="1"/>
    <xf numFmtId="0" fontId="0" fillId="34" borderId="0" xfId="0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enrik Degel" refreshedDate="43951.245294328706" createdVersion="6" refreshedVersion="6" minRefreshableVersion="3" recordCount="248">
  <cacheSource type="worksheet">
    <worksheetSource ref="A1:T1048576" sheet="CPUE per age per subarea_2018"/>
  </cacheSource>
  <cacheFields count="20">
    <cacheField name="Survey" numFmtId="0">
      <sharedItems containsBlank="1"/>
    </cacheField>
    <cacheField name="Year" numFmtId="0">
      <sharedItems containsString="0" containsBlank="1" containsNumber="1" containsInteger="1" minValue="2014" maxValue="2020" count="8">
        <n v="2016"/>
        <n v="2017"/>
        <n v="2018"/>
        <n v="2019"/>
        <n v="2020"/>
        <m/>
        <n v="2014" u="1"/>
        <n v="2015" u="1"/>
      </sharedItems>
    </cacheField>
    <cacheField name="Quarter" numFmtId="0">
      <sharedItems containsString="0" containsBlank="1" containsNumber="1" containsInteger="1" minValue="1" maxValue="1"/>
    </cacheField>
    <cacheField name="Area" numFmtId="0">
      <sharedItems containsString="0" containsBlank="1" containsNumber="1" containsInteger="1" minValue="21" maxValue="28" count="9">
        <n v="21"/>
        <n v="22"/>
        <n v="23"/>
        <n v="24"/>
        <n v="25"/>
        <n v="26"/>
        <n v="27"/>
        <n v="28"/>
        <m/>
      </sharedItems>
    </cacheField>
    <cacheField name="SubArea" numFmtId="0">
      <sharedItems containsString="0" containsBlank="1" containsNumber="1" containsInteger="1" minValue="8" maxValue="14"/>
    </cacheField>
    <cacheField name="AphiaID" numFmtId="0">
      <sharedItems containsString="0" containsBlank="1" containsNumber="1" containsInteger="1" minValue="126436" maxValue="126436"/>
    </cacheField>
    <cacheField name="Species" numFmtId="0">
      <sharedItems containsBlank="1"/>
    </cacheField>
    <cacheField name="Age_0" numFmtId="0">
      <sharedItems containsString="0" containsBlank="1" containsNumber="1" containsInteger="1" minValue="0" maxValue="0"/>
    </cacheField>
    <cacheField name="Age_1" numFmtId="0">
      <sharedItems containsString="0" containsBlank="1" containsNumber="1" minValue="0" maxValue="174.059"/>
    </cacheField>
    <cacheField name="Age_2" numFmtId="0">
      <sharedItems containsString="0" containsBlank="1" containsNumber="1" minValue="0" maxValue="1105.9294"/>
    </cacheField>
    <cacheField name="Age_3" numFmtId="0">
      <sharedItems containsString="0" containsBlank="1" containsNumber="1" minValue="0" maxValue="1697.037"/>
    </cacheField>
    <cacheField name="Age_4" numFmtId="0">
      <sharedItems containsString="0" containsBlank="1" containsNumber="1" minValue="0" maxValue="910.1884"/>
    </cacheField>
    <cacheField name="Age_5" numFmtId="0">
      <sharedItems containsString="0" containsBlank="1" containsNumber="1" minValue="0" maxValue="297.65710000000001"/>
    </cacheField>
    <cacheField name="Age_6" numFmtId="0">
      <sharedItems containsString="0" containsBlank="1" containsNumber="1" minValue="0" maxValue="80.775700000000001"/>
    </cacheField>
    <cacheField name="Age_7" numFmtId="0">
      <sharedItems containsString="0" containsBlank="1" containsNumber="1" minValue="0" maxValue="14.345499999999999"/>
    </cacheField>
    <cacheField name="Age_8" numFmtId="0">
      <sharedItems containsString="0" containsBlank="1" containsNumber="1" minValue="0" maxValue="9.6768000000000001"/>
    </cacheField>
    <cacheField name="Age_9" numFmtId="0">
      <sharedItems containsString="0" containsBlank="1" containsNumber="1" minValue="0" maxValue="2.8393000000000002"/>
    </cacheField>
    <cacheField name="Age_10" numFmtId="0">
      <sharedItems containsString="0" containsBlank="1" containsNumber="1" minValue="0" maxValue="0.2273"/>
    </cacheField>
    <cacheField name="DateofCalculation" numFmtId="0">
      <sharedItems containsString="0" containsBlank="1" containsNumber="1" containsInteger="1" minValue="20180408" maxValue="20200416"/>
    </cacheField>
    <cacheField name="Age_1+" numFmtId="0">
      <sharedItems containsString="0" containsBlank="1" containsNumber="1" minValue="0" maxValue="2293.034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Henrik Degel" refreshedDate="43951.248566782408" createdVersion="6" refreshedVersion="6" minRefreshableVersion="3" recordCount="248">
  <cacheSource type="worksheet">
    <worksheetSource ref="A1:T775" sheet="CPUE per age per subarea_2018"/>
  </cacheSource>
  <cacheFields count="20">
    <cacheField name="Survey" numFmtId="0">
      <sharedItems containsBlank="1"/>
    </cacheField>
    <cacheField name="Year" numFmtId="0">
      <sharedItems containsString="0" containsBlank="1" containsNumber="1" containsInteger="1" minValue="2016" maxValue="2020" count="6">
        <n v="2016"/>
        <n v="2017"/>
        <n v="2018"/>
        <n v="2019"/>
        <n v="2020"/>
        <m/>
      </sharedItems>
    </cacheField>
    <cacheField name="Quarter" numFmtId="0">
      <sharedItems containsString="0" containsBlank="1" containsNumber="1" containsInteger="1" minValue="1" maxValue="1"/>
    </cacheField>
    <cacheField name="Area" numFmtId="0">
      <sharedItems containsString="0" containsBlank="1" containsNumber="1" containsInteger="1" minValue="21" maxValue="28" count="9">
        <n v="21"/>
        <n v="22"/>
        <n v="23"/>
        <n v="24"/>
        <n v="25"/>
        <n v="26"/>
        <n v="27"/>
        <n v="28"/>
        <m/>
      </sharedItems>
    </cacheField>
    <cacheField name="SubArea" numFmtId="0">
      <sharedItems containsString="0" containsBlank="1" containsNumber="1" containsInteger="1" minValue="8" maxValue="14" count="8">
        <n v="10"/>
        <n v="11"/>
        <n v="9"/>
        <n v="8"/>
        <n v="12"/>
        <n v="13"/>
        <n v="14"/>
        <m/>
      </sharedItems>
    </cacheField>
    <cacheField name="AphiaID" numFmtId="0">
      <sharedItems containsString="0" containsBlank="1" containsNumber="1" containsInteger="1" minValue="126436" maxValue="126436"/>
    </cacheField>
    <cacheField name="Species" numFmtId="0">
      <sharedItems containsBlank="1"/>
    </cacheField>
    <cacheField name="Age_0" numFmtId="0">
      <sharedItems containsString="0" containsBlank="1" containsNumber="1" containsInteger="1" minValue="0" maxValue="0"/>
    </cacheField>
    <cacheField name="Age_1" numFmtId="0">
      <sharedItems containsString="0" containsBlank="1" containsNumber="1" minValue="0" maxValue="174.059"/>
    </cacheField>
    <cacheField name="Age_2" numFmtId="0">
      <sharedItems containsString="0" containsBlank="1" containsNumber="1" minValue="0" maxValue="1105.9294"/>
    </cacheField>
    <cacheField name="Age_3" numFmtId="0">
      <sharedItems containsString="0" containsBlank="1" containsNumber="1" minValue="0" maxValue="1697.037"/>
    </cacheField>
    <cacheField name="Age_4" numFmtId="0">
      <sharedItems containsString="0" containsBlank="1" containsNumber="1" minValue="0" maxValue="910.1884"/>
    </cacheField>
    <cacheField name="Age_5" numFmtId="0">
      <sharedItems containsString="0" containsBlank="1" containsNumber="1" minValue="0" maxValue="297.65710000000001"/>
    </cacheField>
    <cacheField name="Age_6" numFmtId="0">
      <sharedItems containsString="0" containsBlank="1" containsNumber="1" minValue="0" maxValue="80.775700000000001"/>
    </cacheField>
    <cacheField name="Age_7" numFmtId="0">
      <sharedItems containsString="0" containsBlank="1" containsNumber="1" minValue="0" maxValue="14.345499999999999"/>
    </cacheField>
    <cacheField name="Age_8" numFmtId="0">
      <sharedItems containsString="0" containsBlank="1" containsNumber="1" minValue="0" maxValue="9.6768000000000001"/>
    </cacheField>
    <cacheField name="Age_9" numFmtId="0">
      <sharedItems containsString="0" containsBlank="1" containsNumber="1" minValue="0" maxValue="2.8393000000000002"/>
    </cacheField>
    <cacheField name="Age_10" numFmtId="0">
      <sharedItems containsString="0" containsBlank="1" containsNumber="1" minValue="0" maxValue="0.2273"/>
    </cacheField>
    <cacheField name="DateofCalculation" numFmtId="0">
      <sharedItems containsString="0" containsBlank="1" containsNumber="1" containsInteger="1" minValue="20180408" maxValue="20200416"/>
    </cacheField>
    <cacheField name="Age_1+" numFmtId="0">
      <sharedItems containsString="0" containsBlank="1" containsNumber="1" minValue="0" maxValue="2293.034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8">
  <r>
    <s v="BITS"/>
    <x v="0"/>
    <n v="1"/>
    <x v="0"/>
    <n v="10"/>
    <n v="126436"/>
    <s v="Gadus morhua"/>
    <n v="0"/>
    <n v="5.5E-2"/>
    <n v="0.58069999999999999"/>
    <n v="1.0543"/>
    <n v="7.7100000000000002E-2"/>
    <n v="0.10290000000000001"/>
    <n v="0"/>
    <n v="0"/>
    <n v="0"/>
    <n v="0"/>
    <n v="0"/>
    <n v="20190103"/>
    <n v="1.8699999999999999"/>
  </r>
  <r>
    <s v="BITS"/>
    <x v="0"/>
    <n v="1"/>
    <x v="0"/>
    <n v="11"/>
    <n v="126436"/>
    <s v="Gadus morhua"/>
    <n v="0"/>
    <n v="0"/>
    <n v="4.18"/>
    <n v="0"/>
    <n v="0"/>
    <n v="0"/>
    <n v="0"/>
    <n v="0"/>
    <n v="0"/>
    <n v="0"/>
    <n v="0"/>
    <n v="20190103"/>
    <n v="4.18"/>
  </r>
  <r>
    <s v="BITS"/>
    <x v="0"/>
    <n v="1"/>
    <x v="0"/>
    <n v="9"/>
    <n v="126436"/>
    <s v="Gadus morhua"/>
    <n v="0"/>
    <n v="1.5024"/>
    <n v="5.9086999999999996"/>
    <n v="1.3263"/>
    <n v="3.9020000000000001"/>
    <n v="2.3565"/>
    <n v="9.7900000000000001E-2"/>
    <n v="5.0799999999999998E-2"/>
    <n v="0"/>
    <n v="0"/>
    <n v="0"/>
    <n v="20190103"/>
    <n v="15.144599999999999"/>
  </r>
  <r>
    <s v="BITS"/>
    <x v="0"/>
    <n v="1"/>
    <x v="1"/>
    <n v="8"/>
    <n v="126436"/>
    <s v="Gadus morhua"/>
    <n v="0"/>
    <n v="0.3831"/>
    <n v="1.1472"/>
    <n v="0.22509999999999999"/>
    <n v="1.2217"/>
    <n v="0.40660000000000002"/>
    <n v="0.20349999999999999"/>
    <n v="0"/>
    <n v="0"/>
    <n v="0"/>
    <n v="0"/>
    <n v="20190103"/>
    <n v="3.5872000000000002"/>
  </r>
  <r>
    <s v="BITS"/>
    <x v="0"/>
    <n v="1"/>
    <x v="1"/>
    <n v="9"/>
    <n v="126436"/>
    <s v="Gadus morhua"/>
    <n v="0"/>
    <n v="0.43219999999999997"/>
    <n v="8.3065999999999995"/>
    <n v="16.882200000000001"/>
    <n v="4.3868999999999998"/>
    <n v="1.0607"/>
    <n v="0.26640000000000003"/>
    <n v="2.75E-2"/>
    <n v="0"/>
    <n v="0"/>
    <n v="0"/>
    <n v="20190103"/>
    <n v="31.362500000000004"/>
  </r>
  <r>
    <s v="BITS"/>
    <x v="0"/>
    <n v="1"/>
    <x v="2"/>
    <n v="8"/>
    <n v="126436"/>
    <s v="Gadus morhua"/>
    <n v="0"/>
    <n v="0"/>
    <n v="107.9218"/>
    <n v="89.459800000000001"/>
    <n v="45.296799999999998"/>
    <n v="3.9308000000000001"/>
    <n v="0"/>
    <n v="0"/>
    <n v="0"/>
    <n v="0"/>
    <n v="0"/>
    <n v="20190103"/>
    <n v="246.60919999999999"/>
  </r>
  <r>
    <s v="BITS"/>
    <x v="0"/>
    <n v="1"/>
    <x v="2"/>
    <n v="9"/>
    <n v="126436"/>
    <s v="Gadus morhua"/>
    <n v="0"/>
    <n v="0"/>
    <n v="1.5732999999999999"/>
    <n v="1.4"/>
    <n v="5.9226999999999999"/>
    <n v="3.3239999999999998"/>
    <n v="0"/>
    <n v="0"/>
    <n v="0"/>
    <n v="0"/>
    <n v="0"/>
    <n v="20190103"/>
    <n v="12.22"/>
  </r>
  <r>
    <s v="BITS"/>
    <x v="0"/>
    <n v="1"/>
    <x v="3"/>
    <n v="10"/>
    <n v="126436"/>
    <s v="Gadus morhua"/>
    <n v="0"/>
    <n v="4.1344000000000003"/>
    <n v="0"/>
    <n v="742.44100000000003"/>
    <n v="469.57499999999999"/>
    <n v="0"/>
    <n v="0"/>
    <n v="0"/>
    <n v="0"/>
    <n v="0"/>
    <n v="0"/>
    <n v="20190103"/>
    <n v="1216.1504"/>
  </r>
  <r>
    <s v="BITS"/>
    <x v="0"/>
    <n v="1"/>
    <x v="3"/>
    <n v="8"/>
    <n v="126436"/>
    <s v="Gadus morhua"/>
    <n v="0"/>
    <n v="0"/>
    <n v="0"/>
    <n v="18.312000000000001"/>
    <n v="26.16"/>
    <n v="0"/>
    <n v="0"/>
    <n v="0"/>
    <n v="0"/>
    <n v="0"/>
    <n v="0"/>
    <n v="20190103"/>
    <n v="44.472000000000001"/>
  </r>
  <r>
    <s v="BITS"/>
    <x v="0"/>
    <n v="1"/>
    <x v="3"/>
    <n v="9"/>
    <n v="126436"/>
    <s v="Gadus morhua"/>
    <n v="0"/>
    <n v="0.73329999999999995"/>
    <n v="0"/>
    <n v="211.8587"/>
    <n v="116.2617"/>
    <n v="0"/>
    <n v="0"/>
    <n v="0"/>
    <n v="0"/>
    <n v="0"/>
    <n v="0"/>
    <n v="20190103"/>
    <n v="328.8537"/>
  </r>
  <r>
    <s v="BITS"/>
    <x v="0"/>
    <n v="1"/>
    <x v="4"/>
    <n v="10"/>
    <n v="126436"/>
    <s v="Gadus morhua"/>
    <n v="0"/>
    <n v="14.610099999999999"/>
    <n v="812.86019999999996"/>
    <n v="1006.7113000000001"/>
    <n v="409.51100000000002"/>
    <n v="44.914200000000001"/>
    <n v="3.1815000000000002"/>
    <n v="0.83560000000000001"/>
    <n v="0.41049999999999998"/>
    <n v="0"/>
    <n v="0"/>
    <n v="20190103"/>
    <n v="2293.0344"/>
  </r>
  <r>
    <s v="BITS"/>
    <x v="0"/>
    <n v="1"/>
    <x v="4"/>
    <n v="11"/>
    <n v="126436"/>
    <s v="Gadus morhua"/>
    <n v="0"/>
    <n v="2.4045000000000001"/>
    <n v="471.30650000000003"/>
    <n v="741.42529999999999"/>
    <n v="337.77870000000001"/>
    <n v="31.090299999999999"/>
    <n v="1.7542"/>
    <n v="0.63129999999999997"/>
    <n v="0.16089999999999999"/>
    <n v="0"/>
    <n v="0"/>
    <n v="20190103"/>
    <n v="1586.5517000000004"/>
  </r>
  <r>
    <s v="BITS"/>
    <x v="0"/>
    <n v="1"/>
    <x v="4"/>
    <n v="12"/>
    <n v="126436"/>
    <s v="Gadus morhua"/>
    <n v="0"/>
    <n v="0.13070000000000001"/>
    <n v="102.55110000000001"/>
    <n v="559.52139999999997"/>
    <n v="372.16989999999998"/>
    <n v="37.121099999999998"/>
    <n v="2.1522000000000001"/>
    <n v="0.94920000000000004"/>
    <n v="0.4103"/>
    <n v="0"/>
    <n v="0"/>
    <n v="20190103"/>
    <n v="1075.0058999999999"/>
  </r>
  <r>
    <s v="BITS"/>
    <x v="0"/>
    <n v="1"/>
    <x v="4"/>
    <n v="9"/>
    <n v="126436"/>
    <s v="Gadus morhua"/>
    <n v="0"/>
    <n v="0.33329999999999999"/>
    <n v="7.6231"/>
    <n v="169.2835"/>
    <n v="149.62690000000001"/>
    <n v="13.964700000000001"/>
    <n v="0.74009999999999998"/>
    <n v="0.20619999999999999"/>
    <n v="5.5599999999999997E-2"/>
    <n v="0"/>
    <n v="0"/>
    <n v="20190103"/>
    <n v="341.83340000000004"/>
  </r>
  <r>
    <s v="BITS"/>
    <x v="0"/>
    <n v="1"/>
    <x v="5"/>
    <n v="10"/>
    <n v="126436"/>
    <s v="Gadus morhua"/>
    <n v="0"/>
    <n v="13.537699999999999"/>
    <n v="54.408099999999997"/>
    <n v="102.5322"/>
    <n v="75.475399999999993"/>
    <n v="40.125399999999999"/>
    <n v="10.2691"/>
    <n v="0.92120000000000002"/>
    <n v="0.1"/>
    <n v="9.0899999999999995E-2"/>
    <n v="0"/>
    <n v="20190103"/>
    <n v="297.45999999999998"/>
  </r>
  <r>
    <s v="BITS"/>
    <x v="0"/>
    <n v="1"/>
    <x v="5"/>
    <n v="11"/>
    <n v="126436"/>
    <s v="Gadus morhua"/>
    <n v="0"/>
    <n v="2.8618999999999999"/>
    <n v="327.18650000000002"/>
    <n v="233.5667"/>
    <n v="117.6147"/>
    <n v="64.657200000000003"/>
    <n v="13.1927"/>
    <n v="0.62929999999999997"/>
    <n v="0"/>
    <n v="0.1885"/>
    <n v="0"/>
    <n v="20190103"/>
    <n v="759.89749999999981"/>
  </r>
  <r>
    <s v="BITS"/>
    <x v="0"/>
    <n v="1"/>
    <x v="5"/>
    <n v="12"/>
    <n v="126436"/>
    <s v="Gadus morhua"/>
    <n v="0"/>
    <n v="1.6783999999999999"/>
    <n v="198.06880000000001"/>
    <n v="443.61759999999998"/>
    <n v="251.4913"/>
    <n v="145.65379999999999"/>
    <n v="28.7454"/>
    <n v="1.4291"/>
    <n v="0"/>
    <n v="0.25669999999999998"/>
    <n v="0"/>
    <n v="20190103"/>
    <n v="1070.9411"/>
  </r>
  <r>
    <s v="BITS"/>
    <x v="0"/>
    <n v="1"/>
    <x v="5"/>
    <n v="13"/>
    <n v="126436"/>
    <s v="Gadus morhua"/>
    <n v="0"/>
    <n v="0"/>
    <n v="18.069299999999998"/>
    <n v="138.49160000000001"/>
    <n v="98.906099999999995"/>
    <n v="65.174599999999998"/>
    <n v="13.7912"/>
    <n v="2.4763000000000002"/>
    <n v="0.25"/>
    <n v="9.0899999999999995E-2"/>
    <n v="0"/>
    <n v="20190103"/>
    <n v="337.24999999999994"/>
  </r>
  <r>
    <s v="BITS"/>
    <x v="0"/>
    <n v="1"/>
    <x v="5"/>
    <n v="14"/>
    <n v="126436"/>
    <s v="Gadus morhua"/>
    <n v="0"/>
    <n v="0"/>
    <n v="109.0431"/>
    <n v="602.68769999999995"/>
    <n v="503.12009999999998"/>
    <n v="297.65710000000001"/>
    <n v="80.775700000000001"/>
    <n v="8.3526000000000007"/>
    <n v="0"/>
    <n v="2.3635999999999999"/>
    <n v="0"/>
    <n v="20190103"/>
    <n v="1603.9998999999996"/>
  </r>
  <r>
    <s v="BITS"/>
    <x v="0"/>
    <n v="1"/>
    <x v="5"/>
    <n v="9"/>
    <n v="126436"/>
    <s v="Gadus morhua"/>
    <n v="0"/>
    <n v="2.5295999999999998"/>
    <n v="44.688200000000002"/>
    <n v="54.451700000000002"/>
    <n v="28.580500000000001"/>
    <n v="13.0739"/>
    <n v="3.5303"/>
    <n v="0.23860000000000001"/>
    <n v="0"/>
    <n v="4.0399999999999998E-2"/>
    <n v="0"/>
    <n v="20190103"/>
    <n v="147.13320000000002"/>
  </r>
  <r>
    <s v="BITS"/>
    <x v="0"/>
    <n v="1"/>
    <x v="6"/>
    <n v="11"/>
    <n v="126436"/>
    <s v="Gadus morhua"/>
    <n v="0"/>
    <n v="0"/>
    <n v="18.083300000000001"/>
    <n v="15.333299999999999"/>
    <n v="5.5833000000000004"/>
    <n v="1"/>
    <n v="0"/>
    <n v="0"/>
    <n v="0"/>
    <n v="0"/>
    <n v="0"/>
    <n v="20190103"/>
    <n v="39.999900000000004"/>
  </r>
  <r>
    <s v="BITS"/>
    <x v="0"/>
    <n v="1"/>
    <x v="6"/>
    <n v="12"/>
    <n v="126436"/>
    <s v="Gadus morhua"/>
    <n v="0"/>
    <n v="0"/>
    <n v="0"/>
    <n v="0"/>
    <n v="0"/>
    <n v="0"/>
    <n v="0"/>
    <n v="0"/>
    <n v="0"/>
    <n v="0"/>
    <n v="0"/>
    <n v="20190103"/>
    <n v="0"/>
  </r>
  <r>
    <s v="BITS"/>
    <x v="0"/>
    <n v="1"/>
    <x v="6"/>
    <n v="13"/>
    <n v="126436"/>
    <s v="Gadus morhua"/>
    <n v="0"/>
    <n v="0"/>
    <n v="0"/>
    <n v="0"/>
    <n v="0"/>
    <n v="0"/>
    <n v="0"/>
    <n v="0"/>
    <n v="0"/>
    <n v="0"/>
    <n v="0"/>
    <n v="20190103"/>
    <n v="0"/>
  </r>
  <r>
    <s v="BITS"/>
    <x v="0"/>
    <n v="1"/>
    <x v="7"/>
    <n v="10"/>
    <n v="126436"/>
    <s v="Gadus morhua"/>
    <n v="0"/>
    <n v="1"/>
    <n v="4.1666999999999996"/>
    <n v="3"/>
    <n v="0.83330000000000004"/>
    <n v="0"/>
    <n v="0"/>
    <n v="0"/>
    <n v="0"/>
    <n v="0"/>
    <n v="0"/>
    <n v="20190103"/>
    <n v="8.9999999999999982"/>
  </r>
  <r>
    <s v="BITS"/>
    <x v="0"/>
    <n v="1"/>
    <x v="7"/>
    <n v="11"/>
    <n v="126436"/>
    <s v="Gadus morhua"/>
    <n v="0"/>
    <n v="0.44440000000000002"/>
    <n v="18.555499999999999"/>
    <n v="7.0369999999999999"/>
    <n v="3.6295999999999999"/>
    <n v="2.2222"/>
    <n v="1"/>
    <n v="0"/>
    <n v="0"/>
    <n v="0"/>
    <n v="0"/>
    <n v="20190103"/>
    <n v="32.8887"/>
  </r>
  <r>
    <s v="BITS"/>
    <x v="0"/>
    <n v="1"/>
    <x v="7"/>
    <n v="12"/>
    <n v="126436"/>
    <s v="Gadus morhua"/>
    <n v="0"/>
    <n v="0"/>
    <n v="0.57140000000000002"/>
    <n v="1.6667000000000001"/>
    <n v="0.85709999999999997"/>
    <n v="0"/>
    <n v="0.33329999999999999"/>
    <n v="0"/>
    <n v="0"/>
    <n v="0"/>
    <n v="0"/>
    <n v="20190103"/>
    <n v="3.4285000000000001"/>
  </r>
  <r>
    <s v="BITS"/>
    <x v="0"/>
    <n v="1"/>
    <x v="7"/>
    <n v="9"/>
    <n v="126436"/>
    <s v="Gadus morhua"/>
    <n v="0"/>
    <n v="0.33329999999999999"/>
    <n v="0.58330000000000004"/>
    <n v="0.91669999999999996"/>
    <n v="0.38890000000000002"/>
    <n v="0.55559999999999998"/>
    <n v="0.22220000000000001"/>
    <n v="0"/>
    <n v="0"/>
    <n v="0"/>
    <n v="0"/>
    <n v="20190103"/>
    <n v="3"/>
  </r>
  <r>
    <s v="BITS"/>
    <x v="1"/>
    <n v="1"/>
    <x v="0"/>
    <n v="10"/>
    <n v="126436"/>
    <s v="Gadus morhua"/>
    <n v="0"/>
    <n v="13.4221"/>
    <n v="0.76449999999999996"/>
    <n v="0"/>
    <n v="0.40949999999999998"/>
    <n v="7.0499999999999993E-2"/>
    <n v="0"/>
    <n v="0"/>
    <n v="0"/>
    <n v="0"/>
    <n v="0"/>
    <n v="20180408"/>
    <n v="14.666599999999999"/>
  </r>
  <r>
    <s v="BITS"/>
    <x v="1"/>
    <n v="1"/>
    <x v="0"/>
    <n v="11"/>
    <n v="126436"/>
    <s v="Gadus morhua"/>
    <n v="0"/>
    <n v="0"/>
    <n v="0"/>
    <n v="0"/>
    <n v="0"/>
    <n v="0"/>
    <n v="0"/>
    <n v="0"/>
    <n v="0"/>
    <n v="0"/>
    <n v="0"/>
    <n v="20180408"/>
    <n v="0"/>
  </r>
  <r>
    <s v="BITS"/>
    <x v="1"/>
    <n v="1"/>
    <x v="0"/>
    <n v="12"/>
    <n v="126436"/>
    <s v="Gadus morhua"/>
    <n v="0"/>
    <n v="174.059"/>
    <n v="4.681"/>
    <n v="0"/>
    <n v="0.88"/>
    <n v="0"/>
    <n v="0"/>
    <n v="0"/>
    <n v="0"/>
    <n v="0"/>
    <n v="0"/>
    <n v="20180408"/>
    <n v="179.62"/>
  </r>
  <r>
    <s v="BITS"/>
    <x v="1"/>
    <n v="1"/>
    <x v="0"/>
    <n v="9"/>
    <n v="126436"/>
    <s v="Gadus morhua"/>
    <n v="0"/>
    <n v="57.772100000000002"/>
    <n v="2.3443000000000001"/>
    <n v="1.9028"/>
    <n v="4.4630000000000001"/>
    <n v="2.2658999999999998"/>
    <n v="0.48709999999999998"/>
    <n v="0"/>
    <n v="0"/>
    <n v="0"/>
    <n v="0"/>
    <n v="20180408"/>
    <n v="69.235199999999992"/>
  </r>
  <r>
    <s v="BITS"/>
    <x v="1"/>
    <n v="1"/>
    <x v="1"/>
    <n v="8"/>
    <n v="126436"/>
    <s v="Gadus morhua"/>
    <n v="0"/>
    <n v="68.134100000000004"/>
    <n v="2.1372"/>
    <n v="6.7210999999999999"/>
    <n v="1.0707"/>
    <n v="0.33210000000000001"/>
    <n v="0"/>
    <n v="0"/>
    <n v="0"/>
    <n v="0"/>
    <n v="0"/>
    <n v="20180408"/>
    <n v="78.395200000000003"/>
  </r>
  <r>
    <s v="BITS"/>
    <x v="1"/>
    <n v="1"/>
    <x v="1"/>
    <n v="9"/>
    <n v="126436"/>
    <s v="Gadus morhua"/>
    <n v="0"/>
    <n v="135.79679999999999"/>
    <n v="6.0438999999999998"/>
    <n v="22.678599999999999"/>
    <n v="8.7973999999999997"/>
    <n v="4.6131000000000002"/>
    <n v="0.56899999999999995"/>
    <n v="0.39369999999999999"/>
    <n v="0.32669999999999999"/>
    <n v="0"/>
    <n v="0"/>
    <n v="20180408"/>
    <n v="179.21919999999997"/>
  </r>
  <r>
    <s v="BITS"/>
    <x v="1"/>
    <n v="1"/>
    <x v="2"/>
    <n v="8"/>
    <n v="126436"/>
    <s v="Gadus morhua"/>
    <n v="0"/>
    <n v="131.1062"/>
    <n v="110.14449999999999"/>
    <n v="291.92360000000002"/>
    <n v="42.302100000000003"/>
    <n v="3.0196000000000001"/>
    <n v="0"/>
    <n v="0"/>
    <n v="0"/>
    <n v="0"/>
    <n v="0"/>
    <n v="20180408"/>
    <n v="578.49599999999998"/>
  </r>
  <r>
    <s v="BITS"/>
    <x v="1"/>
    <n v="1"/>
    <x v="2"/>
    <n v="9"/>
    <n v="126436"/>
    <s v="Gadus morhua"/>
    <n v="0"/>
    <n v="35.948900000000002"/>
    <n v="29.102799999999998"/>
    <n v="108.0309"/>
    <n v="10.6774"/>
    <n v="1.94"/>
    <n v="0.22"/>
    <n v="0"/>
    <n v="0"/>
    <n v="0"/>
    <n v="0"/>
    <n v="20180408"/>
    <n v="185.92000000000002"/>
  </r>
  <r>
    <s v="BITS"/>
    <x v="1"/>
    <n v="1"/>
    <x v="3"/>
    <n v="10"/>
    <n v="126436"/>
    <s v="Gadus morhua"/>
    <n v="0"/>
    <n v="23.805599999999998"/>
    <n v="380.62869999999998"/>
    <n v="428.47399999999999"/>
    <n v="253.33359999999999"/>
    <n v="102.0153"/>
    <n v="11.2552"/>
    <n v="3.5167999999999999"/>
    <n v="0"/>
    <n v="0"/>
    <n v="0"/>
    <n v="20180408"/>
    <n v="1203.0292000000002"/>
  </r>
  <r>
    <s v="BITS"/>
    <x v="1"/>
    <n v="1"/>
    <x v="3"/>
    <n v="8"/>
    <n v="126436"/>
    <s v="Gadus morhua"/>
    <n v="0"/>
    <n v="53.046199999999999"/>
    <n v="53.099499999999999"/>
    <n v="11.5084"/>
    <n v="10.421900000000001"/>
    <n v="10.348100000000001"/>
    <n v="1.2068000000000001"/>
    <n v="0.36899999999999999"/>
    <n v="0"/>
    <n v="0"/>
    <n v="0"/>
    <n v="20180408"/>
    <n v="139.99989999999997"/>
  </r>
  <r>
    <s v="BITS"/>
    <x v="1"/>
    <n v="1"/>
    <x v="3"/>
    <n v="9"/>
    <n v="126436"/>
    <s v="Gadus morhua"/>
    <n v="0"/>
    <n v="50.02"/>
    <n v="172.2311"/>
    <n v="126.18989999999999"/>
    <n v="85.375799999999998"/>
    <n v="30.677199999999999"/>
    <n v="2.7296"/>
    <n v="0.8911"/>
    <n v="0"/>
    <n v="0"/>
    <n v="0"/>
    <n v="20180408"/>
    <n v="468.11470000000003"/>
  </r>
  <r>
    <s v="BITS"/>
    <x v="1"/>
    <n v="1"/>
    <x v="4"/>
    <n v="10"/>
    <n v="126436"/>
    <s v="Gadus morhua"/>
    <n v="0"/>
    <n v="37.144599999999997"/>
    <n v="254.0686"/>
    <n v="294.06970000000001"/>
    <n v="110.0476"/>
    <n v="25.7605"/>
    <n v="4.1820000000000004"/>
    <n v="0.45040000000000002"/>
    <n v="6.0299999999999999E-2"/>
    <n v="0"/>
    <n v="0"/>
    <n v="20180408"/>
    <n v="725.78369999999995"/>
  </r>
  <r>
    <s v="BITS"/>
    <x v="1"/>
    <n v="1"/>
    <x v="4"/>
    <n v="11"/>
    <n v="126436"/>
    <s v="Gadus morhua"/>
    <n v="0"/>
    <n v="17.157800000000002"/>
    <n v="201.4282"/>
    <n v="416.49130000000002"/>
    <n v="220.46019999999999"/>
    <n v="51.317900000000002"/>
    <n v="8.2119"/>
    <n v="0.50670000000000004"/>
    <n v="5.2299999999999999E-2"/>
    <n v="0"/>
    <n v="0"/>
    <n v="20180408"/>
    <n v="915.62630000000001"/>
  </r>
  <r>
    <s v="BITS"/>
    <x v="1"/>
    <n v="1"/>
    <x v="4"/>
    <n v="12"/>
    <n v="126436"/>
    <s v="Gadus morhua"/>
    <n v="0"/>
    <n v="0.71809999999999996"/>
    <n v="49.7209"/>
    <n v="276.5514"/>
    <n v="236.6474"/>
    <n v="69.703800000000001"/>
    <n v="12.2803"/>
    <n v="0.97399999999999998"/>
    <n v="0.27750000000000002"/>
    <n v="0"/>
    <n v="0"/>
    <n v="20180408"/>
    <n v="646.87340000000006"/>
  </r>
  <r>
    <s v="BITS"/>
    <x v="1"/>
    <n v="1"/>
    <x v="4"/>
    <n v="9"/>
    <n v="126436"/>
    <s v="Gadus morhua"/>
    <n v="0"/>
    <n v="6.9603999999999999"/>
    <n v="12.3203"/>
    <n v="84.109700000000004"/>
    <n v="59.264800000000001"/>
    <n v="11.2986"/>
    <n v="1.6085"/>
    <n v="4.7600000000000003E-2"/>
    <n v="3.3000000000000002E-2"/>
    <n v="0"/>
    <n v="0"/>
    <n v="20180408"/>
    <n v="175.64289999999997"/>
  </r>
  <r>
    <s v="BITS"/>
    <x v="1"/>
    <n v="1"/>
    <x v="5"/>
    <n v="10"/>
    <n v="126436"/>
    <s v="Gadus morhua"/>
    <n v="0"/>
    <n v="27.425899999999999"/>
    <n v="14.7864"/>
    <n v="11.2788"/>
    <n v="10.477"/>
    <n v="8.1727000000000007"/>
    <n v="4.0989000000000004"/>
    <n v="0.85919999999999996"/>
    <n v="0.1915"/>
    <n v="5.9499999999999997E-2"/>
    <n v="0"/>
    <n v="20180408"/>
    <n v="77.349900000000019"/>
  </r>
  <r>
    <s v="BITS"/>
    <x v="1"/>
    <n v="1"/>
    <x v="5"/>
    <n v="11"/>
    <n v="126436"/>
    <s v="Gadus morhua"/>
    <n v="0"/>
    <n v="10.585699999999999"/>
    <n v="54.021000000000001"/>
    <n v="141.5856"/>
    <n v="97.475999999999999"/>
    <n v="58.2913"/>
    <n v="25.4283"/>
    <n v="4.7241999999999997"/>
    <n v="0.61439999999999995"/>
    <n v="0.1333"/>
    <n v="0"/>
    <n v="20180408"/>
    <n v="392.85979999999995"/>
  </r>
  <r>
    <s v="BITS"/>
    <x v="1"/>
    <n v="1"/>
    <x v="5"/>
    <n v="12"/>
    <n v="126436"/>
    <s v="Gadus morhua"/>
    <n v="0"/>
    <n v="2.3313000000000001"/>
    <n v="27.597100000000001"/>
    <n v="166.80529999999999"/>
    <n v="132.39959999999999"/>
    <n v="81.6661"/>
    <n v="35.6935"/>
    <n v="5.2789000000000001"/>
    <n v="0.67679999999999996"/>
    <n v="0.14019999999999999"/>
    <n v="0"/>
    <n v="20180408"/>
    <n v="452.58879999999999"/>
  </r>
  <r>
    <s v="BITS"/>
    <x v="1"/>
    <n v="1"/>
    <x v="5"/>
    <n v="13"/>
    <n v="126436"/>
    <s v="Gadus morhua"/>
    <n v="0"/>
    <n v="6.2778"/>
    <n v="17.716899999999999"/>
    <n v="174.69149999999999"/>
    <n v="171.9461"/>
    <n v="126.551"/>
    <n v="52.028399999999998"/>
    <n v="10.0229"/>
    <n v="1.8369"/>
    <n v="0.17860000000000001"/>
    <n v="0"/>
    <n v="20180408"/>
    <n v="561.25009999999997"/>
  </r>
  <r>
    <s v="BITS"/>
    <x v="1"/>
    <n v="1"/>
    <x v="5"/>
    <n v="9"/>
    <n v="126436"/>
    <s v="Gadus morhua"/>
    <n v="0"/>
    <n v="13.7265"/>
    <n v="4.1921999999999997"/>
    <n v="6.4756999999999998"/>
    <n v="8.5493000000000006"/>
    <n v="7.7798999999999996"/>
    <n v="4.9507000000000003"/>
    <n v="0.9526"/>
    <n v="0.2762"/>
    <n v="9.6799999999999997E-2"/>
    <n v="0"/>
    <n v="20180408"/>
    <n v="46.999899999999997"/>
  </r>
  <r>
    <s v="BITS"/>
    <x v="1"/>
    <n v="1"/>
    <x v="6"/>
    <n v="10"/>
    <n v="126436"/>
    <s v="Gadus morhua"/>
    <n v="0"/>
    <n v="0"/>
    <n v="0"/>
    <n v="1"/>
    <n v="0"/>
    <n v="0"/>
    <n v="0"/>
    <n v="0"/>
    <n v="0"/>
    <n v="0"/>
    <n v="0"/>
    <n v="20180408"/>
    <n v="1"/>
  </r>
  <r>
    <s v="BITS"/>
    <x v="1"/>
    <n v="1"/>
    <x v="6"/>
    <n v="11"/>
    <n v="126436"/>
    <s v="Gadus morhua"/>
    <n v="0"/>
    <n v="0"/>
    <n v="0.16669999999999999"/>
    <n v="6.1238000000000001"/>
    <n v="2.2094999999999998"/>
    <n v="0.5"/>
    <n v="0"/>
    <n v="0"/>
    <n v="0"/>
    <n v="0"/>
    <n v="0"/>
    <n v="20180408"/>
    <n v="9"/>
  </r>
  <r>
    <s v="BITS"/>
    <x v="1"/>
    <n v="1"/>
    <x v="6"/>
    <n v="12"/>
    <n v="126436"/>
    <s v="Gadus morhua"/>
    <n v="0"/>
    <n v="0"/>
    <n v="0"/>
    <n v="0"/>
    <n v="0"/>
    <n v="0"/>
    <n v="0"/>
    <n v="0"/>
    <n v="0"/>
    <n v="0"/>
    <n v="0"/>
    <n v="20180408"/>
    <n v="0"/>
  </r>
  <r>
    <s v="BITS"/>
    <x v="1"/>
    <n v="1"/>
    <x v="6"/>
    <n v="13"/>
    <n v="126436"/>
    <s v="Gadus morhua"/>
    <n v="0"/>
    <n v="0"/>
    <n v="0"/>
    <n v="0"/>
    <n v="0"/>
    <n v="0"/>
    <n v="0"/>
    <n v="0"/>
    <n v="0"/>
    <n v="0"/>
    <n v="0"/>
    <n v="20180408"/>
    <n v="0"/>
  </r>
  <r>
    <s v="BITS"/>
    <x v="1"/>
    <n v="1"/>
    <x v="7"/>
    <n v="10"/>
    <n v="126436"/>
    <s v="Gadus morhua"/>
    <n v="0"/>
    <n v="3.6"/>
    <n v="1.2796000000000001"/>
    <n v="4.0728999999999997"/>
    <n v="3.6452"/>
    <n v="2.6675"/>
    <n v="0.80100000000000005"/>
    <n v="0.1157"/>
    <n v="0"/>
    <n v="1.8200000000000001E-2"/>
    <n v="0"/>
    <n v="20180408"/>
    <n v="16.200099999999999"/>
  </r>
  <r>
    <s v="BITS"/>
    <x v="1"/>
    <n v="1"/>
    <x v="7"/>
    <n v="11"/>
    <n v="126436"/>
    <s v="Gadus morhua"/>
    <n v="0"/>
    <n v="0"/>
    <n v="1.3229"/>
    <n v="5.3677000000000001"/>
    <n v="4.1722000000000001"/>
    <n v="2.92"/>
    <n v="1.2347999999999999"/>
    <n v="0.1641"/>
    <n v="0"/>
    <n v="1.8200000000000001E-2"/>
    <n v="0"/>
    <n v="20180408"/>
    <n v="15.1999"/>
  </r>
  <r>
    <s v="BITS"/>
    <x v="1"/>
    <n v="1"/>
    <x v="7"/>
    <n v="12"/>
    <n v="126436"/>
    <s v="Gadus morhua"/>
    <n v="0"/>
    <n v="0"/>
    <n v="48.4726"/>
    <n v="286.1026"/>
    <n v="155.45769999999999"/>
    <n v="117.0508"/>
    <n v="34.126300000000001"/>
    <n v="7.0080999999999998"/>
    <n v="0.8"/>
    <n v="0.58179999999999998"/>
    <n v="0"/>
    <n v="20180408"/>
    <n v="649.59990000000005"/>
  </r>
  <r>
    <s v="BITS"/>
    <x v="1"/>
    <n v="1"/>
    <x v="7"/>
    <n v="13"/>
    <n v="126436"/>
    <s v="Gadus morhua"/>
    <n v="0"/>
    <n v="0"/>
    <n v="7.3578999999999999"/>
    <n v="50.912100000000002"/>
    <n v="34.494199999999999"/>
    <n v="25.611000000000001"/>
    <n v="8.5338999999999992"/>
    <n v="0.72729999999999995"/>
    <n v="0"/>
    <n v="0.36359999999999998"/>
    <n v="0"/>
    <n v="20180408"/>
    <n v="128"/>
  </r>
  <r>
    <s v="BITS"/>
    <x v="1"/>
    <n v="1"/>
    <x v="7"/>
    <n v="9"/>
    <n v="126436"/>
    <s v="Gadus morhua"/>
    <n v="0"/>
    <n v="0"/>
    <n v="0"/>
    <n v="0"/>
    <n v="0"/>
    <n v="0"/>
    <n v="0"/>
    <n v="0"/>
    <n v="0"/>
    <n v="0"/>
    <n v="0"/>
    <n v="20180408"/>
    <n v="0"/>
  </r>
  <r>
    <s v="BITS"/>
    <x v="2"/>
    <n v="1"/>
    <x v="0"/>
    <n v="10"/>
    <n v="126436"/>
    <s v="Gadus morhua"/>
    <n v="0"/>
    <n v="2.9155000000000002"/>
    <n v="5.4574999999999996"/>
    <n v="0.32700000000000001"/>
    <n v="0.19500000000000001"/>
    <n v="0"/>
    <n v="0"/>
    <n v="0"/>
    <n v="0"/>
    <n v="0"/>
    <n v="0"/>
    <n v="20190305"/>
    <n v="8.8949999999999996"/>
  </r>
  <r>
    <s v="BITS"/>
    <x v="2"/>
    <n v="1"/>
    <x v="0"/>
    <n v="11"/>
    <n v="126436"/>
    <s v="Gadus morhua"/>
    <n v="0"/>
    <n v="0.85399999999999998"/>
    <n v="2.8460000000000001"/>
    <n v="0.87"/>
    <n v="0"/>
    <n v="0"/>
    <n v="0"/>
    <n v="0"/>
    <n v="0"/>
    <n v="0"/>
    <n v="0"/>
    <n v="20190305"/>
    <n v="4.57"/>
  </r>
  <r>
    <s v="BITS"/>
    <x v="2"/>
    <n v="1"/>
    <x v="0"/>
    <n v="9"/>
    <n v="126436"/>
    <s v="Gadus morhua"/>
    <n v="0"/>
    <n v="2.0874999999999999"/>
    <n v="10.0411"/>
    <n v="0.82979999999999998"/>
    <n v="6.8585000000000003"/>
    <n v="2.7608000000000001"/>
    <n v="0.88690000000000002"/>
    <n v="0"/>
    <n v="0"/>
    <n v="0"/>
    <n v="0"/>
    <n v="20190305"/>
    <n v="23.464600000000001"/>
  </r>
  <r>
    <s v="BITS"/>
    <x v="2"/>
    <n v="1"/>
    <x v="1"/>
    <n v="8"/>
    <n v="126436"/>
    <s v="Gadus morhua"/>
    <n v="0"/>
    <n v="0.83279999999999998"/>
    <n v="11.4072"/>
    <n v="0"/>
    <n v="0"/>
    <n v="0"/>
    <n v="0.13200000000000001"/>
    <n v="0"/>
    <n v="0"/>
    <n v="0"/>
    <n v="0"/>
    <n v="20190305"/>
    <n v="12.372"/>
  </r>
  <r>
    <s v="BITS"/>
    <x v="2"/>
    <n v="1"/>
    <x v="1"/>
    <n v="9"/>
    <n v="126436"/>
    <s v="Gadus morhua"/>
    <n v="0"/>
    <n v="3.0366"/>
    <n v="702.12599999999998"/>
    <n v="31.166499999999999"/>
    <n v="15.6785"/>
    <n v="4.7049000000000003"/>
    <n v="0.2107"/>
    <n v="7.6600000000000001E-2"/>
    <n v="4.9399999999999999E-2"/>
    <n v="0"/>
    <n v="0"/>
    <n v="20190305"/>
    <n v="757.04919999999993"/>
  </r>
  <r>
    <s v="BITS"/>
    <x v="2"/>
    <n v="1"/>
    <x v="2"/>
    <n v="8"/>
    <n v="126436"/>
    <s v="Gadus morhua"/>
    <n v="0"/>
    <n v="4.3067000000000002"/>
    <n v="343.86059999999998"/>
    <n v="111.18389999999999"/>
    <n v="59.268900000000002"/>
    <n v="17.100000000000001"/>
    <n v="1.1133"/>
    <n v="0.22670000000000001"/>
    <n v="0"/>
    <n v="0"/>
    <n v="0"/>
    <n v="20190305"/>
    <n v="537.06010000000003"/>
  </r>
  <r>
    <s v="BITS"/>
    <x v="2"/>
    <n v="1"/>
    <x v="2"/>
    <n v="9"/>
    <n v="126436"/>
    <s v="Gadus morhua"/>
    <n v="0"/>
    <n v="1.1313"/>
    <n v="1105.9294"/>
    <n v="137.7585"/>
    <n v="23.317"/>
    <n v="0"/>
    <n v="0"/>
    <n v="0"/>
    <n v="0"/>
    <n v="0"/>
    <n v="0"/>
    <n v="20190305"/>
    <n v="1268.1361999999999"/>
  </r>
  <r>
    <s v="BITS"/>
    <x v="2"/>
    <n v="1"/>
    <x v="3"/>
    <n v="10"/>
    <n v="126436"/>
    <s v="Gadus morhua"/>
    <n v="0"/>
    <n v="1.2846"/>
    <n v="900.98829999999998"/>
    <n v="633.46559999999999"/>
    <n v="147.1951"/>
    <n v="46.958399999999997"/>
    <n v="24.410399999999999"/>
    <n v="0"/>
    <n v="0"/>
    <n v="0"/>
    <n v="0"/>
    <n v="20190305"/>
    <n v="1754.3023999999998"/>
  </r>
  <r>
    <s v="BITS"/>
    <x v="2"/>
    <n v="1"/>
    <x v="3"/>
    <n v="11"/>
    <n v="126436"/>
    <s v="Gadus morhua"/>
    <n v="0"/>
    <n v="6"/>
    <n v="612.85239999999999"/>
    <n v="237.9119"/>
    <n v="26.835699999999999"/>
    <n v="4"/>
    <n v="0.4"/>
    <n v="0"/>
    <n v="0"/>
    <n v="0"/>
    <n v="0"/>
    <n v="20190305"/>
    <n v="888"/>
  </r>
  <r>
    <s v="BITS"/>
    <x v="2"/>
    <n v="1"/>
    <x v="3"/>
    <n v="8"/>
    <n v="126436"/>
    <s v="Gadus morhua"/>
    <n v="0"/>
    <n v="0"/>
    <n v="169.15960000000001"/>
    <n v="91.927300000000002"/>
    <n v="11.6426"/>
    <n v="2.6833999999999998"/>
    <n v="0.51400000000000001"/>
    <n v="0"/>
    <n v="0"/>
    <n v="0"/>
    <n v="0"/>
    <n v="20190305"/>
    <n v="275.92690000000005"/>
  </r>
  <r>
    <s v="BITS"/>
    <x v="2"/>
    <n v="1"/>
    <x v="3"/>
    <n v="9"/>
    <n v="126436"/>
    <s v="Gadus morhua"/>
    <n v="0"/>
    <n v="1.4564999999999999"/>
    <n v="578.54510000000005"/>
    <n v="397.03100000000001"/>
    <n v="57.665799999999997"/>
    <n v="9.7164999999999999"/>
    <n v="2.4409000000000001"/>
    <n v="0"/>
    <n v="0"/>
    <n v="0"/>
    <n v="0"/>
    <n v="20190305"/>
    <n v="1046.8558"/>
  </r>
  <r>
    <s v="BITS"/>
    <x v="2"/>
    <n v="1"/>
    <x v="4"/>
    <n v="10"/>
    <n v="126436"/>
    <s v="Gadus morhua"/>
    <n v="0"/>
    <n v="9.5351999999999997"/>
    <n v="447.28530000000001"/>
    <n v="316.42230000000001"/>
    <n v="127.8312"/>
    <n v="30.630299999999998"/>
    <n v="9.8268000000000004"/>
    <n v="0.59160000000000001"/>
    <n v="0.55049999999999999"/>
    <n v="0"/>
    <n v="0"/>
    <n v="20190305"/>
    <n v="942.67320000000007"/>
  </r>
  <r>
    <s v="BITS"/>
    <x v="2"/>
    <n v="1"/>
    <x v="4"/>
    <n v="11"/>
    <n v="126436"/>
    <s v="Gadus morhua"/>
    <n v="0"/>
    <n v="2.3816000000000002"/>
    <n v="183.44810000000001"/>
    <n v="204.4306"/>
    <n v="149.5301"/>
    <n v="37.7517"/>
    <n v="11.374000000000001"/>
    <n v="0.55600000000000005"/>
    <n v="0.56669999999999998"/>
    <n v="0"/>
    <n v="0"/>
    <n v="20190305"/>
    <n v="590.03880000000015"/>
  </r>
  <r>
    <s v="BITS"/>
    <x v="2"/>
    <n v="1"/>
    <x v="4"/>
    <n v="12"/>
    <n v="126436"/>
    <s v="Gadus morhua"/>
    <n v="0"/>
    <n v="0.4"/>
    <n v="5.3224"/>
    <n v="24.5792"/>
    <n v="41.188299999999998"/>
    <n v="15.286300000000001"/>
    <n v="5.7248000000000001"/>
    <n v="0.36559999999999998"/>
    <n v="0.33329999999999999"/>
    <n v="0"/>
    <n v="0"/>
    <n v="20190305"/>
    <n v="93.1999"/>
  </r>
  <r>
    <s v="BITS"/>
    <x v="2"/>
    <n v="1"/>
    <x v="4"/>
    <n v="9"/>
    <n v="126436"/>
    <s v="Gadus morhua"/>
    <n v="0"/>
    <n v="1.8125"/>
    <n v="12.184900000000001"/>
    <n v="67.873800000000003"/>
    <n v="74.9846"/>
    <n v="16.140899999999998"/>
    <n v="4.6177999999999999"/>
    <n v="0.27829999999999999"/>
    <n v="0.1071"/>
    <n v="0"/>
    <n v="0"/>
    <n v="20190305"/>
    <n v="177.99989999999997"/>
  </r>
  <r>
    <s v="BITS"/>
    <x v="2"/>
    <n v="1"/>
    <x v="5"/>
    <n v="10"/>
    <n v="126436"/>
    <s v="Gadus morhua"/>
    <n v="0"/>
    <n v="17.328499999999998"/>
    <n v="348.00360000000001"/>
    <n v="90.428700000000006"/>
    <n v="53.033700000000003"/>
    <n v="42.098999999999997"/>
    <n v="13.1731"/>
    <n v="4.9690000000000003"/>
    <n v="1.3137000000000001"/>
    <n v="0.23230000000000001"/>
    <n v="0"/>
    <n v="20190305"/>
    <n v="570.58160000000009"/>
  </r>
  <r>
    <s v="BITS"/>
    <x v="2"/>
    <n v="1"/>
    <x v="5"/>
    <n v="11"/>
    <n v="126436"/>
    <s v="Gadus morhua"/>
    <n v="0"/>
    <n v="136.74889999999999"/>
    <n v="780.34990000000005"/>
    <n v="138.809"/>
    <n v="96.480999999999995"/>
    <n v="87.689800000000005"/>
    <n v="29.976400000000002"/>
    <n v="14.345499999999999"/>
    <n v="9.6768000000000001"/>
    <n v="2.6951999999999998"/>
    <n v="0.2273"/>
    <n v="20190305"/>
    <n v="1296.9998000000001"/>
  </r>
  <r>
    <s v="BITS"/>
    <x v="2"/>
    <n v="1"/>
    <x v="5"/>
    <n v="12"/>
    <n v="126436"/>
    <s v="Gadus morhua"/>
    <n v="0"/>
    <n v="6.5799999999999997E-2"/>
    <n v="4.9983000000000004"/>
    <n v="5.5263"/>
    <n v="5.6334999999999997"/>
    <n v="4.6298000000000004"/>
    <n v="1.1456"/>
    <n v="0.36159999999999998"/>
    <n v="2.4199999999999999E-2"/>
    <n v="1.4800000000000001E-2"/>
    <n v="0"/>
    <n v="20190305"/>
    <n v="22.399899999999999"/>
  </r>
  <r>
    <s v="BITS"/>
    <x v="2"/>
    <n v="1"/>
    <x v="5"/>
    <n v="13"/>
    <n v="126436"/>
    <s v="Gadus morhua"/>
    <n v="0"/>
    <n v="0.25"/>
    <n v="0"/>
    <n v="0.16489999999999999"/>
    <n v="0.30430000000000001"/>
    <n v="0.27410000000000001"/>
    <n v="6.7999999999999996E-3"/>
    <n v="0"/>
    <n v="0"/>
    <n v="0"/>
    <n v="0"/>
    <n v="20190305"/>
    <n v="1.0001"/>
  </r>
  <r>
    <s v="BITS"/>
    <x v="2"/>
    <n v="1"/>
    <x v="5"/>
    <n v="14"/>
    <n v="126436"/>
    <s v="Gadus morhua"/>
    <n v="0"/>
    <n v="0"/>
    <n v="0"/>
    <n v="0"/>
    <n v="0"/>
    <n v="0"/>
    <n v="0"/>
    <n v="0"/>
    <n v="0"/>
    <n v="0"/>
    <n v="0"/>
    <n v="20190305"/>
    <n v="0"/>
  </r>
  <r>
    <s v="BITS"/>
    <x v="2"/>
    <n v="1"/>
    <x v="5"/>
    <n v="9"/>
    <n v="126436"/>
    <s v="Gadus morhua"/>
    <n v="0"/>
    <n v="1.4879"/>
    <n v="9.9525000000000006"/>
    <n v="11.1286"/>
    <n v="11.677099999999999"/>
    <n v="10.0014"/>
    <n v="2.4544999999999999"/>
    <n v="0.53139999999999998"/>
    <n v="2.5600000000000001E-2"/>
    <n v="7.4099999999999999E-2"/>
    <n v="0"/>
    <n v="20190305"/>
    <n v="47.333100000000002"/>
  </r>
  <r>
    <s v="BITS"/>
    <x v="2"/>
    <n v="1"/>
    <x v="6"/>
    <n v="11"/>
    <n v="126436"/>
    <s v="Gadus morhua"/>
    <n v="0"/>
    <n v="0.5"/>
    <n v="12"/>
    <n v="5.75"/>
    <n v="4.25"/>
    <n v="0.5"/>
    <n v="0"/>
    <n v="0"/>
    <n v="0"/>
    <n v="0"/>
    <n v="0"/>
    <n v="20190305"/>
    <n v="23"/>
  </r>
  <r>
    <s v="BITS"/>
    <x v="2"/>
    <n v="1"/>
    <x v="6"/>
    <n v="12"/>
    <n v="126436"/>
    <s v="Gadus morhua"/>
    <n v="0"/>
    <n v="0"/>
    <n v="36"/>
    <n v="18"/>
    <n v="0"/>
    <n v="0"/>
    <n v="0"/>
    <n v="0"/>
    <n v="0"/>
    <n v="0"/>
    <n v="0"/>
    <n v="20190305"/>
    <n v="54"/>
  </r>
  <r>
    <s v="BITS"/>
    <x v="2"/>
    <n v="1"/>
    <x v="7"/>
    <n v="10"/>
    <n v="126436"/>
    <s v="Gadus morhua"/>
    <n v="0"/>
    <n v="2.0832999999999999"/>
    <n v="6.9081000000000001"/>
    <n v="2.5163000000000002"/>
    <n v="2.3624999999999998"/>
    <n v="1.7464"/>
    <n v="0.25829999999999997"/>
    <n v="0"/>
    <n v="0"/>
    <n v="0"/>
    <n v="0"/>
    <n v="20190305"/>
    <n v="15.8749"/>
  </r>
  <r>
    <s v="BITS"/>
    <x v="2"/>
    <n v="1"/>
    <x v="7"/>
    <n v="11"/>
    <n v="126436"/>
    <s v="Gadus morhua"/>
    <n v="0"/>
    <n v="2.7732999999999999"/>
    <n v="30.173500000000001"/>
    <n v="8.0876999999999999"/>
    <n v="4.8343999999999996"/>
    <n v="2.0975999999999999"/>
    <n v="0.43330000000000002"/>
    <n v="0"/>
    <n v="0"/>
    <n v="0"/>
    <n v="0"/>
    <n v="20190305"/>
    <n v="48.399800000000006"/>
  </r>
  <r>
    <s v="BITS"/>
    <x v="2"/>
    <n v="1"/>
    <x v="7"/>
    <n v="12"/>
    <n v="126436"/>
    <s v="Gadus morhua"/>
    <n v="0"/>
    <n v="0.2"/>
    <n v="18.8446"/>
    <n v="3.0626000000000002"/>
    <n v="0.5"/>
    <n v="0.39290000000000003"/>
    <n v="0"/>
    <n v="0"/>
    <n v="0"/>
    <n v="0"/>
    <n v="0"/>
    <n v="20190305"/>
    <n v="23.0001"/>
  </r>
  <r>
    <s v="BITS"/>
    <x v="2"/>
    <n v="1"/>
    <x v="7"/>
    <n v="9"/>
    <n v="126436"/>
    <s v="Gadus morhua"/>
    <n v="0"/>
    <n v="0"/>
    <n v="0"/>
    <n v="0"/>
    <n v="0"/>
    <n v="0"/>
    <n v="0"/>
    <n v="0"/>
    <n v="0"/>
    <n v="0"/>
    <n v="0"/>
    <n v="20190305"/>
    <n v="0"/>
  </r>
  <r>
    <s v="BITS"/>
    <x v="3"/>
    <n v="1"/>
    <x v="0"/>
    <n v="10"/>
    <n v="126436"/>
    <s v="Gadus morhua"/>
    <n v="0"/>
    <n v="0.1767"/>
    <n v="0.1767"/>
    <n v="0.38669999999999999"/>
    <n v="0.81669999999999998"/>
    <n v="0"/>
    <n v="0"/>
    <n v="0.1133"/>
    <n v="0"/>
    <n v="0"/>
    <n v="0"/>
    <n v="20200414"/>
    <n v="1.6700999999999999"/>
  </r>
  <r>
    <s v="BITS"/>
    <x v="3"/>
    <n v="1"/>
    <x v="0"/>
    <n v="11"/>
    <n v="126436"/>
    <s v="Gadus morhua"/>
    <n v="0"/>
    <n v="0"/>
    <n v="1.61"/>
    <n v="0"/>
    <n v="0"/>
    <n v="0"/>
    <n v="0"/>
    <n v="0"/>
    <n v="0"/>
    <n v="0"/>
    <n v="0"/>
    <n v="20200414"/>
    <n v="1.61"/>
  </r>
  <r>
    <s v="BITS"/>
    <x v="3"/>
    <n v="1"/>
    <x v="0"/>
    <n v="9"/>
    <n v="126436"/>
    <s v="Gadus morhua"/>
    <n v="0"/>
    <n v="0"/>
    <n v="1.3872"/>
    <n v="1.355"/>
    <n v="0.5756"/>
    <n v="0.32"/>
    <n v="0"/>
    <n v="0"/>
    <n v="0"/>
    <n v="0"/>
    <n v="0"/>
    <n v="20200414"/>
    <n v="3.6377999999999999"/>
  </r>
  <r>
    <s v="BITS"/>
    <x v="3"/>
    <n v="1"/>
    <x v="1"/>
    <n v="8"/>
    <n v="126436"/>
    <s v="Gadus morhua"/>
    <n v="0"/>
    <n v="0.13789999999999999"/>
    <n v="0.71889999999999998"/>
    <n v="1.9158999999999999"/>
    <n v="0.22600000000000001"/>
    <n v="0.93"/>
    <n v="0"/>
    <n v="0"/>
    <n v="0"/>
    <n v="0"/>
    <n v="0"/>
    <n v="20200414"/>
    <n v="3.9287000000000001"/>
  </r>
  <r>
    <s v="BITS"/>
    <x v="3"/>
    <n v="1"/>
    <x v="1"/>
    <n v="9"/>
    <n v="126436"/>
    <s v="Gadus morhua"/>
    <n v="0"/>
    <n v="2.4975000000000001"/>
    <n v="97.231300000000005"/>
    <n v="1697.037"/>
    <n v="32.729900000000001"/>
    <n v="5.5911999999999997"/>
    <n v="3.4700000000000002E-2"/>
    <n v="0"/>
    <n v="0"/>
    <n v="0"/>
    <n v="0"/>
    <n v="20200414"/>
    <n v="1835.1216000000002"/>
  </r>
  <r>
    <s v="BITS"/>
    <x v="3"/>
    <n v="1"/>
    <x v="2"/>
    <n v="8"/>
    <n v="126436"/>
    <s v="Gadus morhua"/>
    <n v="0"/>
    <n v="0.32400000000000001"/>
    <n v="42.356699999999996"/>
    <n v="535.57889999999998"/>
    <n v="27.978000000000002"/>
    <n v="5.5467000000000004"/>
    <n v="0"/>
    <n v="0"/>
    <n v="0"/>
    <n v="0"/>
    <n v="0"/>
    <n v="20200414"/>
    <n v="611.78429999999992"/>
  </r>
  <r>
    <s v="BITS"/>
    <x v="3"/>
    <n v="1"/>
    <x v="2"/>
    <n v="9"/>
    <n v="126436"/>
    <s v="Gadus morhua"/>
    <n v="0"/>
    <n v="0"/>
    <n v="0.86519999999999997"/>
    <n v="2.9106000000000001"/>
    <n v="5.4215"/>
    <n v="5.5907"/>
    <n v="0.96399999999999997"/>
    <n v="0"/>
    <n v="0"/>
    <n v="0"/>
    <n v="0"/>
    <n v="20200414"/>
    <n v="15.752000000000001"/>
  </r>
  <r>
    <s v="BITS"/>
    <x v="3"/>
    <n v="1"/>
    <x v="3"/>
    <n v="10"/>
    <n v="126436"/>
    <s v="Gadus morhua"/>
    <n v="0"/>
    <n v="3.7241"/>
    <n v="131.03210000000001"/>
    <n v="552.24480000000005"/>
    <n v="166.20939999999999"/>
    <n v="55.540500000000002"/>
    <n v="8.9792000000000005"/>
    <n v="0"/>
    <n v="0"/>
    <n v="0"/>
    <n v="0"/>
    <n v="20200414"/>
    <n v="917.73009999999999"/>
  </r>
  <r>
    <s v="BITS"/>
    <x v="3"/>
    <n v="1"/>
    <x v="3"/>
    <n v="8"/>
    <n v="126436"/>
    <s v="Gadus morhua"/>
    <n v="0"/>
    <n v="1.6667000000000001"/>
    <n v="12.4445"/>
    <n v="137.65039999999999"/>
    <n v="46.084899999999998"/>
    <n v="15.1114"/>
    <n v="2.6057999999999999"/>
    <n v="0"/>
    <n v="0"/>
    <n v="0"/>
    <n v="0"/>
    <n v="20200414"/>
    <n v="215.56369999999998"/>
  </r>
  <r>
    <s v="BITS"/>
    <x v="3"/>
    <n v="1"/>
    <x v="3"/>
    <n v="9"/>
    <n v="126436"/>
    <s v="Gadus morhua"/>
    <n v="0"/>
    <n v="2.2667000000000002"/>
    <n v="19.164999999999999"/>
    <n v="132.833"/>
    <n v="40.036499999999997"/>
    <n v="11.0814"/>
    <n v="2.2099000000000002"/>
    <n v="0"/>
    <n v="0"/>
    <n v="0"/>
    <n v="0"/>
    <n v="20200414"/>
    <n v="207.5925"/>
  </r>
  <r>
    <s v="BITS"/>
    <x v="3"/>
    <n v="1"/>
    <x v="4"/>
    <n v="10"/>
    <n v="126436"/>
    <s v="Gadus morhua"/>
    <n v="0"/>
    <n v="13.0831"/>
    <n v="427.95870000000002"/>
    <n v="142.69220000000001"/>
    <n v="31.657599999999999"/>
    <n v="5.0620000000000003"/>
    <n v="0.67010000000000003"/>
    <n v="0.40970000000000001"/>
    <n v="0"/>
    <n v="0"/>
    <n v="0"/>
    <n v="20200414"/>
    <n v="621.53340000000014"/>
  </r>
  <r>
    <s v="BITS"/>
    <x v="3"/>
    <n v="1"/>
    <x v="4"/>
    <n v="11"/>
    <n v="126436"/>
    <s v="Gadus morhua"/>
    <n v="0"/>
    <n v="6.3727999999999998"/>
    <n v="329.96440000000001"/>
    <n v="342.77339999999998"/>
    <n v="89.283799999999999"/>
    <n v="12.092599999999999"/>
    <n v="1.5599000000000001"/>
    <n v="0.77010000000000001"/>
    <n v="0"/>
    <n v="0"/>
    <n v="0"/>
    <n v="20200414"/>
    <n v="782.81699999999989"/>
  </r>
  <r>
    <s v="BITS"/>
    <x v="3"/>
    <n v="1"/>
    <x v="4"/>
    <n v="12"/>
    <n v="126436"/>
    <s v="Gadus morhua"/>
    <n v="0"/>
    <n v="0.95279999999999998"/>
    <n v="189.3801"/>
    <n v="418.15339999999998"/>
    <n v="151.38030000000001"/>
    <n v="22.756399999999999"/>
    <n v="2.7641"/>
    <n v="1.9460999999999999"/>
    <n v="0"/>
    <n v="0"/>
    <n v="0"/>
    <n v="20200414"/>
    <n v="787.33320000000003"/>
  </r>
  <r>
    <s v="BITS"/>
    <x v="3"/>
    <n v="1"/>
    <x v="4"/>
    <n v="9"/>
    <n v="126436"/>
    <s v="Gadus morhua"/>
    <n v="0"/>
    <n v="1"/>
    <n v="5.2889999999999997"/>
    <n v="30.590800000000002"/>
    <n v="11.5898"/>
    <n v="1.6483000000000001"/>
    <n v="0.18129999999999999"/>
    <n v="7.5800000000000006E-2"/>
    <n v="0"/>
    <n v="0"/>
    <n v="0"/>
    <n v="20200414"/>
    <n v="50.375"/>
  </r>
  <r>
    <s v="BITS"/>
    <x v="3"/>
    <n v="1"/>
    <x v="5"/>
    <n v="10"/>
    <n v="126436"/>
    <s v="Gadus morhua"/>
    <n v="0"/>
    <n v="3.85"/>
    <n v="175.48939999999999"/>
    <n v="210.661"/>
    <n v="24.0166"/>
    <n v="3.8744999999999998"/>
    <n v="0.42320000000000002"/>
    <n v="0.05"/>
    <n v="0"/>
    <n v="0"/>
    <n v="0"/>
    <n v="20200414"/>
    <n v="418.36470000000003"/>
  </r>
  <r>
    <s v="BITS"/>
    <x v="3"/>
    <n v="1"/>
    <x v="5"/>
    <n v="11"/>
    <n v="126436"/>
    <s v="Gadus morhua"/>
    <n v="0"/>
    <n v="9.7543000000000006"/>
    <n v="447.71899999999999"/>
    <n v="263.3109"/>
    <n v="28.409099999999999"/>
    <n v="3.7147000000000001"/>
    <n v="1.8989"/>
    <n v="0.12379999999999999"/>
    <n v="0"/>
    <n v="0"/>
    <n v="0"/>
    <n v="20200414"/>
    <n v="754.9307"/>
  </r>
  <r>
    <s v="BITS"/>
    <x v="3"/>
    <n v="1"/>
    <x v="5"/>
    <n v="12"/>
    <n v="126436"/>
    <s v="Gadus morhua"/>
    <n v="0"/>
    <n v="0.40560000000000002"/>
    <n v="227.1112"/>
    <n v="332.1628"/>
    <n v="42.510199999999998"/>
    <n v="5.1497000000000002"/>
    <n v="1.1218999999999999"/>
    <n v="0.15379999999999999"/>
    <n v="0"/>
    <n v="0"/>
    <n v="0"/>
    <n v="20200414"/>
    <n v="608.61519999999996"/>
  </r>
  <r>
    <s v="BITS"/>
    <x v="3"/>
    <n v="1"/>
    <x v="5"/>
    <n v="13"/>
    <n v="126436"/>
    <s v="Gadus morhua"/>
    <n v="0"/>
    <n v="0"/>
    <n v="1.837"/>
    <n v="4.3921000000000001"/>
    <n v="1.6324000000000001"/>
    <n v="8.8499999999999995E-2"/>
    <n v="0"/>
    <n v="0.05"/>
    <n v="0"/>
    <n v="0"/>
    <n v="0"/>
    <n v="20200414"/>
    <n v="7.9999999999999991"/>
  </r>
  <r>
    <s v="BITS"/>
    <x v="3"/>
    <n v="1"/>
    <x v="5"/>
    <n v="14"/>
    <n v="126436"/>
    <s v="Gadus morhua"/>
    <n v="0"/>
    <n v="0"/>
    <n v="0"/>
    <n v="0"/>
    <n v="0"/>
    <n v="0"/>
    <n v="0"/>
    <n v="0"/>
    <n v="0"/>
    <n v="0"/>
    <n v="0"/>
    <n v="20200414"/>
    <n v="0"/>
  </r>
  <r>
    <s v="BITS"/>
    <x v="3"/>
    <n v="1"/>
    <x v="5"/>
    <n v="9"/>
    <n v="126436"/>
    <s v="Gadus morhua"/>
    <n v="0"/>
    <n v="0.54769999999999996"/>
    <n v="33.043199999999999"/>
    <n v="72.622200000000007"/>
    <n v="17.3993"/>
    <n v="2.2017000000000002"/>
    <n v="0.69699999999999995"/>
    <n v="8.8800000000000004E-2"/>
    <n v="0"/>
    <n v="0"/>
    <n v="0"/>
    <n v="20200414"/>
    <n v="126.59990000000001"/>
  </r>
  <r>
    <s v="BITS"/>
    <x v="3"/>
    <n v="1"/>
    <x v="6"/>
    <n v="11"/>
    <n v="126436"/>
    <s v="Gadus morhua"/>
    <n v="0"/>
    <n v="0"/>
    <n v="10.119"/>
    <n v="3.7381000000000002"/>
    <n v="0"/>
    <n v="0"/>
    <n v="0"/>
    <n v="0"/>
    <n v="0"/>
    <n v="0"/>
    <n v="0"/>
    <n v="20200414"/>
    <n v="13.857099999999999"/>
  </r>
  <r>
    <s v="BITS"/>
    <x v="3"/>
    <n v="1"/>
    <x v="6"/>
    <n v="12"/>
    <n v="126436"/>
    <s v="Gadus morhua"/>
    <n v="0"/>
    <n v="0"/>
    <n v="0"/>
    <n v="0"/>
    <n v="0"/>
    <n v="0"/>
    <n v="0"/>
    <n v="0"/>
    <n v="0"/>
    <n v="0"/>
    <n v="0"/>
    <n v="20200414"/>
    <n v="0"/>
  </r>
  <r>
    <s v="BITS"/>
    <x v="3"/>
    <n v="1"/>
    <x v="7"/>
    <n v="10"/>
    <n v="126436"/>
    <s v="Gadus morhua"/>
    <n v="0"/>
    <n v="0"/>
    <n v="20.937799999999999"/>
    <n v="20.261600000000001"/>
    <n v="5.4034000000000004"/>
    <n v="0.6472"/>
    <n v="0.25"/>
    <n v="0.25"/>
    <n v="0"/>
    <n v="0"/>
    <n v="0"/>
    <n v="20200414"/>
    <n v="47.749999999999993"/>
  </r>
  <r>
    <s v="BITS"/>
    <x v="3"/>
    <n v="1"/>
    <x v="7"/>
    <n v="11"/>
    <n v="126436"/>
    <s v="Gadus morhua"/>
    <n v="0"/>
    <n v="0"/>
    <n v="34.598500000000001"/>
    <n v="20.752800000000001"/>
    <n v="3.0518999999999998"/>
    <n v="1.3746"/>
    <n v="0.44440000000000002"/>
    <n v="0"/>
    <n v="0"/>
    <n v="0"/>
    <n v="0"/>
    <n v="20200414"/>
    <n v="60.222200000000001"/>
  </r>
  <r>
    <s v="BITS"/>
    <x v="3"/>
    <n v="1"/>
    <x v="7"/>
    <n v="12"/>
    <n v="126436"/>
    <s v="Gadus morhua"/>
    <n v="0"/>
    <n v="0"/>
    <n v="14.0084"/>
    <n v="8.1692999999999998"/>
    <n v="0.33879999999999999"/>
    <n v="5.4899999999999997E-2"/>
    <n v="0"/>
    <n v="0"/>
    <n v="0"/>
    <n v="0"/>
    <n v="0"/>
    <n v="20200414"/>
    <n v="22.571400000000001"/>
  </r>
  <r>
    <s v="BITS"/>
    <x v="3"/>
    <n v="1"/>
    <x v="7"/>
    <n v="13"/>
    <n v="126436"/>
    <s v="Gadus morhua"/>
    <n v="0"/>
    <n v="0"/>
    <n v="0"/>
    <n v="0"/>
    <n v="0"/>
    <n v="0"/>
    <n v="0"/>
    <n v="0"/>
    <n v="0"/>
    <n v="0"/>
    <n v="0"/>
    <n v="20200414"/>
    <n v="0"/>
  </r>
  <r>
    <s v="BITS"/>
    <x v="3"/>
    <n v="1"/>
    <x v="7"/>
    <n v="9"/>
    <n v="126436"/>
    <s v="Gadus morhua"/>
    <n v="0"/>
    <n v="0.5"/>
    <n v="6.1609999999999996"/>
    <n v="12.3118"/>
    <n v="4.0624000000000002"/>
    <n v="0.4647"/>
    <n v="0"/>
    <n v="0"/>
    <n v="0"/>
    <n v="0"/>
    <n v="0"/>
    <n v="20200414"/>
    <n v="23.4999"/>
  </r>
  <r>
    <s v="BITS"/>
    <x v="4"/>
    <n v="1"/>
    <x v="0"/>
    <n v="10"/>
    <n v="126436"/>
    <s v="Gadus morhua"/>
    <n v="0"/>
    <n v="9.2405000000000008"/>
    <n v="1.3594999999999999"/>
    <n v="0"/>
    <n v="0"/>
    <n v="0"/>
    <n v="0"/>
    <n v="0"/>
    <n v="0"/>
    <n v="0"/>
    <n v="0"/>
    <n v="20200416"/>
    <n v="10.600000000000001"/>
  </r>
  <r>
    <s v="BITS"/>
    <x v="4"/>
    <n v="1"/>
    <x v="0"/>
    <n v="11"/>
    <n v="126436"/>
    <s v="Gadus morhua"/>
    <n v="0"/>
    <n v="16.584599999999998"/>
    <n v="4.3853999999999997"/>
    <n v="0"/>
    <n v="0"/>
    <n v="0"/>
    <n v="0"/>
    <n v="0"/>
    <n v="0"/>
    <n v="0"/>
    <n v="0"/>
    <n v="20200416"/>
    <n v="20.97"/>
  </r>
  <r>
    <s v="BITS"/>
    <x v="4"/>
    <n v="1"/>
    <x v="0"/>
    <n v="9"/>
    <n v="126436"/>
    <s v="Gadus morhua"/>
    <n v="0"/>
    <n v="10.2087"/>
    <n v="4.3872999999999998"/>
    <n v="0.216"/>
    <n v="2.456"/>
    <n v="5.1999999999999998E-2"/>
    <n v="0.77329999999999999"/>
    <n v="0"/>
    <n v="0.24929999999999999"/>
    <n v="0"/>
    <n v="0"/>
    <n v="20200416"/>
    <n v="18.342600000000001"/>
  </r>
  <r>
    <s v="BITS"/>
    <x v="4"/>
    <n v="1"/>
    <x v="1"/>
    <n v="8"/>
    <n v="126436"/>
    <s v="Gadus morhua"/>
    <n v="0"/>
    <n v="6.9165000000000001"/>
    <n v="9.0343"/>
    <n v="3.0312000000000001"/>
    <n v="82.090100000000007"/>
    <n v="0.91049999999999998"/>
    <n v="7.9399999999999998E-2"/>
    <n v="0"/>
    <n v="0"/>
    <n v="0"/>
    <n v="0.20669999999999999"/>
    <n v="20200416"/>
    <n v="102.26870000000001"/>
  </r>
  <r>
    <s v="BITS"/>
    <x v="4"/>
    <n v="1"/>
    <x v="1"/>
    <n v="9"/>
    <n v="126436"/>
    <s v="Gadus morhua"/>
    <n v="0"/>
    <n v="5.1319999999999997"/>
    <n v="2.7932999999999999"/>
    <n v="3.1244999999999998"/>
    <n v="183.6455"/>
    <n v="2.4474999999999998"/>
    <n v="1.3208"/>
    <n v="0.11070000000000001"/>
    <n v="0"/>
    <n v="0"/>
    <n v="0"/>
    <n v="20200416"/>
    <n v="198.57429999999999"/>
  </r>
  <r>
    <s v="BITS"/>
    <x v="4"/>
    <n v="1"/>
    <x v="2"/>
    <n v="8"/>
    <n v="126436"/>
    <s v="Gadus morhua"/>
    <n v="0"/>
    <n v="16.393999999999998"/>
    <n v="61.112400000000001"/>
    <n v="19.711200000000002"/>
    <n v="117.1802"/>
    <n v="12.081300000000001"/>
    <n v="38.744700000000002"/>
    <n v="4.5494000000000003"/>
    <n v="2.8321999999999998"/>
    <n v="2.8393000000000002"/>
    <n v="0"/>
    <n v="20200416"/>
    <n v="275.44470000000001"/>
  </r>
  <r>
    <s v="BITS"/>
    <x v="4"/>
    <n v="1"/>
    <x v="2"/>
    <n v="9"/>
    <n v="126436"/>
    <s v="Gadus morhua"/>
    <n v="0"/>
    <n v="2.1395"/>
    <n v="25.976700000000001"/>
    <n v="91.471800000000002"/>
    <n v="910.1884"/>
    <n v="52.888399999999997"/>
    <n v="24.701499999999999"/>
    <n v="0.70020000000000004"/>
    <n v="0"/>
    <n v="0"/>
    <n v="0"/>
    <n v="20200416"/>
    <n v="1108.0664999999999"/>
  </r>
  <r>
    <s v="BITS"/>
    <x v="4"/>
    <n v="1"/>
    <x v="3"/>
    <n v="10"/>
    <n v="126436"/>
    <s v="Gadus morhua"/>
    <n v="0"/>
    <n v="81.073899999999995"/>
    <n v="263.81700000000001"/>
    <n v="171.82599999999999"/>
    <n v="122.2017"/>
    <n v="1.8123"/>
    <n v="1.7031000000000001"/>
    <n v="1.4964999999999999"/>
    <n v="0.28610000000000002"/>
    <n v="0"/>
    <n v="0"/>
    <n v="20200416"/>
    <n v="644.21659999999997"/>
  </r>
  <r>
    <s v="BITS"/>
    <x v="4"/>
    <n v="1"/>
    <x v="3"/>
    <n v="11"/>
    <n v="126436"/>
    <s v="Gadus morhua"/>
    <n v="0"/>
    <n v="47.431699999999999"/>
    <n v="143.8142"/>
    <n v="132.6806"/>
    <n v="66.983500000000006"/>
    <n v="1.24"/>
    <n v="1.55"/>
    <n v="0"/>
    <n v="0"/>
    <n v="0"/>
    <n v="0"/>
    <n v="20200416"/>
    <n v="393.70000000000005"/>
  </r>
  <r>
    <s v="BITS"/>
    <x v="4"/>
    <n v="1"/>
    <x v="3"/>
    <n v="8"/>
    <n v="126436"/>
    <s v="Gadus morhua"/>
    <n v="0"/>
    <n v="32.433900000000001"/>
    <n v="11.3332"/>
    <n v="27.224799999999998"/>
    <n v="75.603800000000007"/>
    <n v="3.1049000000000002"/>
    <n v="1.6539999999999999"/>
    <n v="2.9378000000000002"/>
    <n v="1.1022000000000001"/>
    <n v="0"/>
    <n v="0"/>
    <n v="20200416"/>
    <n v="155.39460000000003"/>
  </r>
  <r>
    <s v="BITS"/>
    <x v="4"/>
    <n v="1"/>
    <x v="3"/>
    <n v="9"/>
    <n v="126436"/>
    <s v="Gadus morhua"/>
    <n v="0"/>
    <n v="159.4923"/>
    <n v="220.19829999999999"/>
    <n v="104.6343"/>
    <n v="64.942499999999995"/>
    <n v="1.2682"/>
    <n v="0.63739999999999997"/>
    <n v="0.8488"/>
    <n v="0.23960000000000001"/>
    <n v="0"/>
    <n v="0"/>
    <n v="20200416"/>
    <n v="552.26139999999987"/>
  </r>
  <r>
    <s v="BITS"/>
    <x v="4"/>
    <n v="1"/>
    <x v="4"/>
    <n v="10"/>
    <n v="126436"/>
    <s v="Gadus morhua"/>
    <n v="0"/>
    <n v="48.702399999999997"/>
    <n v="198.93469999999999"/>
    <n v="204.6413"/>
    <n v="52.533200000000001"/>
    <n v="4.9824000000000002"/>
    <n v="0.1414"/>
    <n v="0.1857"/>
    <n v="0"/>
    <n v="0"/>
    <n v="0"/>
    <n v="20200416"/>
    <n v="510.12109999999996"/>
  </r>
  <r>
    <s v="BITS"/>
    <x v="4"/>
    <n v="1"/>
    <x v="4"/>
    <n v="11"/>
    <n v="126436"/>
    <s v="Gadus morhua"/>
    <n v="0"/>
    <n v="29.633199999999999"/>
    <n v="252.25370000000001"/>
    <n v="390.66860000000003"/>
    <n v="107.39100000000001"/>
    <n v="10.7255"/>
    <n v="0.42249999999999999"/>
    <n v="0.3513"/>
    <n v="0"/>
    <n v="0"/>
    <n v="0"/>
    <n v="20200416"/>
    <n v="791.44580000000008"/>
  </r>
  <r>
    <s v="BITS"/>
    <x v="4"/>
    <n v="1"/>
    <x v="4"/>
    <n v="12"/>
    <n v="126436"/>
    <s v="Gadus morhua"/>
    <n v="0"/>
    <n v="16.099399999999999"/>
    <n v="270.43540000000002"/>
    <n v="620.65790000000004"/>
    <n v="196.97550000000001"/>
    <n v="21.0716"/>
    <n v="0.6825"/>
    <n v="0.93479999999999996"/>
    <n v="0"/>
    <n v="0"/>
    <n v="0"/>
    <n v="20200416"/>
    <n v="1126.8570999999999"/>
  </r>
  <r>
    <s v="BITS"/>
    <x v="4"/>
    <n v="1"/>
    <x v="4"/>
    <n v="9"/>
    <n v="126436"/>
    <s v="Gadus morhua"/>
    <n v="0"/>
    <n v="23.886299999999999"/>
    <n v="168.54660000000001"/>
    <n v="127.89579999999999"/>
    <n v="30.5503"/>
    <n v="3.5442"/>
    <n v="0.22969999999999999"/>
    <n v="0.1706"/>
    <n v="0"/>
    <n v="0"/>
    <n v="0"/>
    <n v="20200416"/>
    <n v="354.82349999999997"/>
  </r>
  <r>
    <s v="BITS"/>
    <x v="4"/>
    <n v="1"/>
    <x v="5"/>
    <n v="10"/>
    <n v="126436"/>
    <s v="Gadus morhua"/>
    <n v="0"/>
    <n v="26.258600000000001"/>
    <n v="106.0111"/>
    <n v="341.90179999999998"/>
    <n v="233.08690000000001"/>
    <n v="53.7667"/>
    <n v="0.125"/>
    <n v="0"/>
    <n v="0"/>
    <n v="0"/>
    <n v="0"/>
    <n v="20200416"/>
    <n v="761.15009999999995"/>
  </r>
  <r>
    <s v="BITS"/>
    <x v="4"/>
    <n v="1"/>
    <x v="5"/>
    <n v="11"/>
    <n v="126436"/>
    <s v="Gadus morhua"/>
    <n v="0"/>
    <n v="10.0718"/>
    <n v="47.804299999999998"/>
    <n v="152.42660000000001"/>
    <n v="90.791499999999999"/>
    <n v="18.530799999999999"/>
    <n v="0.15379999999999999"/>
    <n v="0"/>
    <n v="0.15379999999999999"/>
    <n v="0"/>
    <n v="0"/>
    <n v="20200416"/>
    <n v="319.93259999999998"/>
  </r>
  <r>
    <s v="BITS"/>
    <x v="4"/>
    <n v="1"/>
    <x v="5"/>
    <n v="12"/>
    <n v="126436"/>
    <s v="Gadus morhua"/>
    <n v="0"/>
    <n v="0"/>
    <n v="4.1054000000000004"/>
    <n v="16.1831"/>
    <n v="9.5759000000000007"/>
    <n v="1.6758999999999999"/>
    <n v="0"/>
    <n v="0"/>
    <n v="0"/>
    <n v="0"/>
    <n v="0"/>
    <n v="20200416"/>
    <n v="31.540299999999998"/>
  </r>
  <r>
    <s v="BITS"/>
    <x v="4"/>
    <n v="1"/>
    <x v="5"/>
    <n v="13"/>
    <n v="126436"/>
    <s v="Gadus morhua"/>
    <n v="0"/>
    <n v="0"/>
    <n v="0"/>
    <n v="0"/>
    <n v="0"/>
    <n v="0"/>
    <n v="0"/>
    <n v="0"/>
    <n v="0"/>
    <n v="0"/>
    <n v="0"/>
    <n v="20200416"/>
    <n v="0"/>
  </r>
  <r>
    <s v="BITS"/>
    <x v="4"/>
    <n v="1"/>
    <x v="5"/>
    <n v="14"/>
    <n v="126436"/>
    <s v="Gadus morhua"/>
    <n v="0"/>
    <n v="0"/>
    <n v="0"/>
    <n v="0"/>
    <n v="0"/>
    <n v="0"/>
    <n v="0"/>
    <n v="0"/>
    <n v="0"/>
    <n v="0"/>
    <n v="0"/>
    <n v="20200416"/>
    <n v="0"/>
  </r>
  <r>
    <s v="BITS"/>
    <x v="4"/>
    <n v="1"/>
    <x v="5"/>
    <n v="9"/>
    <n v="126436"/>
    <s v="Gadus morhua"/>
    <n v="0"/>
    <n v="1.2111000000000001"/>
    <n v="22.790099999999999"/>
    <n v="64.401899999999998"/>
    <n v="43.569699999999997"/>
    <n v="12.027200000000001"/>
    <n v="0.16669999999999999"/>
    <n v="0"/>
    <n v="5.5599999999999997E-2"/>
    <n v="0"/>
    <n v="0"/>
    <n v="20200416"/>
    <n v="144.22229999999999"/>
  </r>
  <r>
    <s v="BITS"/>
    <x v="4"/>
    <n v="1"/>
    <x v="6"/>
    <n v="10"/>
    <n v="126436"/>
    <s v="Gadus morhua"/>
    <n v="0"/>
    <n v="3"/>
    <n v="2.625"/>
    <n v="1.875"/>
    <n v="0"/>
    <n v="0"/>
    <n v="0"/>
    <n v="0"/>
    <n v="0"/>
    <n v="0"/>
    <n v="0"/>
    <n v="20200416"/>
    <n v="7.5"/>
  </r>
  <r>
    <s v="BITS"/>
    <x v="4"/>
    <n v="1"/>
    <x v="6"/>
    <n v="11"/>
    <n v="126436"/>
    <s v="Gadus morhua"/>
    <n v="0"/>
    <n v="1.5713999999999999"/>
    <n v="3.3571"/>
    <n v="8.3571000000000009"/>
    <n v="1.5713999999999999"/>
    <n v="0"/>
    <n v="0"/>
    <n v="0"/>
    <n v="0"/>
    <n v="0"/>
    <n v="0"/>
    <n v="20200416"/>
    <n v="14.857000000000001"/>
  </r>
  <r>
    <s v="BITS"/>
    <x v="4"/>
    <n v="1"/>
    <x v="6"/>
    <n v="13"/>
    <n v="126436"/>
    <s v="Gadus morhua"/>
    <n v="0"/>
    <n v="0"/>
    <n v="0"/>
    <n v="0"/>
    <n v="0"/>
    <n v="0"/>
    <n v="0"/>
    <n v="0"/>
    <n v="0"/>
    <n v="0"/>
    <n v="0"/>
    <n v="20200416"/>
    <n v="0"/>
  </r>
  <r>
    <s v="BITS"/>
    <x v="4"/>
    <n v="1"/>
    <x v="7"/>
    <n v="10"/>
    <n v="126436"/>
    <s v="Gadus morhua"/>
    <n v="0"/>
    <n v="5.1429"/>
    <n v="7.6662999999999997"/>
    <n v="17.572500000000002"/>
    <n v="3.1335000000000002"/>
    <n v="0.1991"/>
    <n v="0"/>
    <n v="0"/>
    <n v="0"/>
    <n v="0"/>
    <n v="0"/>
    <n v="20200416"/>
    <n v="33.714300000000001"/>
  </r>
  <r>
    <s v="BITS"/>
    <x v="4"/>
    <n v="1"/>
    <x v="7"/>
    <n v="11"/>
    <n v="126436"/>
    <s v="Gadus morhua"/>
    <n v="0"/>
    <n v="0.22220000000000001"/>
    <n v="3.4373"/>
    <n v="16.671600000000002"/>
    <n v="3.5493000000000001"/>
    <n v="0.78620000000000001"/>
    <n v="0"/>
    <n v="0"/>
    <n v="0"/>
    <n v="0"/>
    <n v="0"/>
    <n v="20200416"/>
    <n v="24.666600000000003"/>
  </r>
  <r>
    <s v="BITS"/>
    <x v="4"/>
    <n v="1"/>
    <x v="7"/>
    <n v="12"/>
    <n v="126436"/>
    <s v="Gadus morhua"/>
    <n v="0"/>
    <n v="0"/>
    <n v="7.0699999999999999E-2"/>
    <n v="0.1515"/>
    <n v="0"/>
    <n v="0"/>
    <n v="0"/>
    <n v="0"/>
    <n v="0"/>
    <n v="0"/>
    <n v="0"/>
    <n v="20200416"/>
    <n v="0.22220000000000001"/>
  </r>
  <r>
    <s v="BITS"/>
    <x v="4"/>
    <n v="1"/>
    <x v="7"/>
    <n v="9"/>
    <n v="126436"/>
    <s v="Gadus morhua"/>
    <n v="0"/>
    <n v="0"/>
    <n v="0"/>
    <n v="0"/>
    <n v="0"/>
    <n v="0"/>
    <n v="0"/>
    <n v="0"/>
    <n v="0"/>
    <n v="0"/>
    <n v="0"/>
    <n v="20200416"/>
    <n v="0"/>
  </r>
  <r>
    <m/>
    <x v="5"/>
    <m/>
    <x v="8"/>
    <m/>
    <m/>
    <m/>
    <m/>
    <m/>
    <m/>
    <m/>
    <m/>
    <m/>
    <m/>
    <m/>
    <m/>
    <m/>
    <m/>
    <m/>
    <m/>
  </r>
  <r>
    <m/>
    <x v="5"/>
    <m/>
    <x v="8"/>
    <m/>
    <m/>
    <m/>
    <m/>
    <m/>
    <m/>
    <m/>
    <m/>
    <m/>
    <m/>
    <m/>
    <m/>
    <m/>
    <m/>
    <m/>
    <m/>
  </r>
  <r>
    <m/>
    <x v="5"/>
    <m/>
    <x v="8"/>
    <m/>
    <m/>
    <m/>
    <m/>
    <m/>
    <m/>
    <m/>
    <m/>
    <m/>
    <m/>
    <m/>
    <m/>
    <m/>
    <m/>
    <m/>
    <m/>
  </r>
  <r>
    <m/>
    <x v="5"/>
    <m/>
    <x v="8"/>
    <m/>
    <m/>
    <m/>
    <m/>
    <m/>
    <m/>
    <m/>
    <m/>
    <m/>
    <m/>
    <m/>
    <m/>
    <m/>
    <m/>
    <m/>
    <m/>
  </r>
  <r>
    <m/>
    <x v="5"/>
    <m/>
    <x v="8"/>
    <m/>
    <m/>
    <m/>
    <m/>
    <m/>
    <m/>
    <m/>
    <m/>
    <m/>
    <m/>
    <m/>
    <m/>
    <m/>
    <m/>
    <m/>
    <m/>
  </r>
  <r>
    <m/>
    <x v="5"/>
    <m/>
    <x v="8"/>
    <m/>
    <m/>
    <m/>
    <m/>
    <m/>
    <m/>
    <m/>
    <m/>
    <m/>
    <m/>
    <m/>
    <m/>
    <m/>
    <m/>
    <m/>
    <m/>
  </r>
  <r>
    <m/>
    <x v="5"/>
    <m/>
    <x v="8"/>
    <m/>
    <m/>
    <m/>
    <m/>
    <m/>
    <m/>
    <m/>
    <m/>
    <m/>
    <m/>
    <m/>
    <m/>
    <m/>
    <m/>
    <m/>
    <m/>
  </r>
  <r>
    <m/>
    <x v="5"/>
    <m/>
    <x v="8"/>
    <m/>
    <m/>
    <m/>
    <m/>
    <m/>
    <m/>
    <m/>
    <m/>
    <m/>
    <m/>
    <m/>
    <m/>
    <m/>
    <m/>
    <m/>
    <m/>
  </r>
  <r>
    <m/>
    <x v="5"/>
    <m/>
    <x v="8"/>
    <m/>
    <m/>
    <m/>
    <m/>
    <m/>
    <m/>
    <m/>
    <m/>
    <m/>
    <m/>
    <m/>
    <m/>
    <m/>
    <m/>
    <m/>
    <m/>
  </r>
  <r>
    <m/>
    <x v="5"/>
    <m/>
    <x v="8"/>
    <m/>
    <m/>
    <m/>
    <m/>
    <m/>
    <m/>
    <m/>
    <m/>
    <m/>
    <m/>
    <m/>
    <m/>
    <m/>
    <m/>
    <m/>
    <m/>
  </r>
  <r>
    <m/>
    <x v="5"/>
    <m/>
    <x v="8"/>
    <m/>
    <m/>
    <m/>
    <m/>
    <m/>
    <m/>
    <m/>
    <m/>
    <m/>
    <m/>
    <m/>
    <m/>
    <m/>
    <m/>
    <m/>
    <m/>
  </r>
  <r>
    <m/>
    <x v="5"/>
    <m/>
    <x v="8"/>
    <m/>
    <m/>
    <m/>
    <m/>
    <m/>
    <m/>
    <m/>
    <m/>
    <m/>
    <m/>
    <m/>
    <m/>
    <m/>
    <m/>
    <m/>
    <m/>
  </r>
  <r>
    <m/>
    <x v="5"/>
    <m/>
    <x v="8"/>
    <m/>
    <m/>
    <m/>
    <m/>
    <m/>
    <m/>
    <m/>
    <m/>
    <m/>
    <m/>
    <m/>
    <m/>
    <m/>
    <m/>
    <m/>
    <m/>
  </r>
  <r>
    <m/>
    <x v="5"/>
    <m/>
    <x v="8"/>
    <m/>
    <m/>
    <m/>
    <m/>
    <m/>
    <m/>
    <m/>
    <m/>
    <m/>
    <m/>
    <m/>
    <m/>
    <m/>
    <m/>
    <m/>
    <m/>
  </r>
  <r>
    <m/>
    <x v="5"/>
    <m/>
    <x v="8"/>
    <m/>
    <m/>
    <m/>
    <m/>
    <m/>
    <m/>
    <m/>
    <m/>
    <m/>
    <m/>
    <m/>
    <m/>
    <m/>
    <m/>
    <m/>
    <m/>
  </r>
  <r>
    <m/>
    <x v="5"/>
    <m/>
    <x v="8"/>
    <m/>
    <m/>
    <m/>
    <m/>
    <m/>
    <m/>
    <m/>
    <m/>
    <m/>
    <m/>
    <m/>
    <m/>
    <m/>
    <m/>
    <m/>
    <m/>
  </r>
  <r>
    <m/>
    <x v="5"/>
    <m/>
    <x v="8"/>
    <m/>
    <m/>
    <m/>
    <m/>
    <m/>
    <m/>
    <m/>
    <m/>
    <m/>
    <m/>
    <m/>
    <m/>
    <m/>
    <m/>
    <m/>
    <m/>
  </r>
  <r>
    <m/>
    <x v="5"/>
    <m/>
    <x v="8"/>
    <m/>
    <m/>
    <m/>
    <m/>
    <m/>
    <m/>
    <m/>
    <m/>
    <m/>
    <m/>
    <m/>
    <m/>
    <m/>
    <m/>
    <m/>
    <m/>
  </r>
  <r>
    <m/>
    <x v="5"/>
    <m/>
    <x v="8"/>
    <m/>
    <m/>
    <m/>
    <m/>
    <m/>
    <m/>
    <m/>
    <m/>
    <m/>
    <m/>
    <m/>
    <m/>
    <m/>
    <m/>
    <m/>
    <m/>
  </r>
  <r>
    <m/>
    <x v="5"/>
    <m/>
    <x v="8"/>
    <m/>
    <m/>
    <m/>
    <m/>
    <m/>
    <m/>
    <m/>
    <m/>
    <m/>
    <m/>
    <m/>
    <m/>
    <m/>
    <m/>
    <m/>
    <m/>
  </r>
  <r>
    <m/>
    <x v="5"/>
    <m/>
    <x v="8"/>
    <m/>
    <m/>
    <m/>
    <m/>
    <m/>
    <m/>
    <m/>
    <m/>
    <m/>
    <m/>
    <m/>
    <m/>
    <m/>
    <m/>
    <m/>
    <m/>
  </r>
  <r>
    <m/>
    <x v="5"/>
    <m/>
    <x v="8"/>
    <m/>
    <m/>
    <m/>
    <m/>
    <m/>
    <m/>
    <m/>
    <m/>
    <m/>
    <m/>
    <m/>
    <m/>
    <m/>
    <m/>
    <m/>
    <m/>
  </r>
  <r>
    <m/>
    <x v="5"/>
    <m/>
    <x v="8"/>
    <m/>
    <m/>
    <m/>
    <m/>
    <m/>
    <m/>
    <m/>
    <m/>
    <m/>
    <m/>
    <m/>
    <m/>
    <m/>
    <m/>
    <m/>
    <m/>
  </r>
  <r>
    <m/>
    <x v="5"/>
    <m/>
    <x v="8"/>
    <m/>
    <m/>
    <m/>
    <m/>
    <m/>
    <m/>
    <m/>
    <m/>
    <m/>
    <m/>
    <m/>
    <m/>
    <m/>
    <m/>
    <m/>
    <m/>
  </r>
  <r>
    <m/>
    <x v="5"/>
    <m/>
    <x v="8"/>
    <m/>
    <m/>
    <m/>
    <m/>
    <m/>
    <m/>
    <m/>
    <m/>
    <m/>
    <m/>
    <m/>
    <m/>
    <m/>
    <m/>
    <m/>
    <m/>
  </r>
  <r>
    <m/>
    <x v="5"/>
    <m/>
    <x v="8"/>
    <m/>
    <m/>
    <m/>
    <m/>
    <m/>
    <m/>
    <m/>
    <m/>
    <m/>
    <m/>
    <m/>
    <m/>
    <m/>
    <m/>
    <m/>
    <m/>
  </r>
  <r>
    <m/>
    <x v="5"/>
    <m/>
    <x v="8"/>
    <m/>
    <m/>
    <m/>
    <m/>
    <m/>
    <m/>
    <m/>
    <m/>
    <m/>
    <m/>
    <m/>
    <m/>
    <m/>
    <m/>
    <m/>
    <m/>
  </r>
  <r>
    <m/>
    <x v="5"/>
    <m/>
    <x v="8"/>
    <m/>
    <m/>
    <m/>
    <m/>
    <m/>
    <m/>
    <m/>
    <m/>
    <m/>
    <m/>
    <m/>
    <m/>
    <m/>
    <m/>
    <m/>
    <m/>
  </r>
  <r>
    <m/>
    <x v="5"/>
    <m/>
    <x v="8"/>
    <m/>
    <m/>
    <m/>
    <m/>
    <m/>
    <m/>
    <m/>
    <m/>
    <m/>
    <m/>
    <m/>
    <m/>
    <m/>
    <m/>
    <m/>
    <m/>
  </r>
  <r>
    <m/>
    <x v="5"/>
    <m/>
    <x v="8"/>
    <m/>
    <m/>
    <m/>
    <m/>
    <m/>
    <m/>
    <m/>
    <m/>
    <m/>
    <m/>
    <m/>
    <m/>
    <m/>
    <m/>
    <m/>
    <m/>
  </r>
  <r>
    <m/>
    <x v="5"/>
    <m/>
    <x v="8"/>
    <m/>
    <m/>
    <m/>
    <m/>
    <m/>
    <m/>
    <m/>
    <m/>
    <m/>
    <m/>
    <m/>
    <m/>
    <m/>
    <m/>
    <m/>
    <m/>
  </r>
  <r>
    <m/>
    <x v="5"/>
    <m/>
    <x v="8"/>
    <m/>
    <m/>
    <m/>
    <m/>
    <m/>
    <m/>
    <m/>
    <m/>
    <m/>
    <m/>
    <m/>
    <m/>
    <m/>
    <m/>
    <m/>
    <m/>
  </r>
  <r>
    <m/>
    <x v="5"/>
    <m/>
    <x v="8"/>
    <m/>
    <m/>
    <m/>
    <m/>
    <m/>
    <m/>
    <m/>
    <m/>
    <m/>
    <m/>
    <m/>
    <m/>
    <m/>
    <m/>
    <m/>
    <m/>
  </r>
  <r>
    <m/>
    <x v="5"/>
    <m/>
    <x v="8"/>
    <m/>
    <m/>
    <m/>
    <m/>
    <m/>
    <m/>
    <m/>
    <m/>
    <m/>
    <m/>
    <m/>
    <m/>
    <m/>
    <m/>
    <m/>
    <m/>
  </r>
  <r>
    <m/>
    <x v="5"/>
    <m/>
    <x v="8"/>
    <m/>
    <m/>
    <m/>
    <m/>
    <m/>
    <m/>
    <m/>
    <m/>
    <m/>
    <m/>
    <m/>
    <m/>
    <m/>
    <m/>
    <m/>
    <m/>
  </r>
  <r>
    <m/>
    <x v="5"/>
    <m/>
    <x v="8"/>
    <m/>
    <m/>
    <m/>
    <m/>
    <m/>
    <m/>
    <m/>
    <m/>
    <m/>
    <m/>
    <m/>
    <m/>
    <m/>
    <m/>
    <m/>
    <m/>
  </r>
  <r>
    <m/>
    <x v="5"/>
    <m/>
    <x v="8"/>
    <m/>
    <m/>
    <m/>
    <m/>
    <m/>
    <m/>
    <m/>
    <m/>
    <m/>
    <m/>
    <m/>
    <m/>
    <m/>
    <m/>
    <m/>
    <m/>
  </r>
  <r>
    <m/>
    <x v="5"/>
    <m/>
    <x v="8"/>
    <m/>
    <m/>
    <m/>
    <m/>
    <m/>
    <m/>
    <m/>
    <m/>
    <m/>
    <m/>
    <m/>
    <m/>
    <m/>
    <m/>
    <m/>
    <m/>
  </r>
  <r>
    <m/>
    <x v="5"/>
    <m/>
    <x v="8"/>
    <m/>
    <m/>
    <m/>
    <m/>
    <m/>
    <m/>
    <m/>
    <m/>
    <m/>
    <m/>
    <m/>
    <m/>
    <m/>
    <m/>
    <m/>
    <m/>
  </r>
  <r>
    <m/>
    <x v="5"/>
    <m/>
    <x v="8"/>
    <m/>
    <m/>
    <m/>
    <m/>
    <m/>
    <m/>
    <m/>
    <m/>
    <m/>
    <m/>
    <m/>
    <m/>
    <m/>
    <m/>
    <m/>
    <m/>
  </r>
  <r>
    <m/>
    <x v="5"/>
    <m/>
    <x v="8"/>
    <m/>
    <m/>
    <m/>
    <m/>
    <m/>
    <m/>
    <m/>
    <m/>
    <m/>
    <m/>
    <m/>
    <m/>
    <m/>
    <m/>
    <m/>
    <m/>
  </r>
  <r>
    <m/>
    <x v="5"/>
    <m/>
    <x v="8"/>
    <m/>
    <m/>
    <m/>
    <m/>
    <m/>
    <m/>
    <m/>
    <m/>
    <m/>
    <m/>
    <m/>
    <m/>
    <m/>
    <m/>
    <m/>
    <m/>
  </r>
  <r>
    <m/>
    <x v="5"/>
    <m/>
    <x v="8"/>
    <m/>
    <m/>
    <m/>
    <m/>
    <m/>
    <m/>
    <m/>
    <m/>
    <m/>
    <m/>
    <m/>
    <m/>
    <m/>
    <m/>
    <m/>
    <m/>
  </r>
  <r>
    <m/>
    <x v="5"/>
    <m/>
    <x v="8"/>
    <m/>
    <m/>
    <m/>
    <m/>
    <m/>
    <m/>
    <m/>
    <m/>
    <m/>
    <m/>
    <m/>
    <m/>
    <m/>
    <m/>
    <m/>
    <m/>
  </r>
  <r>
    <m/>
    <x v="5"/>
    <m/>
    <x v="8"/>
    <m/>
    <m/>
    <m/>
    <m/>
    <m/>
    <m/>
    <m/>
    <m/>
    <m/>
    <m/>
    <m/>
    <m/>
    <m/>
    <m/>
    <m/>
    <m/>
  </r>
  <r>
    <m/>
    <x v="5"/>
    <m/>
    <x v="8"/>
    <m/>
    <m/>
    <m/>
    <m/>
    <m/>
    <m/>
    <m/>
    <m/>
    <m/>
    <m/>
    <m/>
    <m/>
    <m/>
    <m/>
    <m/>
    <m/>
  </r>
  <r>
    <m/>
    <x v="5"/>
    <m/>
    <x v="8"/>
    <m/>
    <m/>
    <m/>
    <m/>
    <m/>
    <m/>
    <m/>
    <m/>
    <m/>
    <m/>
    <m/>
    <m/>
    <m/>
    <m/>
    <m/>
    <m/>
  </r>
  <r>
    <m/>
    <x v="5"/>
    <m/>
    <x v="8"/>
    <m/>
    <m/>
    <m/>
    <m/>
    <m/>
    <m/>
    <m/>
    <m/>
    <m/>
    <m/>
    <m/>
    <m/>
    <m/>
    <m/>
    <m/>
    <m/>
  </r>
  <r>
    <m/>
    <x v="5"/>
    <m/>
    <x v="8"/>
    <m/>
    <m/>
    <m/>
    <m/>
    <m/>
    <m/>
    <m/>
    <m/>
    <m/>
    <m/>
    <m/>
    <m/>
    <m/>
    <m/>
    <m/>
    <m/>
  </r>
  <r>
    <m/>
    <x v="5"/>
    <m/>
    <x v="8"/>
    <m/>
    <m/>
    <m/>
    <m/>
    <m/>
    <m/>
    <m/>
    <m/>
    <m/>
    <m/>
    <m/>
    <m/>
    <m/>
    <m/>
    <m/>
    <m/>
  </r>
  <r>
    <m/>
    <x v="5"/>
    <m/>
    <x v="8"/>
    <m/>
    <m/>
    <m/>
    <m/>
    <m/>
    <m/>
    <m/>
    <m/>
    <m/>
    <m/>
    <m/>
    <m/>
    <m/>
    <m/>
    <m/>
    <m/>
  </r>
  <r>
    <m/>
    <x v="5"/>
    <m/>
    <x v="8"/>
    <m/>
    <m/>
    <m/>
    <m/>
    <m/>
    <m/>
    <m/>
    <m/>
    <m/>
    <m/>
    <m/>
    <m/>
    <m/>
    <m/>
    <m/>
    <m/>
  </r>
  <r>
    <m/>
    <x v="5"/>
    <m/>
    <x v="8"/>
    <m/>
    <m/>
    <m/>
    <m/>
    <m/>
    <m/>
    <m/>
    <m/>
    <m/>
    <m/>
    <m/>
    <m/>
    <m/>
    <m/>
    <m/>
    <m/>
  </r>
  <r>
    <m/>
    <x v="5"/>
    <m/>
    <x v="8"/>
    <m/>
    <m/>
    <m/>
    <m/>
    <m/>
    <m/>
    <m/>
    <m/>
    <m/>
    <m/>
    <m/>
    <m/>
    <m/>
    <m/>
    <m/>
    <m/>
  </r>
  <r>
    <m/>
    <x v="5"/>
    <m/>
    <x v="8"/>
    <m/>
    <m/>
    <m/>
    <m/>
    <m/>
    <m/>
    <m/>
    <m/>
    <m/>
    <m/>
    <m/>
    <m/>
    <m/>
    <m/>
    <m/>
    <m/>
  </r>
  <r>
    <m/>
    <x v="5"/>
    <m/>
    <x v="8"/>
    <m/>
    <m/>
    <m/>
    <m/>
    <m/>
    <m/>
    <m/>
    <m/>
    <m/>
    <m/>
    <m/>
    <m/>
    <m/>
    <m/>
    <m/>
    <m/>
  </r>
  <r>
    <m/>
    <x v="5"/>
    <m/>
    <x v="8"/>
    <m/>
    <m/>
    <m/>
    <m/>
    <m/>
    <m/>
    <m/>
    <m/>
    <m/>
    <m/>
    <m/>
    <m/>
    <m/>
    <m/>
    <m/>
    <m/>
  </r>
  <r>
    <m/>
    <x v="5"/>
    <m/>
    <x v="8"/>
    <m/>
    <m/>
    <m/>
    <m/>
    <m/>
    <m/>
    <m/>
    <m/>
    <m/>
    <m/>
    <m/>
    <m/>
    <m/>
    <m/>
    <m/>
    <m/>
  </r>
  <r>
    <m/>
    <x v="5"/>
    <m/>
    <x v="8"/>
    <m/>
    <m/>
    <m/>
    <m/>
    <m/>
    <m/>
    <m/>
    <m/>
    <m/>
    <m/>
    <m/>
    <m/>
    <m/>
    <m/>
    <m/>
    <m/>
  </r>
  <r>
    <m/>
    <x v="5"/>
    <m/>
    <x v="8"/>
    <m/>
    <m/>
    <m/>
    <m/>
    <m/>
    <m/>
    <m/>
    <m/>
    <m/>
    <m/>
    <m/>
    <m/>
    <m/>
    <m/>
    <m/>
    <m/>
  </r>
  <r>
    <m/>
    <x v="5"/>
    <m/>
    <x v="8"/>
    <m/>
    <m/>
    <m/>
    <m/>
    <m/>
    <m/>
    <m/>
    <m/>
    <m/>
    <m/>
    <m/>
    <m/>
    <m/>
    <m/>
    <m/>
    <m/>
  </r>
  <r>
    <m/>
    <x v="5"/>
    <m/>
    <x v="8"/>
    <m/>
    <m/>
    <m/>
    <m/>
    <m/>
    <m/>
    <m/>
    <m/>
    <m/>
    <m/>
    <m/>
    <m/>
    <m/>
    <m/>
    <m/>
    <m/>
  </r>
  <r>
    <m/>
    <x v="5"/>
    <m/>
    <x v="8"/>
    <m/>
    <m/>
    <m/>
    <m/>
    <m/>
    <m/>
    <m/>
    <m/>
    <m/>
    <m/>
    <m/>
    <m/>
    <m/>
    <m/>
    <m/>
    <m/>
  </r>
  <r>
    <m/>
    <x v="5"/>
    <m/>
    <x v="8"/>
    <m/>
    <m/>
    <m/>
    <m/>
    <m/>
    <m/>
    <m/>
    <m/>
    <m/>
    <m/>
    <m/>
    <m/>
    <m/>
    <m/>
    <m/>
    <m/>
  </r>
  <r>
    <m/>
    <x v="5"/>
    <m/>
    <x v="8"/>
    <m/>
    <m/>
    <m/>
    <m/>
    <m/>
    <m/>
    <m/>
    <m/>
    <m/>
    <m/>
    <m/>
    <m/>
    <m/>
    <m/>
    <m/>
    <m/>
  </r>
  <r>
    <m/>
    <x v="5"/>
    <m/>
    <x v="8"/>
    <m/>
    <m/>
    <m/>
    <m/>
    <m/>
    <m/>
    <m/>
    <m/>
    <m/>
    <m/>
    <m/>
    <m/>
    <m/>
    <m/>
    <m/>
    <m/>
  </r>
  <r>
    <m/>
    <x v="5"/>
    <m/>
    <x v="8"/>
    <m/>
    <m/>
    <m/>
    <m/>
    <m/>
    <m/>
    <m/>
    <m/>
    <m/>
    <m/>
    <m/>
    <m/>
    <m/>
    <m/>
    <m/>
    <m/>
  </r>
  <r>
    <m/>
    <x v="5"/>
    <m/>
    <x v="8"/>
    <m/>
    <m/>
    <m/>
    <m/>
    <m/>
    <m/>
    <m/>
    <m/>
    <m/>
    <m/>
    <m/>
    <m/>
    <m/>
    <m/>
    <m/>
    <m/>
  </r>
  <r>
    <m/>
    <x v="5"/>
    <m/>
    <x v="8"/>
    <m/>
    <m/>
    <m/>
    <m/>
    <m/>
    <m/>
    <m/>
    <m/>
    <m/>
    <m/>
    <m/>
    <m/>
    <m/>
    <m/>
    <m/>
    <m/>
  </r>
  <r>
    <m/>
    <x v="5"/>
    <m/>
    <x v="8"/>
    <m/>
    <m/>
    <m/>
    <m/>
    <m/>
    <m/>
    <m/>
    <m/>
    <m/>
    <m/>
    <m/>
    <m/>
    <m/>
    <m/>
    <m/>
    <m/>
  </r>
  <r>
    <m/>
    <x v="5"/>
    <m/>
    <x v="8"/>
    <m/>
    <m/>
    <m/>
    <m/>
    <m/>
    <m/>
    <m/>
    <m/>
    <m/>
    <m/>
    <m/>
    <m/>
    <m/>
    <m/>
    <m/>
    <m/>
  </r>
  <r>
    <m/>
    <x v="5"/>
    <m/>
    <x v="8"/>
    <m/>
    <m/>
    <m/>
    <m/>
    <m/>
    <m/>
    <m/>
    <m/>
    <m/>
    <m/>
    <m/>
    <m/>
    <m/>
    <m/>
    <m/>
    <m/>
  </r>
  <r>
    <m/>
    <x v="5"/>
    <m/>
    <x v="8"/>
    <m/>
    <m/>
    <m/>
    <m/>
    <m/>
    <m/>
    <m/>
    <m/>
    <m/>
    <m/>
    <m/>
    <m/>
    <m/>
    <m/>
    <m/>
    <m/>
  </r>
  <r>
    <m/>
    <x v="5"/>
    <m/>
    <x v="8"/>
    <m/>
    <m/>
    <m/>
    <m/>
    <m/>
    <m/>
    <m/>
    <m/>
    <m/>
    <m/>
    <m/>
    <m/>
    <m/>
    <m/>
    <m/>
    <m/>
  </r>
  <r>
    <m/>
    <x v="5"/>
    <m/>
    <x v="8"/>
    <m/>
    <m/>
    <m/>
    <m/>
    <m/>
    <m/>
    <m/>
    <m/>
    <m/>
    <m/>
    <m/>
    <m/>
    <m/>
    <m/>
    <m/>
    <m/>
  </r>
  <r>
    <m/>
    <x v="5"/>
    <m/>
    <x v="8"/>
    <m/>
    <m/>
    <m/>
    <m/>
    <m/>
    <m/>
    <m/>
    <m/>
    <m/>
    <m/>
    <m/>
    <m/>
    <m/>
    <m/>
    <m/>
    <m/>
  </r>
  <r>
    <m/>
    <x v="5"/>
    <m/>
    <x v="8"/>
    <m/>
    <m/>
    <m/>
    <m/>
    <m/>
    <m/>
    <m/>
    <m/>
    <m/>
    <m/>
    <m/>
    <m/>
    <m/>
    <m/>
    <m/>
    <m/>
  </r>
  <r>
    <m/>
    <x v="5"/>
    <m/>
    <x v="8"/>
    <m/>
    <m/>
    <m/>
    <m/>
    <m/>
    <m/>
    <m/>
    <m/>
    <m/>
    <m/>
    <m/>
    <m/>
    <m/>
    <m/>
    <m/>
    <m/>
  </r>
  <r>
    <m/>
    <x v="5"/>
    <m/>
    <x v="8"/>
    <m/>
    <m/>
    <m/>
    <m/>
    <m/>
    <m/>
    <m/>
    <m/>
    <m/>
    <m/>
    <m/>
    <m/>
    <m/>
    <m/>
    <m/>
    <m/>
  </r>
  <r>
    <m/>
    <x v="5"/>
    <m/>
    <x v="8"/>
    <m/>
    <m/>
    <m/>
    <m/>
    <m/>
    <m/>
    <m/>
    <m/>
    <m/>
    <m/>
    <m/>
    <m/>
    <m/>
    <m/>
    <m/>
    <m/>
  </r>
  <r>
    <m/>
    <x v="5"/>
    <m/>
    <x v="8"/>
    <m/>
    <m/>
    <m/>
    <m/>
    <m/>
    <m/>
    <m/>
    <m/>
    <m/>
    <m/>
    <m/>
    <m/>
    <m/>
    <m/>
    <m/>
    <m/>
  </r>
  <r>
    <m/>
    <x v="5"/>
    <m/>
    <x v="8"/>
    <m/>
    <m/>
    <m/>
    <m/>
    <m/>
    <m/>
    <m/>
    <m/>
    <m/>
    <m/>
    <m/>
    <m/>
    <m/>
    <m/>
    <m/>
    <m/>
  </r>
  <r>
    <m/>
    <x v="5"/>
    <m/>
    <x v="8"/>
    <m/>
    <m/>
    <m/>
    <m/>
    <m/>
    <m/>
    <m/>
    <m/>
    <m/>
    <m/>
    <m/>
    <m/>
    <m/>
    <m/>
    <m/>
    <m/>
  </r>
  <r>
    <m/>
    <x v="5"/>
    <m/>
    <x v="8"/>
    <m/>
    <m/>
    <m/>
    <m/>
    <m/>
    <m/>
    <m/>
    <m/>
    <m/>
    <m/>
    <m/>
    <m/>
    <m/>
    <m/>
    <m/>
    <m/>
  </r>
  <r>
    <m/>
    <x v="5"/>
    <m/>
    <x v="8"/>
    <m/>
    <m/>
    <m/>
    <m/>
    <m/>
    <m/>
    <m/>
    <m/>
    <m/>
    <m/>
    <m/>
    <m/>
    <m/>
    <m/>
    <m/>
    <m/>
  </r>
  <r>
    <m/>
    <x v="5"/>
    <m/>
    <x v="8"/>
    <m/>
    <m/>
    <m/>
    <m/>
    <m/>
    <m/>
    <m/>
    <m/>
    <m/>
    <m/>
    <m/>
    <m/>
    <m/>
    <m/>
    <m/>
    <m/>
  </r>
  <r>
    <m/>
    <x v="5"/>
    <m/>
    <x v="8"/>
    <m/>
    <m/>
    <m/>
    <m/>
    <m/>
    <m/>
    <m/>
    <m/>
    <m/>
    <m/>
    <m/>
    <m/>
    <m/>
    <m/>
    <m/>
    <m/>
  </r>
  <r>
    <m/>
    <x v="5"/>
    <m/>
    <x v="8"/>
    <m/>
    <m/>
    <m/>
    <m/>
    <m/>
    <m/>
    <m/>
    <m/>
    <m/>
    <m/>
    <m/>
    <m/>
    <m/>
    <m/>
    <m/>
    <m/>
  </r>
  <r>
    <m/>
    <x v="5"/>
    <m/>
    <x v="8"/>
    <m/>
    <m/>
    <m/>
    <m/>
    <m/>
    <m/>
    <m/>
    <m/>
    <m/>
    <m/>
    <m/>
    <m/>
    <m/>
    <m/>
    <m/>
    <m/>
  </r>
  <r>
    <m/>
    <x v="5"/>
    <m/>
    <x v="8"/>
    <m/>
    <m/>
    <m/>
    <m/>
    <m/>
    <m/>
    <m/>
    <m/>
    <m/>
    <m/>
    <m/>
    <m/>
    <m/>
    <m/>
    <m/>
    <m/>
  </r>
  <r>
    <m/>
    <x v="5"/>
    <m/>
    <x v="8"/>
    <m/>
    <m/>
    <m/>
    <m/>
    <m/>
    <m/>
    <m/>
    <m/>
    <m/>
    <m/>
    <m/>
    <m/>
    <m/>
    <m/>
    <m/>
    <m/>
  </r>
  <r>
    <m/>
    <x v="5"/>
    <m/>
    <x v="8"/>
    <m/>
    <m/>
    <m/>
    <m/>
    <m/>
    <m/>
    <m/>
    <m/>
    <m/>
    <m/>
    <m/>
    <m/>
    <m/>
    <m/>
    <m/>
    <m/>
  </r>
  <r>
    <m/>
    <x v="5"/>
    <m/>
    <x v="8"/>
    <m/>
    <m/>
    <m/>
    <m/>
    <m/>
    <m/>
    <m/>
    <m/>
    <m/>
    <m/>
    <m/>
    <m/>
    <m/>
    <m/>
    <m/>
    <m/>
  </r>
  <r>
    <m/>
    <x v="5"/>
    <m/>
    <x v="8"/>
    <m/>
    <m/>
    <m/>
    <m/>
    <m/>
    <m/>
    <m/>
    <m/>
    <m/>
    <m/>
    <m/>
    <m/>
    <m/>
    <m/>
    <m/>
    <m/>
  </r>
  <r>
    <m/>
    <x v="5"/>
    <m/>
    <x v="8"/>
    <m/>
    <m/>
    <m/>
    <m/>
    <m/>
    <m/>
    <m/>
    <m/>
    <m/>
    <m/>
    <m/>
    <m/>
    <m/>
    <m/>
    <m/>
    <m/>
  </r>
  <r>
    <m/>
    <x v="5"/>
    <m/>
    <x v="8"/>
    <m/>
    <m/>
    <m/>
    <m/>
    <m/>
    <m/>
    <m/>
    <m/>
    <m/>
    <m/>
    <m/>
    <m/>
    <m/>
    <m/>
    <m/>
    <m/>
  </r>
  <r>
    <m/>
    <x v="5"/>
    <m/>
    <x v="8"/>
    <m/>
    <m/>
    <m/>
    <m/>
    <m/>
    <m/>
    <m/>
    <m/>
    <m/>
    <m/>
    <m/>
    <m/>
    <m/>
    <m/>
    <m/>
    <m/>
  </r>
  <r>
    <m/>
    <x v="5"/>
    <m/>
    <x v="8"/>
    <m/>
    <m/>
    <m/>
    <m/>
    <m/>
    <m/>
    <m/>
    <m/>
    <m/>
    <m/>
    <m/>
    <m/>
    <m/>
    <m/>
    <m/>
    <m/>
  </r>
  <r>
    <m/>
    <x v="5"/>
    <m/>
    <x v="8"/>
    <m/>
    <m/>
    <m/>
    <m/>
    <m/>
    <m/>
    <m/>
    <m/>
    <m/>
    <m/>
    <m/>
    <m/>
    <m/>
    <m/>
    <m/>
    <m/>
  </r>
  <r>
    <m/>
    <x v="5"/>
    <m/>
    <x v="8"/>
    <m/>
    <m/>
    <m/>
    <m/>
    <m/>
    <m/>
    <m/>
    <m/>
    <m/>
    <m/>
    <m/>
    <m/>
    <m/>
    <m/>
    <m/>
    <m/>
  </r>
  <r>
    <m/>
    <x v="5"/>
    <m/>
    <x v="8"/>
    <m/>
    <m/>
    <m/>
    <m/>
    <m/>
    <m/>
    <m/>
    <m/>
    <m/>
    <m/>
    <m/>
    <m/>
    <m/>
    <m/>
    <m/>
    <m/>
  </r>
  <r>
    <m/>
    <x v="5"/>
    <m/>
    <x v="8"/>
    <m/>
    <m/>
    <m/>
    <m/>
    <m/>
    <m/>
    <m/>
    <m/>
    <m/>
    <m/>
    <m/>
    <m/>
    <m/>
    <m/>
    <m/>
    <m/>
  </r>
  <r>
    <m/>
    <x v="5"/>
    <m/>
    <x v="8"/>
    <m/>
    <m/>
    <m/>
    <m/>
    <m/>
    <m/>
    <m/>
    <m/>
    <m/>
    <m/>
    <m/>
    <m/>
    <m/>
    <m/>
    <m/>
    <m/>
  </r>
  <r>
    <m/>
    <x v="5"/>
    <m/>
    <x v="8"/>
    <m/>
    <m/>
    <m/>
    <m/>
    <m/>
    <m/>
    <m/>
    <m/>
    <m/>
    <m/>
    <m/>
    <m/>
    <m/>
    <m/>
    <m/>
    <m/>
  </r>
  <r>
    <m/>
    <x v="5"/>
    <m/>
    <x v="8"/>
    <m/>
    <m/>
    <m/>
    <m/>
    <m/>
    <m/>
    <m/>
    <m/>
    <m/>
    <m/>
    <m/>
    <m/>
    <m/>
    <m/>
    <m/>
    <m/>
  </r>
  <r>
    <m/>
    <x v="5"/>
    <m/>
    <x v="8"/>
    <m/>
    <m/>
    <m/>
    <m/>
    <m/>
    <m/>
    <m/>
    <m/>
    <m/>
    <m/>
    <m/>
    <m/>
    <m/>
    <m/>
    <m/>
    <m/>
  </r>
  <r>
    <m/>
    <x v="5"/>
    <m/>
    <x v="8"/>
    <m/>
    <m/>
    <m/>
    <m/>
    <m/>
    <m/>
    <m/>
    <m/>
    <m/>
    <m/>
    <m/>
    <m/>
    <m/>
    <m/>
    <m/>
    <m/>
  </r>
  <r>
    <m/>
    <x v="5"/>
    <m/>
    <x v="8"/>
    <m/>
    <m/>
    <m/>
    <m/>
    <m/>
    <m/>
    <m/>
    <m/>
    <m/>
    <m/>
    <m/>
    <m/>
    <m/>
    <m/>
    <m/>
    <m/>
  </r>
  <r>
    <m/>
    <x v="5"/>
    <m/>
    <x v="8"/>
    <m/>
    <m/>
    <m/>
    <m/>
    <m/>
    <m/>
    <m/>
    <m/>
    <m/>
    <m/>
    <m/>
    <m/>
    <m/>
    <m/>
    <m/>
    <m/>
  </r>
  <r>
    <m/>
    <x v="5"/>
    <m/>
    <x v="8"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48">
  <r>
    <s v="BITS"/>
    <x v="0"/>
    <n v="1"/>
    <x v="0"/>
    <x v="0"/>
    <n v="126436"/>
    <s v="Gadus morhua"/>
    <n v="0"/>
    <n v="5.5E-2"/>
    <n v="0.58069999999999999"/>
    <n v="1.0543"/>
    <n v="7.7100000000000002E-2"/>
    <n v="0.10290000000000001"/>
    <n v="0"/>
    <n v="0"/>
    <n v="0"/>
    <n v="0"/>
    <n v="0"/>
    <n v="20190103"/>
    <n v="1.8699999999999999"/>
  </r>
  <r>
    <s v="BITS"/>
    <x v="0"/>
    <n v="1"/>
    <x v="0"/>
    <x v="1"/>
    <n v="126436"/>
    <s v="Gadus morhua"/>
    <n v="0"/>
    <n v="0"/>
    <n v="4.18"/>
    <n v="0"/>
    <n v="0"/>
    <n v="0"/>
    <n v="0"/>
    <n v="0"/>
    <n v="0"/>
    <n v="0"/>
    <n v="0"/>
    <n v="20190103"/>
    <n v="4.18"/>
  </r>
  <r>
    <s v="BITS"/>
    <x v="0"/>
    <n v="1"/>
    <x v="0"/>
    <x v="2"/>
    <n v="126436"/>
    <s v="Gadus morhua"/>
    <n v="0"/>
    <n v="1.5024"/>
    <n v="5.9086999999999996"/>
    <n v="1.3263"/>
    <n v="3.9020000000000001"/>
    <n v="2.3565"/>
    <n v="9.7900000000000001E-2"/>
    <n v="5.0799999999999998E-2"/>
    <n v="0"/>
    <n v="0"/>
    <n v="0"/>
    <n v="20190103"/>
    <n v="15.144599999999999"/>
  </r>
  <r>
    <s v="BITS"/>
    <x v="0"/>
    <n v="1"/>
    <x v="1"/>
    <x v="3"/>
    <n v="126436"/>
    <s v="Gadus morhua"/>
    <n v="0"/>
    <n v="0.3831"/>
    <n v="1.1472"/>
    <n v="0.22509999999999999"/>
    <n v="1.2217"/>
    <n v="0.40660000000000002"/>
    <n v="0.20349999999999999"/>
    <n v="0"/>
    <n v="0"/>
    <n v="0"/>
    <n v="0"/>
    <n v="20190103"/>
    <n v="3.5872000000000002"/>
  </r>
  <r>
    <s v="BITS"/>
    <x v="0"/>
    <n v="1"/>
    <x v="1"/>
    <x v="2"/>
    <n v="126436"/>
    <s v="Gadus morhua"/>
    <n v="0"/>
    <n v="0.43219999999999997"/>
    <n v="8.3065999999999995"/>
    <n v="16.882200000000001"/>
    <n v="4.3868999999999998"/>
    <n v="1.0607"/>
    <n v="0.26640000000000003"/>
    <n v="2.75E-2"/>
    <n v="0"/>
    <n v="0"/>
    <n v="0"/>
    <n v="20190103"/>
    <n v="31.362500000000004"/>
  </r>
  <r>
    <s v="BITS"/>
    <x v="0"/>
    <n v="1"/>
    <x v="2"/>
    <x v="3"/>
    <n v="126436"/>
    <s v="Gadus morhua"/>
    <n v="0"/>
    <n v="0"/>
    <n v="107.9218"/>
    <n v="89.459800000000001"/>
    <n v="45.296799999999998"/>
    <n v="3.9308000000000001"/>
    <n v="0"/>
    <n v="0"/>
    <n v="0"/>
    <n v="0"/>
    <n v="0"/>
    <n v="20190103"/>
    <n v="246.60919999999999"/>
  </r>
  <r>
    <s v="BITS"/>
    <x v="0"/>
    <n v="1"/>
    <x v="2"/>
    <x v="2"/>
    <n v="126436"/>
    <s v="Gadus morhua"/>
    <n v="0"/>
    <n v="0"/>
    <n v="1.5732999999999999"/>
    <n v="1.4"/>
    <n v="5.9226999999999999"/>
    <n v="3.3239999999999998"/>
    <n v="0"/>
    <n v="0"/>
    <n v="0"/>
    <n v="0"/>
    <n v="0"/>
    <n v="20190103"/>
    <n v="12.22"/>
  </r>
  <r>
    <s v="BITS"/>
    <x v="0"/>
    <n v="1"/>
    <x v="3"/>
    <x v="0"/>
    <n v="126436"/>
    <s v="Gadus morhua"/>
    <n v="0"/>
    <n v="4.1344000000000003"/>
    <n v="0"/>
    <n v="742.44100000000003"/>
    <n v="469.57499999999999"/>
    <n v="0"/>
    <n v="0"/>
    <n v="0"/>
    <n v="0"/>
    <n v="0"/>
    <n v="0"/>
    <n v="20190103"/>
    <n v="1216.1504"/>
  </r>
  <r>
    <s v="BITS"/>
    <x v="0"/>
    <n v="1"/>
    <x v="3"/>
    <x v="3"/>
    <n v="126436"/>
    <s v="Gadus morhua"/>
    <n v="0"/>
    <n v="0"/>
    <n v="0"/>
    <n v="18.312000000000001"/>
    <n v="26.16"/>
    <n v="0"/>
    <n v="0"/>
    <n v="0"/>
    <n v="0"/>
    <n v="0"/>
    <n v="0"/>
    <n v="20190103"/>
    <n v="44.472000000000001"/>
  </r>
  <r>
    <s v="BITS"/>
    <x v="0"/>
    <n v="1"/>
    <x v="3"/>
    <x v="2"/>
    <n v="126436"/>
    <s v="Gadus morhua"/>
    <n v="0"/>
    <n v="0.73329999999999995"/>
    <n v="0"/>
    <n v="211.8587"/>
    <n v="116.2617"/>
    <n v="0"/>
    <n v="0"/>
    <n v="0"/>
    <n v="0"/>
    <n v="0"/>
    <n v="0"/>
    <n v="20190103"/>
    <n v="328.8537"/>
  </r>
  <r>
    <s v="BITS"/>
    <x v="0"/>
    <n v="1"/>
    <x v="4"/>
    <x v="0"/>
    <n v="126436"/>
    <s v="Gadus morhua"/>
    <n v="0"/>
    <n v="14.610099999999999"/>
    <n v="812.86019999999996"/>
    <n v="1006.7113000000001"/>
    <n v="409.51100000000002"/>
    <n v="44.914200000000001"/>
    <n v="3.1815000000000002"/>
    <n v="0.83560000000000001"/>
    <n v="0.41049999999999998"/>
    <n v="0"/>
    <n v="0"/>
    <n v="20190103"/>
    <n v="2293.0344"/>
  </r>
  <r>
    <s v="BITS"/>
    <x v="0"/>
    <n v="1"/>
    <x v="4"/>
    <x v="1"/>
    <n v="126436"/>
    <s v="Gadus morhua"/>
    <n v="0"/>
    <n v="2.4045000000000001"/>
    <n v="471.30650000000003"/>
    <n v="741.42529999999999"/>
    <n v="337.77870000000001"/>
    <n v="31.090299999999999"/>
    <n v="1.7542"/>
    <n v="0.63129999999999997"/>
    <n v="0.16089999999999999"/>
    <n v="0"/>
    <n v="0"/>
    <n v="20190103"/>
    <n v="1586.5517000000004"/>
  </r>
  <r>
    <s v="BITS"/>
    <x v="0"/>
    <n v="1"/>
    <x v="4"/>
    <x v="4"/>
    <n v="126436"/>
    <s v="Gadus morhua"/>
    <n v="0"/>
    <n v="0.13070000000000001"/>
    <n v="102.55110000000001"/>
    <n v="559.52139999999997"/>
    <n v="372.16989999999998"/>
    <n v="37.121099999999998"/>
    <n v="2.1522000000000001"/>
    <n v="0.94920000000000004"/>
    <n v="0.4103"/>
    <n v="0"/>
    <n v="0"/>
    <n v="20190103"/>
    <n v="1075.0058999999999"/>
  </r>
  <r>
    <s v="BITS"/>
    <x v="0"/>
    <n v="1"/>
    <x v="4"/>
    <x v="2"/>
    <n v="126436"/>
    <s v="Gadus morhua"/>
    <n v="0"/>
    <n v="0.33329999999999999"/>
    <n v="7.6231"/>
    <n v="169.2835"/>
    <n v="149.62690000000001"/>
    <n v="13.964700000000001"/>
    <n v="0.74009999999999998"/>
    <n v="0.20619999999999999"/>
    <n v="5.5599999999999997E-2"/>
    <n v="0"/>
    <n v="0"/>
    <n v="20190103"/>
    <n v="341.83340000000004"/>
  </r>
  <r>
    <s v="BITS"/>
    <x v="0"/>
    <n v="1"/>
    <x v="5"/>
    <x v="0"/>
    <n v="126436"/>
    <s v="Gadus morhua"/>
    <n v="0"/>
    <n v="13.537699999999999"/>
    <n v="54.408099999999997"/>
    <n v="102.5322"/>
    <n v="75.475399999999993"/>
    <n v="40.125399999999999"/>
    <n v="10.2691"/>
    <n v="0.92120000000000002"/>
    <n v="0.1"/>
    <n v="9.0899999999999995E-2"/>
    <n v="0"/>
    <n v="20190103"/>
    <n v="297.45999999999998"/>
  </r>
  <r>
    <s v="BITS"/>
    <x v="0"/>
    <n v="1"/>
    <x v="5"/>
    <x v="1"/>
    <n v="126436"/>
    <s v="Gadus morhua"/>
    <n v="0"/>
    <n v="2.8618999999999999"/>
    <n v="327.18650000000002"/>
    <n v="233.5667"/>
    <n v="117.6147"/>
    <n v="64.657200000000003"/>
    <n v="13.1927"/>
    <n v="0.62929999999999997"/>
    <n v="0"/>
    <n v="0.1885"/>
    <n v="0"/>
    <n v="20190103"/>
    <n v="759.89749999999981"/>
  </r>
  <r>
    <s v="BITS"/>
    <x v="0"/>
    <n v="1"/>
    <x v="5"/>
    <x v="4"/>
    <n v="126436"/>
    <s v="Gadus morhua"/>
    <n v="0"/>
    <n v="1.6783999999999999"/>
    <n v="198.06880000000001"/>
    <n v="443.61759999999998"/>
    <n v="251.4913"/>
    <n v="145.65379999999999"/>
    <n v="28.7454"/>
    <n v="1.4291"/>
    <n v="0"/>
    <n v="0.25669999999999998"/>
    <n v="0"/>
    <n v="20190103"/>
    <n v="1070.9411"/>
  </r>
  <r>
    <s v="BITS"/>
    <x v="0"/>
    <n v="1"/>
    <x v="5"/>
    <x v="5"/>
    <n v="126436"/>
    <s v="Gadus morhua"/>
    <n v="0"/>
    <n v="0"/>
    <n v="18.069299999999998"/>
    <n v="138.49160000000001"/>
    <n v="98.906099999999995"/>
    <n v="65.174599999999998"/>
    <n v="13.7912"/>
    <n v="2.4763000000000002"/>
    <n v="0.25"/>
    <n v="9.0899999999999995E-2"/>
    <n v="0"/>
    <n v="20190103"/>
    <n v="337.24999999999994"/>
  </r>
  <r>
    <s v="BITS"/>
    <x v="0"/>
    <n v="1"/>
    <x v="5"/>
    <x v="6"/>
    <n v="126436"/>
    <s v="Gadus morhua"/>
    <n v="0"/>
    <n v="0"/>
    <n v="109.0431"/>
    <n v="602.68769999999995"/>
    <n v="503.12009999999998"/>
    <n v="297.65710000000001"/>
    <n v="80.775700000000001"/>
    <n v="8.3526000000000007"/>
    <n v="0"/>
    <n v="2.3635999999999999"/>
    <n v="0"/>
    <n v="20190103"/>
    <n v="1603.9998999999996"/>
  </r>
  <r>
    <s v="BITS"/>
    <x v="0"/>
    <n v="1"/>
    <x v="5"/>
    <x v="2"/>
    <n v="126436"/>
    <s v="Gadus morhua"/>
    <n v="0"/>
    <n v="2.5295999999999998"/>
    <n v="44.688200000000002"/>
    <n v="54.451700000000002"/>
    <n v="28.580500000000001"/>
    <n v="13.0739"/>
    <n v="3.5303"/>
    <n v="0.23860000000000001"/>
    <n v="0"/>
    <n v="4.0399999999999998E-2"/>
    <n v="0"/>
    <n v="20190103"/>
    <n v="147.13320000000002"/>
  </r>
  <r>
    <s v="BITS"/>
    <x v="0"/>
    <n v="1"/>
    <x v="6"/>
    <x v="1"/>
    <n v="126436"/>
    <s v="Gadus morhua"/>
    <n v="0"/>
    <n v="0"/>
    <n v="18.083300000000001"/>
    <n v="15.333299999999999"/>
    <n v="5.5833000000000004"/>
    <n v="1"/>
    <n v="0"/>
    <n v="0"/>
    <n v="0"/>
    <n v="0"/>
    <n v="0"/>
    <n v="20190103"/>
    <n v="39.999900000000004"/>
  </r>
  <r>
    <s v="BITS"/>
    <x v="0"/>
    <n v="1"/>
    <x v="6"/>
    <x v="4"/>
    <n v="126436"/>
    <s v="Gadus morhua"/>
    <n v="0"/>
    <n v="0"/>
    <n v="0"/>
    <n v="0"/>
    <n v="0"/>
    <n v="0"/>
    <n v="0"/>
    <n v="0"/>
    <n v="0"/>
    <n v="0"/>
    <n v="0"/>
    <n v="20190103"/>
    <n v="0"/>
  </r>
  <r>
    <s v="BITS"/>
    <x v="0"/>
    <n v="1"/>
    <x v="6"/>
    <x v="5"/>
    <n v="126436"/>
    <s v="Gadus morhua"/>
    <n v="0"/>
    <n v="0"/>
    <n v="0"/>
    <n v="0"/>
    <n v="0"/>
    <n v="0"/>
    <n v="0"/>
    <n v="0"/>
    <n v="0"/>
    <n v="0"/>
    <n v="0"/>
    <n v="20190103"/>
    <n v="0"/>
  </r>
  <r>
    <s v="BITS"/>
    <x v="0"/>
    <n v="1"/>
    <x v="7"/>
    <x v="0"/>
    <n v="126436"/>
    <s v="Gadus morhua"/>
    <n v="0"/>
    <n v="1"/>
    <n v="4.1666999999999996"/>
    <n v="3"/>
    <n v="0.83330000000000004"/>
    <n v="0"/>
    <n v="0"/>
    <n v="0"/>
    <n v="0"/>
    <n v="0"/>
    <n v="0"/>
    <n v="20190103"/>
    <n v="8.9999999999999982"/>
  </r>
  <r>
    <s v="BITS"/>
    <x v="0"/>
    <n v="1"/>
    <x v="7"/>
    <x v="1"/>
    <n v="126436"/>
    <s v="Gadus morhua"/>
    <n v="0"/>
    <n v="0.44440000000000002"/>
    <n v="18.555499999999999"/>
    <n v="7.0369999999999999"/>
    <n v="3.6295999999999999"/>
    <n v="2.2222"/>
    <n v="1"/>
    <n v="0"/>
    <n v="0"/>
    <n v="0"/>
    <n v="0"/>
    <n v="20190103"/>
    <n v="32.8887"/>
  </r>
  <r>
    <s v="BITS"/>
    <x v="0"/>
    <n v="1"/>
    <x v="7"/>
    <x v="4"/>
    <n v="126436"/>
    <s v="Gadus morhua"/>
    <n v="0"/>
    <n v="0"/>
    <n v="0.57140000000000002"/>
    <n v="1.6667000000000001"/>
    <n v="0.85709999999999997"/>
    <n v="0"/>
    <n v="0.33329999999999999"/>
    <n v="0"/>
    <n v="0"/>
    <n v="0"/>
    <n v="0"/>
    <n v="20190103"/>
    <n v="3.4285000000000001"/>
  </r>
  <r>
    <s v="BITS"/>
    <x v="0"/>
    <n v="1"/>
    <x v="7"/>
    <x v="2"/>
    <n v="126436"/>
    <s v="Gadus morhua"/>
    <n v="0"/>
    <n v="0.33329999999999999"/>
    <n v="0.58330000000000004"/>
    <n v="0.91669999999999996"/>
    <n v="0.38890000000000002"/>
    <n v="0.55559999999999998"/>
    <n v="0.22220000000000001"/>
    <n v="0"/>
    <n v="0"/>
    <n v="0"/>
    <n v="0"/>
    <n v="20190103"/>
    <n v="3"/>
  </r>
  <r>
    <s v="BITS"/>
    <x v="1"/>
    <n v="1"/>
    <x v="0"/>
    <x v="0"/>
    <n v="126436"/>
    <s v="Gadus morhua"/>
    <n v="0"/>
    <n v="13.4221"/>
    <n v="0.76449999999999996"/>
    <n v="0"/>
    <n v="0.40949999999999998"/>
    <n v="7.0499999999999993E-2"/>
    <n v="0"/>
    <n v="0"/>
    <n v="0"/>
    <n v="0"/>
    <n v="0"/>
    <n v="20180408"/>
    <n v="14.666599999999999"/>
  </r>
  <r>
    <s v="BITS"/>
    <x v="1"/>
    <n v="1"/>
    <x v="0"/>
    <x v="1"/>
    <n v="126436"/>
    <s v="Gadus morhua"/>
    <n v="0"/>
    <n v="0"/>
    <n v="0"/>
    <n v="0"/>
    <n v="0"/>
    <n v="0"/>
    <n v="0"/>
    <n v="0"/>
    <n v="0"/>
    <n v="0"/>
    <n v="0"/>
    <n v="20180408"/>
    <n v="0"/>
  </r>
  <r>
    <s v="BITS"/>
    <x v="1"/>
    <n v="1"/>
    <x v="0"/>
    <x v="4"/>
    <n v="126436"/>
    <s v="Gadus morhua"/>
    <n v="0"/>
    <n v="174.059"/>
    <n v="4.681"/>
    <n v="0"/>
    <n v="0.88"/>
    <n v="0"/>
    <n v="0"/>
    <n v="0"/>
    <n v="0"/>
    <n v="0"/>
    <n v="0"/>
    <n v="20180408"/>
    <n v="179.62"/>
  </r>
  <r>
    <s v="BITS"/>
    <x v="1"/>
    <n v="1"/>
    <x v="0"/>
    <x v="2"/>
    <n v="126436"/>
    <s v="Gadus morhua"/>
    <n v="0"/>
    <n v="57.772100000000002"/>
    <n v="2.3443000000000001"/>
    <n v="1.9028"/>
    <n v="4.4630000000000001"/>
    <n v="2.2658999999999998"/>
    <n v="0.48709999999999998"/>
    <n v="0"/>
    <n v="0"/>
    <n v="0"/>
    <n v="0"/>
    <n v="20180408"/>
    <n v="69.235199999999992"/>
  </r>
  <r>
    <s v="BITS"/>
    <x v="1"/>
    <n v="1"/>
    <x v="1"/>
    <x v="3"/>
    <n v="126436"/>
    <s v="Gadus morhua"/>
    <n v="0"/>
    <n v="68.134100000000004"/>
    <n v="2.1372"/>
    <n v="6.7210999999999999"/>
    <n v="1.0707"/>
    <n v="0.33210000000000001"/>
    <n v="0"/>
    <n v="0"/>
    <n v="0"/>
    <n v="0"/>
    <n v="0"/>
    <n v="20180408"/>
    <n v="78.395200000000003"/>
  </r>
  <r>
    <s v="BITS"/>
    <x v="1"/>
    <n v="1"/>
    <x v="1"/>
    <x v="2"/>
    <n v="126436"/>
    <s v="Gadus morhua"/>
    <n v="0"/>
    <n v="135.79679999999999"/>
    <n v="6.0438999999999998"/>
    <n v="22.678599999999999"/>
    <n v="8.7973999999999997"/>
    <n v="4.6131000000000002"/>
    <n v="0.56899999999999995"/>
    <n v="0.39369999999999999"/>
    <n v="0.32669999999999999"/>
    <n v="0"/>
    <n v="0"/>
    <n v="20180408"/>
    <n v="179.21919999999997"/>
  </r>
  <r>
    <s v="BITS"/>
    <x v="1"/>
    <n v="1"/>
    <x v="2"/>
    <x v="3"/>
    <n v="126436"/>
    <s v="Gadus morhua"/>
    <n v="0"/>
    <n v="131.1062"/>
    <n v="110.14449999999999"/>
    <n v="291.92360000000002"/>
    <n v="42.302100000000003"/>
    <n v="3.0196000000000001"/>
    <n v="0"/>
    <n v="0"/>
    <n v="0"/>
    <n v="0"/>
    <n v="0"/>
    <n v="20180408"/>
    <n v="578.49599999999998"/>
  </r>
  <r>
    <s v="BITS"/>
    <x v="1"/>
    <n v="1"/>
    <x v="2"/>
    <x v="2"/>
    <n v="126436"/>
    <s v="Gadus morhua"/>
    <n v="0"/>
    <n v="35.948900000000002"/>
    <n v="29.102799999999998"/>
    <n v="108.0309"/>
    <n v="10.6774"/>
    <n v="1.94"/>
    <n v="0.22"/>
    <n v="0"/>
    <n v="0"/>
    <n v="0"/>
    <n v="0"/>
    <n v="20180408"/>
    <n v="185.92000000000002"/>
  </r>
  <r>
    <s v="BITS"/>
    <x v="1"/>
    <n v="1"/>
    <x v="3"/>
    <x v="0"/>
    <n v="126436"/>
    <s v="Gadus morhua"/>
    <n v="0"/>
    <n v="23.805599999999998"/>
    <n v="380.62869999999998"/>
    <n v="428.47399999999999"/>
    <n v="253.33359999999999"/>
    <n v="102.0153"/>
    <n v="11.2552"/>
    <n v="3.5167999999999999"/>
    <n v="0"/>
    <n v="0"/>
    <n v="0"/>
    <n v="20180408"/>
    <n v="1203.0292000000002"/>
  </r>
  <r>
    <s v="BITS"/>
    <x v="1"/>
    <n v="1"/>
    <x v="3"/>
    <x v="3"/>
    <n v="126436"/>
    <s v="Gadus morhua"/>
    <n v="0"/>
    <n v="53.046199999999999"/>
    <n v="53.099499999999999"/>
    <n v="11.5084"/>
    <n v="10.421900000000001"/>
    <n v="10.348100000000001"/>
    <n v="1.2068000000000001"/>
    <n v="0.36899999999999999"/>
    <n v="0"/>
    <n v="0"/>
    <n v="0"/>
    <n v="20180408"/>
    <n v="139.99989999999997"/>
  </r>
  <r>
    <s v="BITS"/>
    <x v="1"/>
    <n v="1"/>
    <x v="3"/>
    <x v="2"/>
    <n v="126436"/>
    <s v="Gadus morhua"/>
    <n v="0"/>
    <n v="50.02"/>
    <n v="172.2311"/>
    <n v="126.18989999999999"/>
    <n v="85.375799999999998"/>
    <n v="30.677199999999999"/>
    <n v="2.7296"/>
    <n v="0.8911"/>
    <n v="0"/>
    <n v="0"/>
    <n v="0"/>
    <n v="20180408"/>
    <n v="468.11470000000003"/>
  </r>
  <r>
    <s v="BITS"/>
    <x v="1"/>
    <n v="1"/>
    <x v="4"/>
    <x v="0"/>
    <n v="126436"/>
    <s v="Gadus morhua"/>
    <n v="0"/>
    <n v="37.144599999999997"/>
    <n v="254.0686"/>
    <n v="294.06970000000001"/>
    <n v="110.0476"/>
    <n v="25.7605"/>
    <n v="4.1820000000000004"/>
    <n v="0.45040000000000002"/>
    <n v="6.0299999999999999E-2"/>
    <n v="0"/>
    <n v="0"/>
    <n v="20180408"/>
    <n v="725.78369999999995"/>
  </r>
  <r>
    <s v="BITS"/>
    <x v="1"/>
    <n v="1"/>
    <x v="4"/>
    <x v="1"/>
    <n v="126436"/>
    <s v="Gadus morhua"/>
    <n v="0"/>
    <n v="17.157800000000002"/>
    <n v="201.4282"/>
    <n v="416.49130000000002"/>
    <n v="220.46019999999999"/>
    <n v="51.317900000000002"/>
    <n v="8.2119"/>
    <n v="0.50670000000000004"/>
    <n v="5.2299999999999999E-2"/>
    <n v="0"/>
    <n v="0"/>
    <n v="20180408"/>
    <n v="915.62630000000001"/>
  </r>
  <r>
    <s v="BITS"/>
    <x v="1"/>
    <n v="1"/>
    <x v="4"/>
    <x v="4"/>
    <n v="126436"/>
    <s v="Gadus morhua"/>
    <n v="0"/>
    <n v="0.71809999999999996"/>
    <n v="49.7209"/>
    <n v="276.5514"/>
    <n v="236.6474"/>
    <n v="69.703800000000001"/>
    <n v="12.2803"/>
    <n v="0.97399999999999998"/>
    <n v="0.27750000000000002"/>
    <n v="0"/>
    <n v="0"/>
    <n v="20180408"/>
    <n v="646.87340000000006"/>
  </r>
  <r>
    <s v="BITS"/>
    <x v="1"/>
    <n v="1"/>
    <x v="4"/>
    <x v="2"/>
    <n v="126436"/>
    <s v="Gadus morhua"/>
    <n v="0"/>
    <n v="6.9603999999999999"/>
    <n v="12.3203"/>
    <n v="84.109700000000004"/>
    <n v="59.264800000000001"/>
    <n v="11.2986"/>
    <n v="1.6085"/>
    <n v="4.7600000000000003E-2"/>
    <n v="3.3000000000000002E-2"/>
    <n v="0"/>
    <n v="0"/>
    <n v="20180408"/>
    <n v="175.64289999999997"/>
  </r>
  <r>
    <s v="BITS"/>
    <x v="1"/>
    <n v="1"/>
    <x v="5"/>
    <x v="0"/>
    <n v="126436"/>
    <s v="Gadus morhua"/>
    <n v="0"/>
    <n v="27.425899999999999"/>
    <n v="14.7864"/>
    <n v="11.2788"/>
    <n v="10.477"/>
    <n v="8.1727000000000007"/>
    <n v="4.0989000000000004"/>
    <n v="0.85919999999999996"/>
    <n v="0.1915"/>
    <n v="5.9499999999999997E-2"/>
    <n v="0"/>
    <n v="20180408"/>
    <n v="77.349900000000019"/>
  </r>
  <r>
    <s v="BITS"/>
    <x v="1"/>
    <n v="1"/>
    <x v="5"/>
    <x v="1"/>
    <n v="126436"/>
    <s v="Gadus morhua"/>
    <n v="0"/>
    <n v="10.585699999999999"/>
    <n v="54.021000000000001"/>
    <n v="141.5856"/>
    <n v="97.475999999999999"/>
    <n v="58.2913"/>
    <n v="25.4283"/>
    <n v="4.7241999999999997"/>
    <n v="0.61439999999999995"/>
    <n v="0.1333"/>
    <n v="0"/>
    <n v="20180408"/>
    <n v="392.85979999999995"/>
  </r>
  <r>
    <s v="BITS"/>
    <x v="1"/>
    <n v="1"/>
    <x v="5"/>
    <x v="4"/>
    <n v="126436"/>
    <s v="Gadus morhua"/>
    <n v="0"/>
    <n v="2.3313000000000001"/>
    <n v="27.597100000000001"/>
    <n v="166.80529999999999"/>
    <n v="132.39959999999999"/>
    <n v="81.6661"/>
    <n v="35.6935"/>
    <n v="5.2789000000000001"/>
    <n v="0.67679999999999996"/>
    <n v="0.14019999999999999"/>
    <n v="0"/>
    <n v="20180408"/>
    <n v="452.58879999999999"/>
  </r>
  <r>
    <s v="BITS"/>
    <x v="1"/>
    <n v="1"/>
    <x v="5"/>
    <x v="5"/>
    <n v="126436"/>
    <s v="Gadus morhua"/>
    <n v="0"/>
    <n v="6.2778"/>
    <n v="17.716899999999999"/>
    <n v="174.69149999999999"/>
    <n v="171.9461"/>
    <n v="126.551"/>
    <n v="52.028399999999998"/>
    <n v="10.0229"/>
    <n v="1.8369"/>
    <n v="0.17860000000000001"/>
    <n v="0"/>
    <n v="20180408"/>
    <n v="561.25009999999997"/>
  </r>
  <r>
    <s v="BITS"/>
    <x v="1"/>
    <n v="1"/>
    <x v="5"/>
    <x v="2"/>
    <n v="126436"/>
    <s v="Gadus morhua"/>
    <n v="0"/>
    <n v="13.7265"/>
    <n v="4.1921999999999997"/>
    <n v="6.4756999999999998"/>
    <n v="8.5493000000000006"/>
    <n v="7.7798999999999996"/>
    <n v="4.9507000000000003"/>
    <n v="0.9526"/>
    <n v="0.2762"/>
    <n v="9.6799999999999997E-2"/>
    <n v="0"/>
    <n v="20180408"/>
    <n v="46.999899999999997"/>
  </r>
  <r>
    <s v="BITS"/>
    <x v="1"/>
    <n v="1"/>
    <x v="6"/>
    <x v="0"/>
    <n v="126436"/>
    <s v="Gadus morhua"/>
    <n v="0"/>
    <n v="0"/>
    <n v="0"/>
    <n v="1"/>
    <n v="0"/>
    <n v="0"/>
    <n v="0"/>
    <n v="0"/>
    <n v="0"/>
    <n v="0"/>
    <n v="0"/>
    <n v="20180408"/>
    <n v="1"/>
  </r>
  <r>
    <s v="BITS"/>
    <x v="1"/>
    <n v="1"/>
    <x v="6"/>
    <x v="1"/>
    <n v="126436"/>
    <s v="Gadus morhua"/>
    <n v="0"/>
    <n v="0"/>
    <n v="0.16669999999999999"/>
    <n v="6.1238000000000001"/>
    <n v="2.2094999999999998"/>
    <n v="0.5"/>
    <n v="0"/>
    <n v="0"/>
    <n v="0"/>
    <n v="0"/>
    <n v="0"/>
    <n v="20180408"/>
    <n v="9"/>
  </r>
  <r>
    <s v="BITS"/>
    <x v="1"/>
    <n v="1"/>
    <x v="6"/>
    <x v="4"/>
    <n v="126436"/>
    <s v="Gadus morhua"/>
    <n v="0"/>
    <n v="0"/>
    <n v="0"/>
    <n v="0"/>
    <n v="0"/>
    <n v="0"/>
    <n v="0"/>
    <n v="0"/>
    <n v="0"/>
    <n v="0"/>
    <n v="0"/>
    <n v="20180408"/>
    <n v="0"/>
  </r>
  <r>
    <s v="BITS"/>
    <x v="1"/>
    <n v="1"/>
    <x v="6"/>
    <x v="5"/>
    <n v="126436"/>
    <s v="Gadus morhua"/>
    <n v="0"/>
    <n v="0"/>
    <n v="0"/>
    <n v="0"/>
    <n v="0"/>
    <n v="0"/>
    <n v="0"/>
    <n v="0"/>
    <n v="0"/>
    <n v="0"/>
    <n v="0"/>
    <n v="20180408"/>
    <n v="0"/>
  </r>
  <r>
    <s v="BITS"/>
    <x v="1"/>
    <n v="1"/>
    <x v="7"/>
    <x v="0"/>
    <n v="126436"/>
    <s v="Gadus morhua"/>
    <n v="0"/>
    <n v="3.6"/>
    <n v="1.2796000000000001"/>
    <n v="4.0728999999999997"/>
    <n v="3.6452"/>
    <n v="2.6675"/>
    <n v="0.80100000000000005"/>
    <n v="0.1157"/>
    <n v="0"/>
    <n v="1.8200000000000001E-2"/>
    <n v="0"/>
    <n v="20180408"/>
    <n v="16.200099999999999"/>
  </r>
  <r>
    <s v="BITS"/>
    <x v="1"/>
    <n v="1"/>
    <x v="7"/>
    <x v="1"/>
    <n v="126436"/>
    <s v="Gadus morhua"/>
    <n v="0"/>
    <n v="0"/>
    <n v="1.3229"/>
    <n v="5.3677000000000001"/>
    <n v="4.1722000000000001"/>
    <n v="2.92"/>
    <n v="1.2347999999999999"/>
    <n v="0.1641"/>
    <n v="0"/>
    <n v="1.8200000000000001E-2"/>
    <n v="0"/>
    <n v="20180408"/>
    <n v="15.1999"/>
  </r>
  <r>
    <s v="BITS"/>
    <x v="1"/>
    <n v="1"/>
    <x v="7"/>
    <x v="4"/>
    <n v="126436"/>
    <s v="Gadus morhua"/>
    <n v="0"/>
    <n v="0"/>
    <n v="48.4726"/>
    <n v="286.1026"/>
    <n v="155.45769999999999"/>
    <n v="117.0508"/>
    <n v="34.126300000000001"/>
    <n v="7.0080999999999998"/>
    <n v="0.8"/>
    <n v="0.58179999999999998"/>
    <n v="0"/>
    <n v="20180408"/>
    <n v="649.59990000000005"/>
  </r>
  <r>
    <s v="BITS"/>
    <x v="1"/>
    <n v="1"/>
    <x v="7"/>
    <x v="5"/>
    <n v="126436"/>
    <s v="Gadus morhua"/>
    <n v="0"/>
    <n v="0"/>
    <n v="7.3578999999999999"/>
    <n v="50.912100000000002"/>
    <n v="34.494199999999999"/>
    <n v="25.611000000000001"/>
    <n v="8.5338999999999992"/>
    <n v="0.72729999999999995"/>
    <n v="0"/>
    <n v="0.36359999999999998"/>
    <n v="0"/>
    <n v="20180408"/>
    <n v="128"/>
  </r>
  <r>
    <s v="BITS"/>
    <x v="1"/>
    <n v="1"/>
    <x v="7"/>
    <x v="2"/>
    <n v="126436"/>
    <s v="Gadus morhua"/>
    <n v="0"/>
    <n v="0"/>
    <n v="0"/>
    <n v="0"/>
    <n v="0"/>
    <n v="0"/>
    <n v="0"/>
    <n v="0"/>
    <n v="0"/>
    <n v="0"/>
    <n v="0"/>
    <n v="20180408"/>
    <n v="0"/>
  </r>
  <r>
    <s v="BITS"/>
    <x v="2"/>
    <n v="1"/>
    <x v="0"/>
    <x v="0"/>
    <n v="126436"/>
    <s v="Gadus morhua"/>
    <n v="0"/>
    <n v="2.9155000000000002"/>
    <n v="5.4574999999999996"/>
    <n v="0.32700000000000001"/>
    <n v="0.19500000000000001"/>
    <n v="0"/>
    <n v="0"/>
    <n v="0"/>
    <n v="0"/>
    <n v="0"/>
    <n v="0"/>
    <n v="20190305"/>
    <n v="8.8949999999999996"/>
  </r>
  <r>
    <s v="BITS"/>
    <x v="2"/>
    <n v="1"/>
    <x v="0"/>
    <x v="1"/>
    <n v="126436"/>
    <s v="Gadus morhua"/>
    <n v="0"/>
    <n v="0.85399999999999998"/>
    <n v="2.8460000000000001"/>
    <n v="0.87"/>
    <n v="0"/>
    <n v="0"/>
    <n v="0"/>
    <n v="0"/>
    <n v="0"/>
    <n v="0"/>
    <n v="0"/>
    <n v="20190305"/>
    <n v="4.57"/>
  </r>
  <r>
    <s v="BITS"/>
    <x v="2"/>
    <n v="1"/>
    <x v="0"/>
    <x v="2"/>
    <n v="126436"/>
    <s v="Gadus morhua"/>
    <n v="0"/>
    <n v="2.0874999999999999"/>
    <n v="10.0411"/>
    <n v="0.82979999999999998"/>
    <n v="6.8585000000000003"/>
    <n v="2.7608000000000001"/>
    <n v="0.88690000000000002"/>
    <n v="0"/>
    <n v="0"/>
    <n v="0"/>
    <n v="0"/>
    <n v="20190305"/>
    <n v="23.464600000000001"/>
  </r>
  <r>
    <s v="BITS"/>
    <x v="2"/>
    <n v="1"/>
    <x v="1"/>
    <x v="3"/>
    <n v="126436"/>
    <s v="Gadus morhua"/>
    <n v="0"/>
    <n v="0.83279999999999998"/>
    <n v="11.4072"/>
    <n v="0"/>
    <n v="0"/>
    <n v="0"/>
    <n v="0.13200000000000001"/>
    <n v="0"/>
    <n v="0"/>
    <n v="0"/>
    <n v="0"/>
    <n v="20190305"/>
    <n v="12.372"/>
  </r>
  <r>
    <s v="BITS"/>
    <x v="2"/>
    <n v="1"/>
    <x v="1"/>
    <x v="2"/>
    <n v="126436"/>
    <s v="Gadus morhua"/>
    <n v="0"/>
    <n v="3.0366"/>
    <n v="702.12599999999998"/>
    <n v="31.166499999999999"/>
    <n v="15.6785"/>
    <n v="4.7049000000000003"/>
    <n v="0.2107"/>
    <n v="7.6600000000000001E-2"/>
    <n v="4.9399999999999999E-2"/>
    <n v="0"/>
    <n v="0"/>
    <n v="20190305"/>
    <n v="757.04919999999993"/>
  </r>
  <r>
    <s v="BITS"/>
    <x v="2"/>
    <n v="1"/>
    <x v="2"/>
    <x v="3"/>
    <n v="126436"/>
    <s v="Gadus morhua"/>
    <n v="0"/>
    <n v="4.3067000000000002"/>
    <n v="343.86059999999998"/>
    <n v="111.18389999999999"/>
    <n v="59.268900000000002"/>
    <n v="17.100000000000001"/>
    <n v="1.1133"/>
    <n v="0.22670000000000001"/>
    <n v="0"/>
    <n v="0"/>
    <n v="0"/>
    <n v="20190305"/>
    <n v="537.06010000000003"/>
  </r>
  <r>
    <s v="BITS"/>
    <x v="2"/>
    <n v="1"/>
    <x v="2"/>
    <x v="2"/>
    <n v="126436"/>
    <s v="Gadus morhua"/>
    <n v="0"/>
    <n v="1.1313"/>
    <n v="1105.9294"/>
    <n v="137.7585"/>
    <n v="23.317"/>
    <n v="0"/>
    <n v="0"/>
    <n v="0"/>
    <n v="0"/>
    <n v="0"/>
    <n v="0"/>
    <n v="20190305"/>
    <n v="1268.1361999999999"/>
  </r>
  <r>
    <s v="BITS"/>
    <x v="2"/>
    <n v="1"/>
    <x v="3"/>
    <x v="0"/>
    <n v="126436"/>
    <s v="Gadus morhua"/>
    <n v="0"/>
    <n v="1.2846"/>
    <n v="900.98829999999998"/>
    <n v="633.46559999999999"/>
    <n v="147.1951"/>
    <n v="46.958399999999997"/>
    <n v="24.410399999999999"/>
    <n v="0"/>
    <n v="0"/>
    <n v="0"/>
    <n v="0"/>
    <n v="20190305"/>
    <n v="1754.3023999999998"/>
  </r>
  <r>
    <s v="BITS"/>
    <x v="2"/>
    <n v="1"/>
    <x v="3"/>
    <x v="1"/>
    <n v="126436"/>
    <s v="Gadus morhua"/>
    <n v="0"/>
    <n v="6"/>
    <n v="612.85239999999999"/>
    <n v="237.9119"/>
    <n v="26.835699999999999"/>
    <n v="4"/>
    <n v="0.4"/>
    <n v="0"/>
    <n v="0"/>
    <n v="0"/>
    <n v="0"/>
    <n v="20190305"/>
    <n v="888"/>
  </r>
  <r>
    <s v="BITS"/>
    <x v="2"/>
    <n v="1"/>
    <x v="3"/>
    <x v="3"/>
    <n v="126436"/>
    <s v="Gadus morhua"/>
    <n v="0"/>
    <n v="0"/>
    <n v="169.15960000000001"/>
    <n v="91.927300000000002"/>
    <n v="11.6426"/>
    <n v="2.6833999999999998"/>
    <n v="0.51400000000000001"/>
    <n v="0"/>
    <n v="0"/>
    <n v="0"/>
    <n v="0"/>
    <n v="20190305"/>
    <n v="275.92690000000005"/>
  </r>
  <r>
    <s v="BITS"/>
    <x v="2"/>
    <n v="1"/>
    <x v="3"/>
    <x v="2"/>
    <n v="126436"/>
    <s v="Gadus morhua"/>
    <n v="0"/>
    <n v="1.4564999999999999"/>
    <n v="578.54510000000005"/>
    <n v="397.03100000000001"/>
    <n v="57.665799999999997"/>
    <n v="9.7164999999999999"/>
    <n v="2.4409000000000001"/>
    <n v="0"/>
    <n v="0"/>
    <n v="0"/>
    <n v="0"/>
    <n v="20190305"/>
    <n v="1046.8558"/>
  </r>
  <r>
    <s v="BITS"/>
    <x v="2"/>
    <n v="1"/>
    <x v="4"/>
    <x v="0"/>
    <n v="126436"/>
    <s v="Gadus morhua"/>
    <n v="0"/>
    <n v="9.5351999999999997"/>
    <n v="447.28530000000001"/>
    <n v="316.42230000000001"/>
    <n v="127.8312"/>
    <n v="30.630299999999998"/>
    <n v="9.8268000000000004"/>
    <n v="0.59160000000000001"/>
    <n v="0.55049999999999999"/>
    <n v="0"/>
    <n v="0"/>
    <n v="20190305"/>
    <n v="942.67320000000007"/>
  </r>
  <r>
    <s v="BITS"/>
    <x v="2"/>
    <n v="1"/>
    <x v="4"/>
    <x v="1"/>
    <n v="126436"/>
    <s v="Gadus morhua"/>
    <n v="0"/>
    <n v="2.3816000000000002"/>
    <n v="183.44810000000001"/>
    <n v="204.4306"/>
    <n v="149.5301"/>
    <n v="37.7517"/>
    <n v="11.374000000000001"/>
    <n v="0.55600000000000005"/>
    <n v="0.56669999999999998"/>
    <n v="0"/>
    <n v="0"/>
    <n v="20190305"/>
    <n v="590.03880000000015"/>
  </r>
  <r>
    <s v="BITS"/>
    <x v="2"/>
    <n v="1"/>
    <x v="4"/>
    <x v="4"/>
    <n v="126436"/>
    <s v="Gadus morhua"/>
    <n v="0"/>
    <n v="0.4"/>
    <n v="5.3224"/>
    <n v="24.5792"/>
    <n v="41.188299999999998"/>
    <n v="15.286300000000001"/>
    <n v="5.7248000000000001"/>
    <n v="0.36559999999999998"/>
    <n v="0.33329999999999999"/>
    <n v="0"/>
    <n v="0"/>
    <n v="20190305"/>
    <n v="93.1999"/>
  </r>
  <r>
    <s v="BITS"/>
    <x v="2"/>
    <n v="1"/>
    <x v="4"/>
    <x v="2"/>
    <n v="126436"/>
    <s v="Gadus morhua"/>
    <n v="0"/>
    <n v="1.8125"/>
    <n v="12.184900000000001"/>
    <n v="67.873800000000003"/>
    <n v="74.9846"/>
    <n v="16.140899999999998"/>
    <n v="4.6177999999999999"/>
    <n v="0.27829999999999999"/>
    <n v="0.1071"/>
    <n v="0"/>
    <n v="0"/>
    <n v="20190305"/>
    <n v="177.99989999999997"/>
  </r>
  <r>
    <s v="BITS"/>
    <x v="2"/>
    <n v="1"/>
    <x v="5"/>
    <x v="0"/>
    <n v="126436"/>
    <s v="Gadus morhua"/>
    <n v="0"/>
    <n v="17.328499999999998"/>
    <n v="348.00360000000001"/>
    <n v="90.428700000000006"/>
    <n v="53.033700000000003"/>
    <n v="42.098999999999997"/>
    <n v="13.1731"/>
    <n v="4.9690000000000003"/>
    <n v="1.3137000000000001"/>
    <n v="0.23230000000000001"/>
    <n v="0"/>
    <n v="20190305"/>
    <n v="570.58160000000009"/>
  </r>
  <r>
    <s v="BITS"/>
    <x v="2"/>
    <n v="1"/>
    <x v="5"/>
    <x v="1"/>
    <n v="126436"/>
    <s v="Gadus morhua"/>
    <n v="0"/>
    <n v="136.74889999999999"/>
    <n v="780.34990000000005"/>
    <n v="138.809"/>
    <n v="96.480999999999995"/>
    <n v="87.689800000000005"/>
    <n v="29.976400000000002"/>
    <n v="14.345499999999999"/>
    <n v="9.6768000000000001"/>
    <n v="2.6951999999999998"/>
    <n v="0.2273"/>
    <n v="20190305"/>
    <n v="1296.9998000000001"/>
  </r>
  <r>
    <s v="BITS"/>
    <x v="2"/>
    <n v="1"/>
    <x v="5"/>
    <x v="4"/>
    <n v="126436"/>
    <s v="Gadus morhua"/>
    <n v="0"/>
    <n v="6.5799999999999997E-2"/>
    <n v="4.9983000000000004"/>
    <n v="5.5263"/>
    <n v="5.6334999999999997"/>
    <n v="4.6298000000000004"/>
    <n v="1.1456"/>
    <n v="0.36159999999999998"/>
    <n v="2.4199999999999999E-2"/>
    <n v="1.4800000000000001E-2"/>
    <n v="0"/>
    <n v="20190305"/>
    <n v="22.399899999999999"/>
  </r>
  <r>
    <s v="BITS"/>
    <x v="2"/>
    <n v="1"/>
    <x v="5"/>
    <x v="5"/>
    <n v="126436"/>
    <s v="Gadus morhua"/>
    <n v="0"/>
    <n v="0.25"/>
    <n v="0"/>
    <n v="0.16489999999999999"/>
    <n v="0.30430000000000001"/>
    <n v="0.27410000000000001"/>
    <n v="6.7999999999999996E-3"/>
    <n v="0"/>
    <n v="0"/>
    <n v="0"/>
    <n v="0"/>
    <n v="20190305"/>
    <n v="1.0001"/>
  </r>
  <r>
    <s v="BITS"/>
    <x v="2"/>
    <n v="1"/>
    <x v="5"/>
    <x v="6"/>
    <n v="126436"/>
    <s v="Gadus morhua"/>
    <n v="0"/>
    <n v="0"/>
    <n v="0"/>
    <n v="0"/>
    <n v="0"/>
    <n v="0"/>
    <n v="0"/>
    <n v="0"/>
    <n v="0"/>
    <n v="0"/>
    <n v="0"/>
    <n v="20190305"/>
    <n v="0"/>
  </r>
  <r>
    <s v="BITS"/>
    <x v="2"/>
    <n v="1"/>
    <x v="5"/>
    <x v="2"/>
    <n v="126436"/>
    <s v="Gadus morhua"/>
    <n v="0"/>
    <n v="1.4879"/>
    <n v="9.9525000000000006"/>
    <n v="11.1286"/>
    <n v="11.677099999999999"/>
    <n v="10.0014"/>
    <n v="2.4544999999999999"/>
    <n v="0.53139999999999998"/>
    <n v="2.5600000000000001E-2"/>
    <n v="7.4099999999999999E-2"/>
    <n v="0"/>
    <n v="20190305"/>
    <n v="47.333100000000002"/>
  </r>
  <r>
    <s v="BITS"/>
    <x v="2"/>
    <n v="1"/>
    <x v="6"/>
    <x v="1"/>
    <n v="126436"/>
    <s v="Gadus morhua"/>
    <n v="0"/>
    <n v="0.5"/>
    <n v="12"/>
    <n v="5.75"/>
    <n v="4.25"/>
    <n v="0.5"/>
    <n v="0"/>
    <n v="0"/>
    <n v="0"/>
    <n v="0"/>
    <n v="0"/>
    <n v="20190305"/>
    <n v="23"/>
  </r>
  <r>
    <s v="BITS"/>
    <x v="2"/>
    <n v="1"/>
    <x v="6"/>
    <x v="4"/>
    <n v="126436"/>
    <s v="Gadus morhua"/>
    <n v="0"/>
    <n v="0"/>
    <n v="36"/>
    <n v="18"/>
    <n v="0"/>
    <n v="0"/>
    <n v="0"/>
    <n v="0"/>
    <n v="0"/>
    <n v="0"/>
    <n v="0"/>
    <n v="20190305"/>
    <n v="54"/>
  </r>
  <r>
    <s v="BITS"/>
    <x v="2"/>
    <n v="1"/>
    <x v="7"/>
    <x v="0"/>
    <n v="126436"/>
    <s v="Gadus morhua"/>
    <n v="0"/>
    <n v="2.0832999999999999"/>
    <n v="6.9081000000000001"/>
    <n v="2.5163000000000002"/>
    <n v="2.3624999999999998"/>
    <n v="1.7464"/>
    <n v="0.25829999999999997"/>
    <n v="0"/>
    <n v="0"/>
    <n v="0"/>
    <n v="0"/>
    <n v="20190305"/>
    <n v="15.8749"/>
  </r>
  <r>
    <s v="BITS"/>
    <x v="2"/>
    <n v="1"/>
    <x v="7"/>
    <x v="1"/>
    <n v="126436"/>
    <s v="Gadus morhua"/>
    <n v="0"/>
    <n v="2.7732999999999999"/>
    <n v="30.173500000000001"/>
    <n v="8.0876999999999999"/>
    <n v="4.8343999999999996"/>
    <n v="2.0975999999999999"/>
    <n v="0.43330000000000002"/>
    <n v="0"/>
    <n v="0"/>
    <n v="0"/>
    <n v="0"/>
    <n v="20190305"/>
    <n v="48.399800000000006"/>
  </r>
  <r>
    <s v="BITS"/>
    <x v="2"/>
    <n v="1"/>
    <x v="7"/>
    <x v="4"/>
    <n v="126436"/>
    <s v="Gadus morhua"/>
    <n v="0"/>
    <n v="0.2"/>
    <n v="18.8446"/>
    <n v="3.0626000000000002"/>
    <n v="0.5"/>
    <n v="0.39290000000000003"/>
    <n v="0"/>
    <n v="0"/>
    <n v="0"/>
    <n v="0"/>
    <n v="0"/>
    <n v="20190305"/>
    <n v="23.0001"/>
  </r>
  <r>
    <s v="BITS"/>
    <x v="2"/>
    <n v="1"/>
    <x v="7"/>
    <x v="2"/>
    <n v="126436"/>
    <s v="Gadus morhua"/>
    <n v="0"/>
    <n v="0"/>
    <n v="0"/>
    <n v="0"/>
    <n v="0"/>
    <n v="0"/>
    <n v="0"/>
    <n v="0"/>
    <n v="0"/>
    <n v="0"/>
    <n v="0"/>
    <n v="20190305"/>
    <n v="0"/>
  </r>
  <r>
    <s v="BITS"/>
    <x v="3"/>
    <n v="1"/>
    <x v="0"/>
    <x v="0"/>
    <n v="126436"/>
    <s v="Gadus morhua"/>
    <n v="0"/>
    <n v="0.1767"/>
    <n v="0.1767"/>
    <n v="0.38669999999999999"/>
    <n v="0.81669999999999998"/>
    <n v="0"/>
    <n v="0"/>
    <n v="0.1133"/>
    <n v="0"/>
    <n v="0"/>
    <n v="0"/>
    <n v="20200414"/>
    <n v="1.6700999999999999"/>
  </r>
  <r>
    <s v="BITS"/>
    <x v="3"/>
    <n v="1"/>
    <x v="0"/>
    <x v="1"/>
    <n v="126436"/>
    <s v="Gadus morhua"/>
    <n v="0"/>
    <n v="0"/>
    <n v="1.61"/>
    <n v="0"/>
    <n v="0"/>
    <n v="0"/>
    <n v="0"/>
    <n v="0"/>
    <n v="0"/>
    <n v="0"/>
    <n v="0"/>
    <n v="20200414"/>
    <n v="1.61"/>
  </r>
  <r>
    <s v="BITS"/>
    <x v="3"/>
    <n v="1"/>
    <x v="0"/>
    <x v="2"/>
    <n v="126436"/>
    <s v="Gadus morhua"/>
    <n v="0"/>
    <n v="0"/>
    <n v="1.3872"/>
    <n v="1.355"/>
    <n v="0.5756"/>
    <n v="0.32"/>
    <n v="0"/>
    <n v="0"/>
    <n v="0"/>
    <n v="0"/>
    <n v="0"/>
    <n v="20200414"/>
    <n v="3.6377999999999999"/>
  </r>
  <r>
    <s v="BITS"/>
    <x v="3"/>
    <n v="1"/>
    <x v="1"/>
    <x v="3"/>
    <n v="126436"/>
    <s v="Gadus morhua"/>
    <n v="0"/>
    <n v="0.13789999999999999"/>
    <n v="0.71889999999999998"/>
    <n v="1.9158999999999999"/>
    <n v="0.22600000000000001"/>
    <n v="0.93"/>
    <n v="0"/>
    <n v="0"/>
    <n v="0"/>
    <n v="0"/>
    <n v="0"/>
    <n v="20200414"/>
    <n v="3.9287000000000001"/>
  </r>
  <r>
    <s v="BITS"/>
    <x v="3"/>
    <n v="1"/>
    <x v="1"/>
    <x v="2"/>
    <n v="126436"/>
    <s v="Gadus morhua"/>
    <n v="0"/>
    <n v="2.4975000000000001"/>
    <n v="97.231300000000005"/>
    <n v="1697.037"/>
    <n v="32.729900000000001"/>
    <n v="5.5911999999999997"/>
    <n v="3.4700000000000002E-2"/>
    <n v="0"/>
    <n v="0"/>
    <n v="0"/>
    <n v="0"/>
    <n v="20200414"/>
    <n v="1835.1216000000002"/>
  </r>
  <r>
    <s v="BITS"/>
    <x v="3"/>
    <n v="1"/>
    <x v="2"/>
    <x v="3"/>
    <n v="126436"/>
    <s v="Gadus morhua"/>
    <n v="0"/>
    <n v="0.32400000000000001"/>
    <n v="42.356699999999996"/>
    <n v="535.57889999999998"/>
    <n v="27.978000000000002"/>
    <n v="5.5467000000000004"/>
    <n v="0"/>
    <n v="0"/>
    <n v="0"/>
    <n v="0"/>
    <n v="0"/>
    <n v="20200414"/>
    <n v="611.78429999999992"/>
  </r>
  <r>
    <s v="BITS"/>
    <x v="3"/>
    <n v="1"/>
    <x v="2"/>
    <x v="2"/>
    <n v="126436"/>
    <s v="Gadus morhua"/>
    <n v="0"/>
    <n v="0"/>
    <n v="0.86519999999999997"/>
    <n v="2.9106000000000001"/>
    <n v="5.4215"/>
    <n v="5.5907"/>
    <n v="0.96399999999999997"/>
    <n v="0"/>
    <n v="0"/>
    <n v="0"/>
    <n v="0"/>
    <n v="20200414"/>
    <n v="15.752000000000001"/>
  </r>
  <r>
    <s v="BITS"/>
    <x v="3"/>
    <n v="1"/>
    <x v="3"/>
    <x v="0"/>
    <n v="126436"/>
    <s v="Gadus morhua"/>
    <n v="0"/>
    <n v="3.7241"/>
    <n v="131.03210000000001"/>
    <n v="552.24480000000005"/>
    <n v="166.20939999999999"/>
    <n v="55.540500000000002"/>
    <n v="8.9792000000000005"/>
    <n v="0"/>
    <n v="0"/>
    <n v="0"/>
    <n v="0"/>
    <n v="20200414"/>
    <n v="917.73009999999999"/>
  </r>
  <r>
    <s v="BITS"/>
    <x v="3"/>
    <n v="1"/>
    <x v="3"/>
    <x v="3"/>
    <n v="126436"/>
    <s v="Gadus morhua"/>
    <n v="0"/>
    <n v="1.6667000000000001"/>
    <n v="12.4445"/>
    <n v="137.65039999999999"/>
    <n v="46.084899999999998"/>
    <n v="15.1114"/>
    <n v="2.6057999999999999"/>
    <n v="0"/>
    <n v="0"/>
    <n v="0"/>
    <n v="0"/>
    <n v="20200414"/>
    <n v="215.56369999999998"/>
  </r>
  <r>
    <s v="BITS"/>
    <x v="3"/>
    <n v="1"/>
    <x v="3"/>
    <x v="2"/>
    <n v="126436"/>
    <s v="Gadus morhua"/>
    <n v="0"/>
    <n v="2.2667000000000002"/>
    <n v="19.164999999999999"/>
    <n v="132.833"/>
    <n v="40.036499999999997"/>
    <n v="11.0814"/>
    <n v="2.2099000000000002"/>
    <n v="0"/>
    <n v="0"/>
    <n v="0"/>
    <n v="0"/>
    <n v="20200414"/>
    <n v="207.5925"/>
  </r>
  <r>
    <s v="BITS"/>
    <x v="3"/>
    <n v="1"/>
    <x v="4"/>
    <x v="0"/>
    <n v="126436"/>
    <s v="Gadus morhua"/>
    <n v="0"/>
    <n v="13.0831"/>
    <n v="427.95870000000002"/>
    <n v="142.69220000000001"/>
    <n v="31.657599999999999"/>
    <n v="5.0620000000000003"/>
    <n v="0.67010000000000003"/>
    <n v="0.40970000000000001"/>
    <n v="0"/>
    <n v="0"/>
    <n v="0"/>
    <n v="20200414"/>
    <n v="621.53340000000014"/>
  </r>
  <r>
    <s v="BITS"/>
    <x v="3"/>
    <n v="1"/>
    <x v="4"/>
    <x v="1"/>
    <n v="126436"/>
    <s v="Gadus morhua"/>
    <n v="0"/>
    <n v="6.3727999999999998"/>
    <n v="329.96440000000001"/>
    <n v="342.77339999999998"/>
    <n v="89.283799999999999"/>
    <n v="12.092599999999999"/>
    <n v="1.5599000000000001"/>
    <n v="0.77010000000000001"/>
    <n v="0"/>
    <n v="0"/>
    <n v="0"/>
    <n v="20200414"/>
    <n v="782.81699999999989"/>
  </r>
  <r>
    <s v="BITS"/>
    <x v="3"/>
    <n v="1"/>
    <x v="4"/>
    <x v="4"/>
    <n v="126436"/>
    <s v="Gadus morhua"/>
    <n v="0"/>
    <n v="0.95279999999999998"/>
    <n v="189.3801"/>
    <n v="418.15339999999998"/>
    <n v="151.38030000000001"/>
    <n v="22.756399999999999"/>
    <n v="2.7641"/>
    <n v="1.9460999999999999"/>
    <n v="0"/>
    <n v="0"/>
    <n v="0"/>
    <n v="20200414"/>
    <n v="787.33320000000003"/>
  </r>
  <r>
    <s v="BITS"/>
    <x v="3"/>
    <n v="1"/>
    <x v="4"/>
    <x v="2"/>
    <n v="126436"/>
    <s v="Gadus morhua"/>
    <n v="0"/>
    <n v="1"/>
    <n v="5.2889999999999997"/>
    <n v="30.590800000000002"/>
    <n v="11.5898"/>
    <n v="1.6483000000000001"/>
    <n v="0.18129999999999999"/>
    <n v="7.5800000000000006E-2"/>
    <n v="0"/>
    <n v="0"/>
    <n v="0"/>
    <n v="20200414"/>
    <n v="50.375"/>
  </r>
  <r>
    <s v="BITS"/>
    <x v="3"/>
    <n v="1"/>
    <x v="5"/>
    <x v="0"/>
    <n v="126436"/>
    <s v="Gadus morhua"/>
    <n v="0"/>
    <n v="3.85"/>
    <n v="175.48939999999999"/>
    <n v="210.661"/>
    <n v="24.0166"/>
    <n v="3.8744999999999998"/>
    <n v="0.42320000000000002"/>
    <n v="0.05"/>
    <n v="0"/>
    <n v="0"/>
    <n v="0"/>
    <n v="20200414"/>
    <n v="418.36470000000003"/>
  </r>
  <r>
    <s v="BITS"/>
    <x v="3"/>
    <n v="1"/>
    <x v="5"/>
    <x v="1"/>
    <n v="126436"/>
    <s v="Gadus morhua"/>
    <n v="0"/>
    <n v="9.7543000000000006"/>
    <n v="447.71899999999999"/>
    <n v="263.3109"/>
    <n v="28.409099999999999"/>
    <n v="3.7147000000000001"/>
    <n v="1.8989"/>
    <n v="0.12379999999999999"/>
    <n v="0"/>
    <n v="0"/>
    <n v="0"/>
    <n v="20200414"/>
    <n v="754.9307"/>
  </r>
  <r>
    <s v="BITS"/>
    <x v="3"/>
    <n v="1"/>
    <x v="5"/>
    <x v="4"/>
    <n v="126436"/>
    <s v="Gadus morhua"/>
    <n v="0"/>
    <n v="0.40560000000000002"/>
    <n v="227.1112"/>
    <n v="332.1628"/>
    <n v="42.510199999999998"/>
    <n v="5.1497000000000002"/>
    <n v="1.1218999999999999"/>
    <n v="0.15379999999999999"/>
    <n v="0"/>
    <n v="0"/>
    <n v="0"/>
    <n v="20200414"/>
    <n v="608.61519999999996"/>
  </r>
  <r>
    <s v="BITS"/>
    <x v="3"/>
    <n v="1"/>
    <x v="5"/>
    <x v="5"/>
    <n v="126436"/>
    <s v="Gadus morhua"/>
    <n v="0"/>
    <n v="0"/>
    <n v="1.837"/>
    <n v="4.3921000000000001"/>
    <n v="1.6324000000000001"/>
    <n v="8.8499999999999995E-2"/>
    <n v="0"/>
    <n v="0.05"/>
    <n v="0"/>
    <n v="0"/>
    <n v="0"/>
    <n v="20200414"/>
    <n v="7.9999999999999991"/>
  </r>
  <r>
    <s v="BITS"/>
    <x v="3"/>
    <n v="1"/>
    <x v="5"/>
    <x v="6"/>
    <n v="126436"/>
    <s v="Gadus morhua"/>
    <n v="0"/>
    <n v="0"/>
    <n v="0"/>
    <n v="0"/>
    <n v="0"/>
    <n v="0"/>
    <n v="0"/>
    <n v="0"/>
    <n v="0"/>
    <n v="0"/>
    <n v="0"/>
    <n v="20200414"/>
    <n v="0"/>
  </r>
  <r>
    <s v="BITS"/>
    <x v="3"/>
    <n v="1"/>
    <x v="5"/>
    <x v="2"/>
    <n v="126436"/>
    <s v="Gadus morhua"/>
    <n v="0"/>
    <n v="0.54769999999999996"/>
    <n v="33.043199999999999"/>
    <n v="72.622200000000007"/>
    <n v="17.3993"/>
    <n v="2.2017000000000002"/>
    <n v="0.69699999999999995"/>
    <n v="8.8800000000000004E-2"/>
    <n v="0"/>
    <n v="0"/>
    <n v="0"/>
    <n v="20200414"/>
    <n v="126.59990000000001"/>
  </r>
  <r>
    <s v="BITS"/>
    <x v="3"/>
    <n v="1"/>
    <x v="6"/>
    <x v="1"/>
    <n v="126436"/>
    <s v="Gadus morhua"/>
    <n v="0"/>
    <n v="0"/>
    <n v="10.119"/>
    <n v="3.7381000000000002"/>
    <n v="0"/>
    <n v="0"/>
    <n v="0"/>
    <n v="0"/>
    <n v="0"/>
    <n v="0"/>
    <n v="0"/>
    <n v="20200414"/>
    <n v="13.857099999999999"/>
  </r>
  <r>
    <s v="BITS"/>
    <x v="3"/>
    <n v="1"/>
    <x v="6"/>
    <x v="4"/>
    <n v="126436"/>
    <s v="Gadus morhua"/>
    <n v="0"/>
    <n v="0"/>
    <n v="0"/>
    <n v="0"/>
    <n v="0"/>
    <n v="0"/>
    <n v="0"/>
    <n v="0"/>
    <n v="0"/>
    <n v="0"/>
    <n v="0"/>
    <n v="20200414"/>
    <n v="0"/>
  </r>
  <r>
    <s v="BITS"/>
    <x v="3"/>
    <n v="1"/>
    <x v="7"/>
    <x v="0"/>
    <n v="126436"/>
    <s v="Gadus morhua"/>
    <n v="0"/>
    <n v="0"/>
    <n v="20.937799999999999"/>
    <n v="20.261600000000001"/>
    <n v="5.4034000000000004"/>
    <n v="0.6472"/>
    <n v="0.25"/>
    <n v="0.25"/>
    <n v="0"/>
    <n v="0"/>
    <n v="0"/>
    <n v="20200414"/>
    <n v="47.749999999999993"/>
  </r>
  <r>
    <s v="BITS"/>
    <x v="3"/>
    <n v="1"/>
    <x v="7"/>
    <x v="1"/>
    <n v="126436"/>
    <s v="Gadus morhua"/>
    <n v="0"/>
    <n v="0"/>
    <n v="34.598500000000001"/>
    <n v="20.752800000000001"/>
    <n v="3.0518999999999998"/>
    <n v="1.3746"/>
    <n v="0.44440000000000002"/>
    <n v="0"/>
    <n v="0"/>
    <n v="0"/>
    <n v="0"/>
    <n v="20200414"/>
    <n v="60.222200000000001"/>
  </r>
  <r>
    <s v="BITS"/>
    <x v="3"/>
    <n v="1"/>
    <x v="7"/>
    <x v="4"/>
    <n v="126436"/>
    <s v="Gadus morhua"/>
    <n v="0"/>
    <n v="0"/>
    <n v="14.0084"/>
    <n v="8.1692999999999998"/>
    <n v="0.33879999999999999"/>
    <n v="5.4899999999999997E-2"/>
    <n v="0"/>
    <n v="0"/>
    <n v="0"/>
    <n v="0"/>
    <n v="0"/>
    <n v="20200414"/>
    <n v="22.571400000000001"/>
  </r>
  <r>
    <s v="BITS"/>
    <x v="3"/>
    <n v="1"/>
    <x v="7"/>
    <x v="5"/>
    <n v="126436"/>
    <s v="Gadus morhua"/>
    <n v="0"/>
    <n v="0"/>
    <n v="0"/>
    <n v="0"/>
    <n v="0"/>
    <n v="0"/>
    <n v="0"/>
    <n v="0"/>
    <n v="0"/>
    <n v="0"/>
    <n v="0"/>
    <n v="20200414"/>
    <n v="0"/>
  </r>
  <r>
    <s v="BITS"/>
    <x v="3"/>
    <n v="1"/>
    <x v="7"/>
    <x v="2"/>
    <n v="126436"/>
    <s v="Gadus morhua"/>
    <n v="0"/>
    <n v="0.5"/>
    <n v="6.1609999999999996"/>
    <n v="12.3118"/>
    <n v="4.0624000000000002"/>
    <n v="0.4647"/>
    <n v="0"/>
    <n v="0"/>
    <n v="0"/>
    <n v="0"/>
    <n v="0"/>
    <n v="20200414"/>
    <n v="23.4999"/>
  </r>
  <r>
    <s v="BITS"/>
    <x v="4"/>
    <n v="1"/>
    <x v="0"/>
    <x v="0"/>
    <n v="126436"/>
    <s v="Gadus morhua"/>
    <n v="0"/>
    <n v="9.2405000000000008"/>
    <n v="1.3594999999999999"/>
    <n v="0"/>
    <n v="0"/>
    <n v="0"/>
    <n v="0"/>
    <n v="0"/>
    <n v="0"/>
    <n v="0"/>
    <n v="0"/>
    <n v="20200416"/>
    <n v="10.600000000000001"/>
  </r>
  <r>
    <s v="BITS"/>
    <x v="4"/>
    <n v="1"/>
    <x v="0"/>
    <x v="1"/>
    <n v="126436"/>
    <s v="Gadus morhua"/>
    <n v="0"/>
    <n v="16.584599999999998"/>
    <n v="4.3853999999999997"/>
    <n v="0"/>
    <n v="0"/>
    <n v="0"/>
    <n v="0"/>
    <n v="0"/>
    <n v="0"/>
    <n v="0"/>
    <n v="0"/>
    <n v="20200416"/>
    <n v="20.97"/>
  </r>
  <r>
    <s v="BITS"/>
    <x v="4"/>
    <n v="1"/>
    <x v="0"/>
    <x v="2"/>
    <n v="126436"/>
    <s v="Gadus morhua"/>
    <n v="0"/>
    <n v="10.2087"/>
    <n v="4.3872999999999998"/>
    <n v="0.216"/>
    <n v="2.456"/>
    <n v="5.1999999999999998E-2"/>
    <n v="0.77329999999999999"/>
    <n v="0"/>
    <n v="0.24929999999999999"/>
    <n v="0"/>
    <n v="0"/>
    <n v="20200416"/>
    <n v="18.342600000000001"/>
  </r>
  <r>
    <s v="BITS"/>
    <x v="4"/>
    <n v="1"/>
    <x v="1"/>
    <x v="3"/>
    <n v="126436"/>
    <s v="Gadus morhua"/>
    <n v="0"/>
    <n v="6.9165000000000001"/>
    <n v="9.0343"/>
    <n v="3.0312000000000001"/>
    <n v="82.090100000000007"/>
    <n v="0.91049999999999998"/>
    <n v="7.9399999999999998E-2"/>
    <n v="0"/>
    <n v="0"/>
    <n v="0"/>
    <n v="0.20669999999999999"/>
    <n v="20200416"/>
    <n v="102.26870000000001"/>
  </r>
  <r>
    <s v="BITS"/>
    <x v="4"/>
    <n v="1"/>
    <x v="1"/>
    <x v="2"/>
    <n v="126436"/>
    <s v="Gadus morhua"/>
    <n v="0"/>
    <n v="5.1319999999999997"/>
    <n v="2.7932999999999999"/>
    <n v="3.1244999999999998"/>
    <n v="183.6455"/>
    <n v="2.4474999999999998"/>
    <n v="1.3208"/>
    <n v="0.11070000000000001"/>
    <n v="0"/>
    <n v="0"/>
    <n v="0"/>
    <n v="20200416"/>
    <n v="198.57429999999999"/>
  </r>
  <r>
    <s v="BITS"/>
    <x v="4"/>
    <n v="1"/>
    <x v="2"/>
    <x v="3"/>
    <n v="126436"/>
    <s v="Gadus morhua"/>
    <n v="0"/>
    <n v="16.393999999999998"/>
    <n v="61.112400000000001"/>
    <n v="19.711200000000002"/>
    <n v="117.1802"/>
    <n v="12.081300000000001"/>
    <n v="38.744700000000002"/>
    <n v="4.5494000000000003"/>
    <n v="2.8321999999999998"/>
    <n v="2.8393000000000002"/>
    <n v="0"/>
    <n v="20200416"/>
    <n v="275.44470000000001"/>
  </r>
  <r>
    <s v="BITS"/>
    <x v="4"/>
    <n v="1"/>
    <x v="2"/>
    <x v="2"/>
    <n v="126436"/>
    <s v="Gadus morhua"/>
    <n v="0"/>
    <n v="2.1395"/>
    <n v="25.976700000000001"/>
    <n v="91.471800000000002"/>
    <n v="910.1884"/>
    <n v="52.888399999999997"/>
    <n v="24.701499999999999"/>
    <n v="0.70020000000000004"/>
    <n v="0"/>
    <n v="0"/>
    <n v="0"/>
    <n v="20200416"/>
    <n v="1108.0664999999999"/>
  </r>
  <r>
    <s v="BITS"/>
    <x v="4"/>
    <n v="1"/>
    <x v="3"/>
    <x v="0"/>
    <n v="126436"/>
    <s v="Gadus morhua"/>
    <n v="0"/>
    <n v="81.073899999999995"/>
    <n v="263.81700000000001"/>
    <n v="171.82599999999999"/>
    <n v="122.2017"/>
    <n v="1.8123"/>
    <n v="1.7031000000000001"/>
    <n v="1.4964999999999999"/>
    <n v="0.28610000000000002"/>
    <n v="0"/>
    <n v="0"/>
    <n v="20200416"/>
    <n v="644.21659999999997"/>
  </r>
  <r>
    <s v="BITS"/>
    <x v="4"/>
    <n v="1"/>
    <x v="3"/>
    <x v="1"/>
    <n v="126436"/>
    <s v="Gadus morhua"/>
    <n v="0"/>
    <n v="47.431699999999999"/>
    <n v="143.8142"/>
    <n v="132.6806"/>
    <n v="66.983500000000006"/>
    <n v="1.24"/>
    <n v="1.55"/>
    <n v="0"/>
    <n v="0"/>
    <n v="0"/>
    <n v="0"/>
    <n v="20200416"/>
    <n v="393.70000000000005"/>
  </r>
  <r>
    <s v="BITS"/>
    <x v="4"/>
    <n v="1"/>
    <x v="3"/>
    <x v="3"/>
    <n v="126436"/>
    <s v="Gadus morhua"/>
    <n v="0"/>
    <n v="32.433900000000001"/>
    <n v="11.3332"/>
    <n v="27.224799999999998"/>
    <n v="75.603800000000007"/>
    <n v="3.1049000000000002"/>
    <n v="1.6539999999999999"/>
    <n v="2.9378000000000002"/>
    <n v="1.1022000000000001"/>
    <n v="0"/>
    <n v="0"/>
    <n v="20200416"/>
    <n v="155.39460000000003"/>
  </r>
  <r>
    <s v="BITS"/>
    <x v="4"/>
    <n v="1"/>
    <x v="3"/>
    <x v="2"/>
    <n v="126436"/>
    <s v="Gadus morhua"/>
    <n v="0"/>
    <n v="159.4923"/>
    <n v="220.19829999999999"/>
    <n v="104.6343"/>
    <n v="64.942499999999995"/>
    <n v="1.2682"/>
    <n v="0.63739999999999997"/>
    <n v="0.8488"/>
    <n v="0.23960000000000001"/>
    <n v="0"/>
    <n v="0"/>
    <n v="20200416"/>
    <n v="552.26139999999987"/>
  </r>
  <r>
    <s v="BITS"/>
    <x v="4"/>
    <n v="1"/>
    <x v="4"/>
    <x v="0"/>
    <n v="126436"/>
    <s v="Gadus morhua"/>
    <n v="0"/>
    <n v="48.702399999999997"/>
    <n v="198.93469999999999"/>
    <n v="204.6413"/>
    <n v="52.533200000000001"/>
    <n v="4.9824000000000002"/>
    <n v="0.1414"/>
    <n v="0.1857"/>
    <n v="0"/>
    <n v="0"/>
    <n v="0"/>
    <n v="20200416"/>
    <n v="510.12109999999996"/>
  </r>
  <r>
    <s v="BITS"/>
    <x v="4"/>
    <n v="1"/>
    <x v="4"/>
    <x v="1"/>
    <n v="126436"/>
    <s v="Gadus morhua"/>
    <n v="0"/>
    <n v="29.633199999999999"/>
    <n v="252.25370000000001"/>
    <n v="390.66860000000003"/>
    <n v="107.39100000000001"/>
    <n v="10.7255"/>
    <n v="0.42249999999999999"/>
    <n v="0.3513"/>
    <n v="0"/>
    <n v="0"/>
    <n v="0"/>
    <n v="20200416"/>
    <n v="791.44580000000008"/>
  </r>
  <r>
    <s v="BITS"/>
    <x v="4"/>
    <n v="1"/>
    <x v="4"/>
    <x v="4"/>
    <n v="126436"/>
    <s v="Gadus morhua"/>
    <n v="0"/>
    <n v="16.099399999999999"/>
    <n v="270.43540000000002"/>
    <n v="620.65790000000004"/>
    <n v="196.97550000000001"/>
    <n v="21.0716"/>
    <n v="0.6825"/>
    <n v="0.93479999999999996"/>
    <n v="0"/>
    <n v="0"/>
    <n v="0"/>
    <n v="20200416"/>
    <n v="1126.8570999999999"/>
  </r>
  <r>
    <s v="BITS"/>
    <x v="4"/>
    <n v="1"/>
    <x v="4"/>
    <x v="2"/>
    <n v="126436"/>
    <s v="Gadus morhua"/>
    <n v="0"/>
    <n v="23.886299999999999"/>
    <n v="168.54660000000001"/>
    <n v="127.89579999999999"/>
    <n v="30.5503"/>
    <n v="3.5442"/>
    <n v="0.22969999999999999"/>
    <n v="0.1706"/>
    <n v="0"/>
    <n v="0"/>
    <n v="0"/>
    <n v="20200416"/>
    <n v="354.82349999999997"/>
  </r>
  <r>
    <s v="BITS"/>
    <x v="4"/>
    <n v="1"/>
    <x v="5"/>
    <x v="0"/>
    <n v="126436"/>
    <s v="Gadus morhua"/>
    <n v="0"/>
    <n v="26.258600000000001"/>
    <n v="106.0111"/>
    <n v="341.90179999999998"/>
    <n v="233.08690000000001"/>
    <n v="53.7667"/>
    <n v="0.125"/>
    <n v="0"/>
    <n v="0"/>
    <n v="0"/>
    <n v="0"/>
    <n v="20200416"/>
    <n v="761.15009999999995"/>
  </r>
  <r>
    <s v="BITS"/>
    <x v="4"/>
    <n v="1"/>
    <x v="5"/>
    <x v="1"/>
    <n v="126436"/>
    <s v="Gadus morhua"/>
    <n v="0"/>
    <n v="10.0718"/>
    <n v="47.804299999999998"/>
    <n v="152.42660000000001"/>
    <n v="90.791499999999999"/>
    <n v="18.530799999999999"/>
    <n v="0.15379999999999999"/>
    <n v="0"/>
    <n v="0.15379999999999999"/>
    <n v="0"/>
    <n v="0"/>
    <n v="20200416"/>
    <n v="319.93259999999998"/>
  </r>
  <r>
    <s v="BITS"/>
    <x v="4"/>
    <n v="1"/>
    <x v="5"/>
    <x v="4"/>
    <n v="126436"/>
    <s v="Gadus morhua"/>
    <n v="0"/>
    <n v="0"/>
    <n v="4.1054000000000004"/>
    <n v="16.1831"/>
    <n v="9.5759000000000007"/>
    <n v="1.6758999999999999"/>
    <n v="0"/>
    <n v="0"/>
    <n v="0"/>
    <n v="0"/>
    <n v="0"/>
    <n v="20200416"/>
    <n v="31.540299999999998"/>
  </r>
  <r>
    <s v="BITS"/>
    <x v="4"/>
    <n v="1"/>
    <x v="5"/>
    <x v="5"/>
    <n v="126436"/>
    <s v="Gadus morhua"/>
    <n v="0"/>
    <n v="0"/>
    <n v="0"/>
    <n v="0"/>
    <n v="0"/>
    <n v="0"/>
    <n v="0"/>
    <n v="0"/>
    <n v="0"/>
    <n v="0"/>
    <n v="0"/>
    <n v="20200416"/>
    <n v="0"/>
  </r>
  <r>
    <s v="BITS"/>
    <x v="4"/>
    <n v="1"/>
    <x v="5"/>
    <x v="6"/>
    <n v="126436"/>
    <s v="Gadus morhua"/>
    <n v="0"/>
    <n v="0"/>
    <n v="0"/>
    <n v="0"/>
    <n v="0"/>
    <n v="0"/>
    <n v="0"/>
    <n v="0"/>
    <n v="0"/>
    <n v="0"/>
    <n v="0"/>
    <n v="20200416"/>
    <n v="0"/>
  </r>
  <r>
    <s v="BITS"/>
    <x v="4"/>
    <n v="1"/>
    <x v="5"/>
    <x v="2"/>
    <n v="126436"/>
    <s v="Gadus morhua"/>
    <n v="0"/>
    <n v="1.2111000000000001"/>
    <n v="22.790099999999999"/>
    <n v="64.401899999999998"/>
    <n v="43.569699999999997"/>
    <n v="12.027200000000001"/>
    <n v="0.16669999999999999"/>
    <n v="0"/>
    <n v="5.5599999999999997E-2"/>
    <n v="0"/>
    <n v="0"/>
    <n v="20200416"/>
    <n v="144.22229999999999"/>
  </r>
  <r>
    <s v="BITS"/>
    <x v="4"/>
    <n v="1"/>
    <x v="6"/>
    <x v="0"/>
    <n v="126436"/>
    <s v="Gadus morhua"/>
    <n v="0"/>
    <n v="3"/>
    <n v="2.625"/>
    <n v="1.875"/>
    <n v="0"/>
    <n v="0"/>
    <n v="0"/>
    <n v="0"/>
    <n v="0"/>
    <n v="0"/>
    <n v="0"/>
    <n v="20200416"/>
    <n v="7.5"/>
  </r>
  <r>
    <s v="BITS"/>
    <x v="4"/>
    <n v="1"/>
    <x v="6"/>
    <x v="1"/>
    <n v="126436"/>
    <s v="Gadus morhua"/>
    <n v="0"/>
    <n v="1.5713999999999999"/>
    <n v="3.3571"/>
    <n v="8.3571000000000009"/>
    <n v="1.5713999999999999"/>
    <n v="0"/>
    <n v="0"/>
    <n v="0"/>
    <n v="0"/>
    <n v="0"/>
    <n v="0"/>
    <n v="20200416"/>
    <n v="14.857000000000001"/>
  </r>
  <r>
    <s v="BITS"/>
    <x v="4"/>
    <n v="1"/>
    <x v="6"/>
    <x v="5"/>
    <n v="126436"/>
    <s v="Gadus morhua"/>
    <n v="0"/>
    <n v="0"/>
    <n v="0"/>
    <n v="0"/>
    <n v="0"/>
    <n v="0"/>
    <n v="0"/>
    <n v="0"/>
    <n v="0"/>
    <n v="0"/>
    <n v="0"/>
    <n v="20200416"/>
    <n v="0"/>
  </r>
  <r>
    <s v="BITS"/>
    <x v="4"/>
    <n v="1"/>
    <x v="7"/>
    <x v="0"/>
    <n v="126436"/>
    <s v="Gadus morhua"/>
    <n v="0"/>
    <n v="5.1429"/>
    <n v="7.6662999999999997"/>
    <n v="17.572500000000002"/>
    <n v="3.1335000000000002"/>
    <n v="0.1991"/>
    <n v="0"/>
    <n v="0"/>
    <n v="0"/>
    <n v="0"/>
    <n v="0"/>
    <n v="20200416"/>
    <n v="33.714300000000001"/>
  </r>
  <r>
    <s v="BITS"/>
    <x v="4"/>
    <n v="1"/>
    <x v="7"/>
    <x v="1"/>
    <n v="126436"/>
    <s v="Gadus morhua"/>
    <n v="0"/>
    <n v="0.22220000000000001"/>
    <n v="3.4373"/>
    <n v="16.671600000000002"/>
    <n v="3.5493000000000001"/>
    <n v="0.78620000000000001"/>
    <n v="0"/>
    <n v="0"/>
    <n v="0"/>
    <n v="0"/>
    <n v="0"/>
    <n v="20200416"/>
    <n v="24.666600000000003"/>
  </r>
  <r>
    <s v="BITS"/>
    <x v="4"/>
    <n v="1"/>
    <x v="7"/>
    <x v="4"/>
    <n v="126436"/>
    <s v="Gadus morhua"/>
    <n v="0"/>
    <n v="0"/>
    <n v="7.0699999999999999E-2"/>
    <n v="0.1515"/>
    <n v="0"/>
    <n v="0"/>
    <n v="0"/>
    <n v="0"/>
    <n v="0"/>
    <n v="0"/>
    <n v="0"/>
    <n v="20200416"/>
    <n v="0.22220000000000001"/>
  </r>
  <r>
    <s v="BITS"/>
    <x v="4"/>
    <n v="1"/>
    <x v="7"/>
    <x v="2"/>
    <n v="126436"/>
    <s v="Gadus morhua"/>
    <n v="0"/>
    <n v="0"/>
    <n v="0"/>
    <n v="0"/>
    <n v="0"/>
    <n v="0"/>
    <n v="0"/>
    <n v="0"/>
    <n v="0"/>
    <n v="0"/>
    <n v="0"/>
    <n v="20200416"/>
    <n v="0"/>
  </r>
  <r>
    <m/>
    <x v="5"/>
    <m/>
    <x v="8"/>
    <x v="7"/>
    <m/>
    <m/>
    <m/>
    <m/>
    <m/>
    <m/>
    <m/>
    <m/>
    <m/>
    <m/>
    <m/>
    <m/>
    <m/>
    <m/>
    <m/>
  </r>
  <r>
    <m/>
    <x v="5"/>
    <m/>
    <x v="8"/>
    <x v="7"/>
    <m/>
    <m/>
    <m/>
    <m/>
    <m/>
    <m/>
    <m/>
    <m/>
    <m/>
    <m/>
    <m/>
    <m/>
    <m/>
    <m/>
    <m/>
  </r>
  <r>
    <m/>
    <x v="5"/>
    <m/>
    <x v="8"/>
    <x v="7"/>
    <m/>
    <m/>
    <m/>
    <m/>
    <m/>
    <m/>
    <m/>
    <m/>
    <m/>
    <m/>
    <m/>
    <m/>
    <m/>
    <m/>
    <m/>
  </r>
  <r>
    <m/>
    <x v="5"/>
    <m/>
    <x v="8"/>
    <x v="7"/>
    <m/>
    <m/>
    <m/>
    <m/>
    <m/>
    <m/>
    <m/>
    <m/>
    <m/>
    <m/>
    <m/>
    <m/>
    <m/>
    <m/>
    <m/>
  </r>
  <r>
    <m/>
    <x v="5"/>
    <m/>
    <x v="8"/>
    <x v="7"/>
    <m/>
    <m/>
    <m/>
    <m/>
    <m/>
    <m/>
    <m/>
    <m/>
    <m/>
    <m/>
    <m/>
    <m/>
    <m/>
    <m/>
    <m/>
  </r>
  <r>
    <m/>
    <x v="5"/>
    <m/>
    <x v="8"/>
    <x v="7"/>
    <m/>
    <m/>
    <m/>
    <m/>
    <m/>
    <m/>
    <m/>
    <m/>
    <m/>
    <m/>
    <m/>
    <m/>
    <m/>
    <m/>
    <m/>
  </r>
  <r>
    <m/>
    <x v="5"/>
    <m/>
    <x v="8"/>
    <x v="7"/>
    <m/>
    <m/>
    <m/>
    <m/>
    <m/>
    <m/>
    <m/>
    <m/>
    <m/>
    <m/>
    <m/>
    <m/>
    <m/>
    <m/>
    <m/>
  </r>
  <r>
    <m/>
    <x v="5"/>
    <m/>
    <x v="8"/>
    <x v="7"/>
    <m/>
    <m/>
    <m/>
    <m/>
    <m/>
    <m/>
    <m/>
    <m/>
    <m/>
    <m/>
    <m/>
    <m/>
    <m/>
    <m/>
    <m/>
  </r>
  <r>
    <m/>
    <x v="5"/>
    <m/>
    <x v="8"/>
    <x v="7"/>
    <m/>
    <m/>
    <m/>
    <m/>
    <m/>
    <m/>
    <m/>
    <m/>
    <m/>
    <m/>
    <m/>
    <m/>
    <m/>
    <m/>
    <m/>
  </r>
  <r>
    <m/>
    <x v="5"/>
    <m/>
    <x v="8"/>
    <x v="7"/>
    <m/>
    <m/>
    <m/>
    <m/>
    <m/>
    <m/>
    <m/>
    <m/>
    <m/>
    <m/>
    <m/>
    <m/>
    <m/>
    <m/>
    <m/>
  </r>
  <r>
    <m/>
    <x v="5"/>
    <m/>
    <x v="8"/>
    <x v="7"/>
    <m/>
    <m/>
    <m/>
    <m/>
    <m/>
    <m/>
    <m/>
    <m/>
    <m/>
    <m/>
    <m/>
    <m/>
    <m/>
    <m/>
    <m/>
  </r>
  <r>
    <m/>
    <x v="5"/>
    <m/>
    <x v="8"/>
    <x v="7"/>
    <m/>
    <m/>
    <m/>
    <m/>
    <m/>
    <m/>
    <m/>
    <m/>
    <m/>
    <m/>
    <m/>
    <m/>
    <m/>
    <m/>
    <m/>
  </r>
  <r>
    <m/>
    <x v="5"/>
    <m/>
    <x v="8"/>
    <x v="7"/>
    <m/>
    <m/>
    <m/>
    <m/>
    <m/>
    <m/>
    <m/>
    <m/>
    <m/>
    <m/>
    <m/>
    <m/>
    <m/>
    <m/>
    <m/>
  </r>
  <r>
    <m/>
    <x v="5"/>
    <m/>
    <x v="8"/>
    <x v="7"/>
    <m/>
    <m/>
    <m/>
    <m/>
    <m/>
    <m/>
    <m/>
    <m/>
    <m/>
    <m/>
    <m/>
    <m/>
    <m/>
    <m/>
    <m/>
  </r>
  <r>
    <m/>
    <x v="5"/>
    <m/>
    <x v="8"/>
    <x v="7"/>
    <m/>
    <m/>
    <m/>
    <m/>
    <m/>
    <m/>
    <m/>
    <m/>
    <m/>
    <m/>
    <m/>
    <m/>
    <m/>
    <m/>
    <m/>
  </r>
  <r>
    <m/>
    <x v="5"/>
    <m/>
    <x v="8"/>
    <x v="7"/>
    <m/>
    <m/>
    <m/>
    <m/>
    <m/>
    <m/>
    <m/>
    <m/>
    <m/>
    <m/>
    <m/>
    <m/>
    <m/>
    <m/>
    <m/>
  </r>
  <r>
    <m/>
    <x v="5"/>
    <m/>
    <x v="8"/>
    <x v="7"/>
    <m/>
    <m/>
    <m/>
    <m/>
    <m/>
    <m/>
    <m/>
    <m/>
    <m/>
    <m/>
    <m/>
    <m/>
    <m/>
    <m/>
    <m/>
  </r>
  <r>
    <m/>
    <x v="5"/>
    <m/>
    <x v="8"/>
    <x v="7"/>
    <m/>
    <m/>
    <m/>
    <m/>
    <m/>
    <m/>
    <m/>
    <m/>
    <m/>
    <m/>
    <m/>
    <m/>
    <m/>
    <m/>
    <m/>
  </r>
  <r>
    <m/>
    <x v="5"/>
    <m/>
    <x v="8"/>
    <x v="7"/>
    <m/>
    <m/>
    <m/>
    <m/>
    <m/>
    <m/>
    <m/>
    <m/>
    <m/>
    <m/>
    <m/>
    <m/>
    <m/>
    <m/>
    <m/>
  </r>
  <r>
    <m/>
    <x v="5"/>
    <m/>
    <x v="8"/>
    <x v="7"/>
    <m/>
    <m/>
    <m/>
    <m/>
    <m/>
    <m/>
    <m/>
    <m/>
    <m/>
    <m/>
    <m/>
    <m/>
    <m/>
    <m/>
    <m/>
  </r>
  <r>
    <m/>
    <x v="5"/>
    <m/>
    <x v="8"/>
    <x v="7"/>
    <m/>
    <m/>
    <m/>
    <m/>
    <m/>
    <m/>
    <m/>
    <m/>
    <m/>
    <m/>
    <m/>
    <m/>
    <m/>
    <m/>
    <m/>
  </r>
  <r>
    <m/>
    <x v="5"/>
    <m/>
    <x v="8"/>
    <x v="7"/>
    <m/>
    <m/>
    <m/>
    <m/>
    <m/>
    <m/>
    <m/>
    <m/>
    <m/>
    <m/>
    <m/>
    <m/>
    <m/>
    <m/>
    <m/>
  </r>
  <r>
    <m/>
    <x v="5"/>
    <m/>
    <x v="8"/>
    <x v="7"/>
    <m/>
    <m/>
    <m/>
    <m/>
    <m/>
    <m/>
    <m/>
    <m/>
    <m/>
    <m/>
    <m/>
    <m/>
    <m/>
    <m/>
    <m/>
  </r>
  <r>
    <m/>
    <x v="5"/>
    <m/>
    <x v="8"/>
    <x v="7"/>
    <m/>
    <m/>
    <m/>
    <m/>
    <m/>
    <m/>
    <m/>
    <m/>
    <m/>
    <m/>
    <m/>
    <m/>
    <m/>
    <m/>
    <m/>
  </r>
  <r>
    <m/>
    <x v="5"/>
    <m/>
    <x v="8"/>
    <x v="7"/>
    <m/>
    <m/>
    <m/>
    <m/>
    <m/>
    <m/>
    <m/>
    <m/>
    <m/>
    <m/>
    <m/>
    <m/>
    <m/>
    <m/>
    <m/>
  </r>
  <r>
    <m/>
    <x v="5"/>
    <m/>
    <x v="8"/>
    <x v="7"/>
    <m/>
    <m/>
    <m/>
    <m/>
    <m/>
    <m/>
    <m/>
    <m/>
    <m/>
    <m/>
    <m/>
    <m/>
    <m/>
    <m/>
    <m/>
  </r>
  <r>
    <m/>
    <x v="5"/>
    <m/>
    <x v="8"/>
    <x v="7"/>
    <m/>
    <m/>
    <m/>
    <m/>
    <m/>
    <m/>
    <m/>
    <m/>
    <m/>
    <m/>
    <m/>
    <m/>
    <m/>
    <m/>
    <m/>
  </r>
  <r>
    <m/>
    <x v="5"/>
    <m/>
    <x v="8"/>
    <x v="7"/>
    <m/>
    <m/>
    <m/>
    <m/>
    <m/>
    <m/>
    <m/>
    <m/>
    <m/>
    <m/>
    <m/>
    <m/>
    <m/>
    <m/>
    <m/>
  </r>
  <r>
    <m/>
    <x v="5"/>
    <m/>
    <x v="8"/>
    <x v="7"/>
    <m/>
    <m/>
    <m/>
    <m/>
    <m/>
    <m/>
    <m/>
    <m/>
    <m/>
    <m/>
    <m/>
    <m/>
    <m/>
    <m/>
    <m/>
  </r>
  <r>
    <m/>
    <x v="5"/>
    <m/>
    <x v="8"/>
    <x v="7"/>
    <m/>
    <m/>
    <m/>
    <m/>
    <m/>
    <m/>
    <m/>
    <m/>
    <m/>
    <m/>
    <m/>
    <m/>
    <m/>
    <m/>
    <m/>
  </r>
  <r>
    <m/>
    <x v="5"/>
    <m/>
    <x v="8"/>
    <x v="7"/>
    <m/>
    <m/>
    <m/>
    <m/>
    <m/>
    <m/>
    <m/>
    <m/>
    <m/>
    <m/>
    <m/>
    <m/>
    <m/>
    <m/>
    <m/>
  </r>
  <r>
    <m/>
    <x v="5"/>
    <m/>
    <x v="8"/>
    <x v="7"/>
    <m/>
    <m/>
    <m/>
    <m/>
    <m/>
    <m/>
    <m/>
    <m/>
    <m/>
    <m/>
    <m/>
    <m/>
    <m/>
    <m/>
    <m/>
  </r>
  <r>
    <m/>
    <x v="5"/>
    <m/>
    <x v="8"/>
    <x v="7"/>
    <m/>
    <m/>
    <m/>
    <m/>
    <m/>
    <m/>
    <m/>
    <m/>
    <m/>
    <m/>
    <m/>
    <m/>
    <m/>
    <m/>
    <m/>
  </r>
  <r>
    <m/>
    <x v="5"/>
    <m/>
    <x v="8"/>
    <x v="7"/>
    <m/>
    <m/>
    <m/>
    <m/>
    <m/>
    <m/>
    <m/>
    <m/>
    <m/>
    <m/>
    <m/>
    <m/>
    <m/>
    <m/>
    <m/>
  </r>
  <r>
    <m/>
    <x v="5"/>
    <m/>
    <x v="8"/>
    <x v="7"/>
    <m/>
    <m/>
    <m/>
    <m/>
    <m/>
    <m/>
    <m/>
    <m/>
    <m/>
    <m/>
    <m/>
    <m/>
    <m/>
    <m/>
    <m/>
  </r>
  <r>
    <m/>
    <x v="5"/>
    <m/>
    <x v="8"/>
    <x v="7"/>
    <m/>
    <m/>
    <m/>
    <m/>
    <m/>
    <m/>
    <m/>
    <m/>
    <m/>
    <m/>
    <m/>
    <m/>
    <m/>
    <m/>
    <m/>
  </r>
  <r>
    <m/>
    <x v="5"/>
    <m/>
    <x v="8"/>
    <x v="7"/>
    <m/>
    <m/>
    <m/>
    <m/>
    <m/>
    <m/>
    <m/>
    <m/>
    <m/>
    <m/>
    <m/>
    <m/>
    <m/>
    <m/>
    <m/>
  </r>
  <r>
    <m/>
    <x v="5"/>
    <m/>
    <x v="8"/>
    <x v="7"/>
    <m/>
    <m/>
    <m/>
    <m/>
    <m/>
    <m/>
    <m/>
    <m/>
    <m/>
    <m/>
    <m/>
    <m/>
    <m/>
    <m/>
    <m/>
  </r>
  <r>
    <m/>
    <x v="5"/>
    <m/>
    <x v="8"/>
    <x v="7"/>
    <m/>
    <m/>
    <m/>
    <m/>
    <m/>
    <m/>
    <m/>
    <m/>
    <m/>
    <m/>
    <m/>
    <m/>
    <m/>
    <m/>
    <m/>
  </r>
  <r>
    <m/>
    <x v="5"/>
    <m/>
    <x v="8"/>
    <x v="7"/>
    <m/>
    <m/>
    <m/>
    <m/>
    <m/>
    <m/>
    <m/>
    <m/>
    <m/>
    <m/>
    <m/>
    <m/>
    <m/>
    <m/>
    <m/>
  </r>
  <r>
    <m/>
    <x v="5"/>
    <m/>
    <x v="8"/>
    <x v="7"/>
    <m/>
    <m/>
    <m/>
    <m/>
    <m/>
    <m/>
    <m/>
    <m/>
    <m/>
    <m/>
    <m/>
    <m/>
    <m/>
    <m/>
    <m/>
  </r>
  <r>
    <m/>
    <x v="5"/>
    <m/>
    <x v="8"/>
    <x v="7"/>
    <m/>
    <m/>
    <m/>
    <m/>
    <m/>
    <m/>
    <m/>
    <m/>
    <m/>
    <m/>
    <m/>
    <m/>
    <m/>
    <m/>
    <m/>
  </r>
  <r>
    <m/>
    <x v="5"/>
    <m/>
    <x v="8"/>
    <x v="7"/>
    <m/>
    <m/>
    <m/>
    <m/>
    <m/>
    <m/>
    <m/>
    <m/>
    <m/>
    <m/>
    <m/>
    <m/>
    <m/>
    <m/>
    <m/>
  </r>
  <r>
    <m/>
    <x v="5"/>
    <m/>
    <x v="8"/>
    <x v="7"/>
    <m/>
    <m/>
    <m/>
    <m/>
    <m/>
    <m/>
    <m/>
    <m/>
    <m/>
    <m/>
    <m/>
    <m/>
    <m/>
    <m/>
    <m/>
  </r>
  <r>
    <m/>
    <x v="5"/>
    <m/>
    <x v="8"/>
    <x v="7"/>
    <m/>
    <m/>
    <m/>
    <m/>
    <m/>
    <m/>
    <m/>
    <m/>
    <m/>
    <m/>
    <m/>
    <m/>
    <m/>
    <m/>
    <m/>
  </r>
  <r>
    <m/>
    <x v="5"/>
    <m/>
    <x v="8"/>
    <x v="7"/>
    <m/>
    <m/>
    <m/>
    <m/>
    <m/>
    <m/>
    <m/>
    <m/>
    <m/>
    <m/>
    <m/>
    <m/>
    <m/>
    <m/>
    <m/>
  </r>
  <r>
    <m/>
    <x v="5"/>
    <m/>
    <x v="8"/>
    <x v="7"/>
    <m/>
    <m/>
    <m/>
    <m/>
    <m/>
    <m/>
    <m/>
    <m/>
    <m/>
    <m/>
    <m/>
    <m/>
    <m/>
    <m/>
    <m/>
  </r>
  <r>
    <m/>
    <x v="5"/>
    <m/>
    <x v="8"/>
    <x v="7"/>
    <m/>
    <m/>
    <m/>
    <m/>
    <m/>
    <m/>
    <m/>
    <m/>
    <m/>
    <m/>
    <m/>
    <m/>
    <m/>
    <m/>
    <m/>
  </r>
  <r>
    <m/>
    <x v="5"/>
    <m/>
    <x v="8"/>
    <x v="7"/>
    <m/>
    <m/>
    <m/>
    <m/>
    <m/>
    <m/>
    <m/>
    <m/>
    <m/>
    <m/>
    <m/>
    <m/>
    <m/>
    <m/>
    <m/>
  </r>
  <r>
    <m/>
    <x v="5"/>
    <m/>
    <x v="8"/>
    <x v="7"/>
    <m/>
    <m/>
    <m/>
    <m/>
    <m/>
    <m/>
    <m/>
    <m/>
    <m/>
    <m/>
    <m/>
    <m/>
    <m/>
    <m/>
    <m/>
  </r>
  <r>
    <m/>
    <x v="5"/>
    <m/>
    <x v="8"/>
    <x v="7"/>
    <m/>
    <m/>
    <m/>
    <m/>
    <m/>
    <m/>
    <m/>
    <m/>
    <m/>
    <m/>
    <m/>
    <m/>
    <m/>
    <m/>
    <m/>
  </r>
  <r>
    <m/>
    <x v="5"/>
    <m/>
    <x v="8"/>
    <x v="7"/>
    <m/>
    <m/>
    <m/>
    <m/>
    <m/>
    <m/>
    <m/>
    <m/>
    <m/>
    <m/>
    <m/>
    <m/>
    <m/>
    <m/>
    <m/>
  </r>
  <r>
    <m/>
    <x v="5"/>
    <m/>
    <x v="8"/>
    <x v="7"/>
    <m/>
    <m/>
    <m/>
    <m/>
    <m/>
    <m/>
    <m/>
    <m/>
    <m/>
    <m/>
    <m/>
    <m/>
    <m/>
    <m/>
    <m/>
  </r>
  <r>
    <m/>
    <x v="5"/>
    <m/>
    <x v="8"/>
    <x v="7"/>
    <m/>
    <m/>
    <m/>
    <m/>
    <m/>
    <m/>
    <m/>
    <m/>
    <m/>
    <m/>
    <m/>
    <m/>
    <m/>
    <m/>
    <m/>
  </r>
  <r>
    <m/>
    <x v="5"/>
    <m/>
    <x v="8"/>
    <x v="7"/>
    <m/>
    <m/>
    <m/>
    <m/>
    <m/>
    <m/>
    <m/>
    <m/>
    <m/>
    <m/>
    <m/>
    <m/>
    <m/>
    <m/>
    <m/>
  </r>
  <r>
    <m/>
    <x v="5"/>
    <m/>
    <x v="8"/>
    <x v="7"/>
    <m/>
    <m/>
    <m/>
    <m/>
    <m/>
    <m/>
    <m/>
    <m/>
    <m/>
    <m/>
    <m/>
    <m/>
    <m/>
    <m/>
    <m/>
  </r>
  <r>
    <m/>
    <x v="5"/>
    <m/>
    <x v="8"/>
    <x v="7"/>
    <m/>
    <m/>
    <m/>
    <m/>
    <m/>
    <m/>
    <m/>
    <m/>
    <m/>
    <m/>
    <m/>
    <m/>
    <m/>
    <m/>
    <m/>
  </r>
  <r>
    <m/>
    <x v="5"/>
    <m/>
    <x v="8"/>
    <x v="7"/>
    <m/>
    <m/>
    <m/>
    <m/>
    <m/>
    <m/>
    <m/>
    <m/>
    <m/>
    <m/>
    <m/>
    <m/>
    <m/>
    <m/>
    <m/>
  </r>
  <r>
    <m/>
    <x v="5"/>
    <m/>
    <x v="8"/>
    <x v="7"/>
    <m/>
    <m/>
    <m/>
    <m/>
    <m/>
    <m/>
    <m/>
    <m/>
    <m/>
    <m/>
    <m/>
    <m/>
    <m/>
    <m/>
    <m/>
  </r>
  <r>
    <m/>
    <x v="5"/>
    <m/>
    <x v="8"/>
    <x v="7"/>
    <m/>
    <m/>
    <m/>
    <m/>
    <m/>
    <m/>
    <m/>
    <m/>
    <m/>
    <m/>
    <m/>
    <m/>
    <m/>
    <m/>
    <m/>
  </r>
  <r>
    <m/>
    <x v="5"/>
    <m/>
    <x v="8"/>
    <x v="7"/>
    <m/>
    <m/>
    <m/>
    <m/>
    <m/>
    <m/>
    <m/>
    <m/>
    <m/>
    <m/>
    <m/>
    <m/>
    <m/>
    <m/>
    <m/>
  </r>
  <r>
    <m/>
    <x v="5"/>
    <m/>
    <x v="8"/>
    <x v="7"/>
    <m/>
    <m/>
    <m/>
    <m/>
    <m/>
    <m/>
    <m/>
    <m/>
    <m/>
    <m/>
    <m/>
    <m/>
    <m/>
    <m/>
    <m/>
  </r>
  <r>
    <m/>
    <x v="5"/>
    <m/>
    <x v="8"/>
    <x v="7"/>
    <m/>
    <m/>
    <m/>
    <m/>
    <m/>
    <m/>
    <m/>
    <m/>
    <m/>
    <m/>
    <m/>
    <m/>
    <m/>
    <m/>
    <m/>
  </r>
  <r>
    <m/>
    <x v="5"/>
    <m/>
    <x v="8"/>
    <x v="7"/>
    <m/>
    <m/>
    <m/>
    <m/>
    <m/>
    <m/>
    <m/>
    <m/>
    <m/>
    <m/>
    <m/>
    <m/>
    <m/>
    <m/>
    <m/>
  </r>
  <r>
    <m/>
    <x v="5"/>
    <m/>
    <x v="8"/>
    <x v="7"/>
    <m/>
    <m/>
    <m/>
    <m/>
    <m/>
    <m/>
    <m/>
    <m/>
    <m/>
    <m/>
    <m/>
    <m/>
    <m/>
    <m/>
    <m/>
  </r>
  <r>
    <m/>
    <x v="5"/>
    <m/>
    <x v="8"/>
    <x v="7"/>
    <m/>
    <m/>
    <m/>
    <m/>
    <m/>
    <m/>
    <m/>
    <m/>
    <m/>
    <m/>
    <m/>
    <m/>
    <m/>
    <m/>
    <m/>
  </r>
  <r>
    <m/>
    <x v="5"/>
    <m/>
    <x v="8"/>
    <x v="7"/>
    <m/>
    <m/>
    <m/>
    <m/>
    <m/>
    <m/>
    <m/>
    <m/>
    <m/>
    <m/>
    <m/>
    <m/>
    <m/>
    <m/>
    <m/>
  </r>
  <r>
    <m/>
    <x v="5"/>
    <m/>
    <x v="8"/>
    <x v="7"/>
    <m/>
    <m/>
    <m/>
    <m/>
    <m/>
    <m/>
    <m/>
    <m/>
    <m/>
    <m/>
    <m/>
    <m/>
    <m/>
    <m/>
    <m/>
  </r>
  <r>
    <m/>
    <x v="5"/>
    <m/>
    <x v="8"/>
    <x v="7"/>
    <m/>
    <m/>
    <m/>
    <m/>
    <m/>
    <m/>
    <m/>
    <m/>
    <m/>
    <m/>
    <m/>
    <m/>
    <m/>
    <m/>
    <m/>
  </r>
  <r>
    <m/>
    <x v="5"/>
    <m/>
    <x v="8"/>
    <x v="7"/>
    <m/>
    <m/>
    <m/>
    <m/>
    <m/>
    <m/>
    <m/>
    <m/>
    <m/>
    <m/>
    <m/>
    <m/>
    <m/>
    <m/>
    <m/>
  </r>
  <r>
    <m/>
    <x v="5"/>
    <m/>
    <x v="8"/>
    <x v="7"/>
    <m/>
    <m/>
    <m/>
    <m/>
    <m/>
    <m/>
    <m/>
    <m/>
    <m/>
    <m/>
    <m/>
    <m/>
    <m/>
    <m/>
    <m/>
  </r>
  <r>
    <m/>
    <x v="5"/>
    <m/>
    <x v="8"/>
    <x v="7"/>
    <m/>
    <m/>
    <m/>
    <m/>
    <m/>
    <m/>
    <m/>
    <m/>
    <m/>
    <m/>
    <m/>
    <m/>
    <m/>
    <m/>
    <m/>
  </r>
  <r>
    <m/>
    <x v="5"/>
    <m/>
    <x v="8"/>
    <x v="7"/>
    <m/>
    <m/>
    <m/>
    <m/>
    <m/>
    <m/>
    <m/>
    <m/>
    <m/>
    <m/>
    <m/>
    <m/>
    <m/>
    <m/>
    <m/>
  </r>
  <r>
    <m/>
    <x v="5"/>
    <m/>
    <x v="8"/>
    <x v="7"/>
    <m/>
    <m/>
    <m/>
    <m/>
    <m/>
    <m/>
    <m/>
    <m/>
    <m/>
    <m/>
    <m/>
    <m/>
    <m/>
    <m/>
    <m/>
  </r>
  <r>
    <m/>
    <x v="5"/>
    <m/>
    <x v="8"/>
    <x v="7"/>
    <m/>
    <m/>
    <m/>
    <m/>
    <m/>
    <m/>
    <m/>
    <m/>
    <m/>
    <m/>
    <m/>
    <m/>
    <m/>
    <m/>
    <m/>
  </r>
  <r>
    <m/>
    <x v="5"/>
    <m/>
    <x v="8"/>
    <x v="7"/>
    <m/>
    <m/>
    <m/>
    <m/>
    <m/>
    <m/>
    <m/>
    <m/>
    <m/>
    <m/>
    <m/>
    <m/>
    <m/>
    <m/>
    <m/>
  </r>
  <r>
    <m/>
    <x v="5"/>
    <m/>
    <x v="8"/>
    <x v="7"/>
    <m/>
    <m/>
    <m/>
    <m/>
    <m/>
    <m/>
    <m/>
    <m/>
    <m/>
    <m/>
    <m/>
    <m/>
    <m/>
    <m/>
    <m/>
  </r>
  <r>
    <m/>
    <x v="5"/>
    <m/>
    <x v="8"/>
    <x v="7"/>
    <m/>
    <m/>
    <m/>
    <m/>
    <m/>
    <m/>
    <m/>
    <m/>
    <m/>
    <m/>
    <m/>
    <m/>
    <m/>
    <m/>
    <m/>
  </r>
  <r>
    <m/>
    <x v="5"/>
    <m/>
    <x v="8"/>
    <x v="7"/>
    <m/>
    <m/>
    <m/>
    <m/>
    <m/>
    <m/>
    <m/>
    <m/>
    <m/>
    <m/>
    <m/>
    <m/>
    <m/>
    <m/>
    <m/>
  </r>
  <r>
    <m/>
    <x v="5"/>
    <m/>
    <x v="8"/>
    <x v="7"/>
    <m/>
    <m/>
    <m/>
    <m/>
    <m/>
    <m/>
    <m/>
    <m/>
    <m/>
    <m/>
    <m/>
    <m/>
    <m/>
    <m/>
    <m/>
  </r>
  <r>
    <m/>
    <x v="5"/>
    <m/>
    <x v="8"/>
    <x v="7"/>
    <m/>
    <m/>
    <m/>
    <m/>
    <m/>
    <m/>
    <m/>
    <m/>
    <m/>
    <m/>
    <m/>
    <m/>
    <m/>
    <m/>
    <m/>
  </r>
  <r>
    <m/>
    <x v="5"/>
    <m/>
    <x v="8"/>
    <x v="7"/>
    <m/>
    <m/>
    <m/>
    <m/>
    <m/>
    <m/>
    <m/>
    <m/>
    <m/>
    <m/>
    <m/>
    <m/>
    <m/>
    <m/>
    <m/>
  </r>
  <r>
    <m/>
    <x v="5"/>
    <m/>
    <x v="8"/>
    <x v="7"/>
    <m/>
    <m/>
    <m/>
    <m/>
    <m/>
    <m/>
    <m/>
    <m/>
    <m/>
    <m/>
    <m/>
    <m/>
    <m/>
    <m/>
    <m/>
  </r>
  <r>
    <m/>
    <x v="5"/>
    <m/>
    <x v="8"/>
    <x v="7"/>
    <m/>
    <m/>
    <m/>
    <m/>
    <m/>
    <m/>
    <m/>
    <m/>
    <m/>
    <m/>
    <m/>
    <m/>
    <m/>
    <m/>
    <m/>
  </r>
  <r>
    <m/>
    <x v="5"/>
    <m/>
    <x v="8"/>
    <x v="7"/>
    <m/>
    <m/>
    <m/>
    <m/>
    <m/>
    <m/>
    <m/>
    <m/>
    <m/>
    <m/>
    <m/>
    <m/>
    <m/>
    <m/>
    <m/>
  </r>
  <r>
    <m/>
    <x v="5"/>
    <m/>
    <x v="8"/>
    <x v="7"/>
    <m/>
    <m/>
    <m/>
    <m/>
    <m/>
    <m/>
    <m/>
    <m/>
    <m/>
    <m/>
    <m/>
    <m/>
    <m/>
    <m/>
    <m/>
  </r>
  <r>
    <m/>
    <x v="5"/>
    <m/>
    <x v="8"/>
    <x v="7"/>
    <m/>
    <m/>
    <m/>
    <m/>
    <m/>
    <m/>
    <m/>
    <m/>
    <m/>
    <m/>
    <m/>
    <m/>
    <m/>
    <m/>
    <m/>
  </r>
  <r>
    <m/>
    <x v="5"/>
    <m/>
    <x v="8"/>
    <x v="7"/>
    <m/>
    <m/>
    <m/>
    <m/>
    <m/>
    <m/>
    <m/>
    <m/>
    <m/>
    <m/>
    <m/>
    <m/>
    <m/>
    <m/>
    <m/>
  </r>
  <r>
    <m/>
    <x v="5"/>
    <m/>
    <x v="8"/>
    <x v="7"/>
    <m/>
    <m/>
    <m/>
    <m/>
    <m/>
    <m/>
    <m/>
    <m/>
    <m/>
    <m/>
    <m/>
    <m/>
    <m/>
    <m/>
    <m/>
  </r>
  <r>
    <m/>
    <x v="5"/>
    <m/>
    <x v="8"/>
    <x v="7"/>
    <m/>
    <m/>
    <m/>
    <m/>
    <m/>
    <m/>
    <m/>
    <m/>
    <m/>
    <m/>
    <m/>
    <m/>
    <m/>
    <m/>
    <m/>
  </r>
  <r>
    <m/>
    <x v="5"/>
    <m/>
    <x v="8"/>
    <x v="7"/>
    <m/>
    <m/>
    <m/>
    <m/>
    <m/>
    <m/>
    <m/>
    <m/>
    <m/>
    <m/>
    <m/>
    <m/>
    <m/>
    <m/>
    <m/>
  </r>
  <r>
    <m/>
    <x v="5"/>
    <m/>
    <x v="8"/>
    <x v="7"/>
    <m/>
    <m/>
    <m/>
    <m/>
    <m/>
    <m/>
    <m/>
    <m/>
    <m/>
    <m/>
    <m/>
    <m/>
    <m/>
    <m/>
    <m/>
  </r>
  <r>
    <m/>
    <x v="5"/>
    <m/>
    <x v="8"/>
    <x v="7"/>
    <m/>
    <m/>
    <m/>
    <m/>
    <m/>
    <m/>
    <m/>
    <m/>
    <m/>
    <m/>
    <m/>
    <m/>
    <m/>
    <m/>
    <m/>
  </r>
  <r>
    <m/>
    <x v="5"/>
    <m/>
    <x v="8"/>
    <x v="7"/>
    <m/>
    <m/>
    <m/>
    <m/>
    <m/>
    <m/>
    <m/>
    <m/>
    <m/>
    <m/>
    <m/>
    <m/>
    <m/>
    <m/>
    <m/>
  </r>
  <r>
    <m/>
    <x v="5"/>
    <m/>
    <x v="8"/>
    <x v="7"/>
    <m/>
    <m/>
    <m/>
    <m/>
    <m/>
    <m/>
    <m/>
    <m/>
    <m/>
    <m/>
    <m/>
    <m/>
    <m/>
    <m/>
    <m/>
  </r>
  <r>
    <m/>
    <x v="5"/>
    <m/>
    <x v="8"/>
    <x v="7"/>
    <m/>
    <m/>
    <m/>
    <m/>
    <m/>
    <m/>
    <m/>
    <m/>
    <m/>
    <m/>
    <m/>
    <m/>
    <m/>
    <m/>
    <m/>
  </r>
  <r>
    <m/>
    <x v="5"/>
    <m/>
    <x v="8"/>
    <x v="7"/>
    <m/>
    <m/>
    <m/>
    <m/>
    <m/>
    <m/>
    <m/>
    <m/>
    <m/>
    <m/>
    <m/>
    <m/>
    <m/>
    <m/>
    <m/>
  </r>
  <r>
    <m/>
    <x v="5"/>
    <m/>
    <x v="8"/>
    <x v="7"/>
    <m/>
    <m/>
    <m/>
    <m/>
    <m/>
    <m/>
    <m/>
    <m/>
    <m/>
    <m/>
    <m/>
    <m/>
    <m/>
    <m/>
    <m/>
  </r>
  <r>
    <m/>
    <x v="5"/>
    <m/>
    <x v="8"/>
    <x v="7"/>
    <m/>
    <m/>
    <m/>
    <m/>
    <m/>
    <m/>
    <m/>
    <m/>
    <m/>
    <m/>
    <m/>
    <m/>
    <m/>
    <m/>
    <m/>
  </r>
  <r>
    <m/>
    <x v="5"/>
    <m/>
    <x v="8"/>
    <x v="7"/>
    <m/>
    <m/>
    <m/>
    <m/>
    <m/>
    <m/>
    <m/>
    <m/>
    <m/>
    <m/>
    <m/>
    <m/>
    <m/>
    <m/>
    <m/>
  </r>
  <r>
    <m/>
    <x v="5"/>
    <m/>
    <x v="8"/>
    <x v="7"/>
    <m/>
    <m/>
    <m/>
    <m/>
    <m/>
    <m/>
    <m/>
    <m/>
    <m/>
    <m/>
    <m/>
    <m/>
    <m/>
    <m/>
    <m/>
  </r>
  <r>
    <m/>
    <x v="5"/>
    <m/>
    <x v="8"/>
    <x v="7"/>
    <m/>
    <m/>
    <m/>
    <m/>
    <m/>
    <m/>
    <m/>
    <m/>
    <m/>
    <m/>
    <m/>
    <m/>
    <m/>
    <m/>
    <m/>
  </r>
  <r>
    <m/>
    <x v="5"/>
    <m/>
    <x v="8"/>
    <x v="7"/>
    <m/>
    <m/>
    <m/>
    <m/>
    <m/>
    <m/>
    <m/>
    <m/>
    <m/>
    <m/>
    <m/>
    <m/>
    <m/>
    <m/>
    <m/>
  </r>
  <r>
    <m/>
    <x v="5"/>
    <m/>
    <x v="8"/>
    <x v="7"/>
    <m/>
    <m/>
    <m/>
    <m/>
    <m/>
    <m/>
    <m/>
    <m/>
    <m/>
    <m/>
    <m/>
    <m/>
    <m/>
    <m/>
    <m/>
  </r>
  <r>
    <m/>
    <x v="5"/>
    <m/>
    <x v="8"/>
    <x v="7"/>
    <m/>
    <m/>
    <m/>
    <m/>
    <m/>
    <m/>
    <m/>
    <m/>
    <m/>
    <m/>
    <m/>
    <m/>
    <m/>
    <m/>
    <m/>
  </r>
  <r>
    <m/>
    <x v="5"/>
    <m/>
    <x v="8"/>
    <x v="7"/>
    <m/>
    <m/>
    <m/>
    <m/>
    <m/>
    <m/>
    <m/>
    <m/>
    <m/>
    <m/>
    <m/>
    <m/>
    <m/>
    <m/>
    <m/>
  </r>
  <r>
    <m/>
    <x v="5"/>
    <m/>
    <x v="8"/>
    <x v="7"/>
    <m/>
    <m/>
    <m/>
    <m/>
    <m/>
    <m/>
    <m/>
    <m/>
    <m/>
    <m/>
    <m/>
    <m/>
    <m/>
    <m/>
    <m/>
  </r>
  <r>
    <m/>
    <x v="5"/>
    <m/>
    <x v="8"/>
    <x v="7"/>
    <m/>
    <m/>
    <m/>
    <m/>
    <m/>
    <m/>
    <m/>
    <m/>
    <m/>
    <m/>
    <m/>
    <m/>
    <m/>
    <m/>
    <m/>
  </r>
  <r>
    <m/>
    <x v="5"/>
    <m/>
    <x v="8"/>
    <x v="7"/>
    <m/>
    <m/>
    <m/>
    <m/>
    <m/>
    <m/>
    <m/>
    <m/>
    <m/>
    <m/>
    <m/>
    <m/>
    <m/>
    <m/>
    <m/>
  </r>
  <r>
    <m/>
    <x v="5"/>
    <m/>
    <x v="8"/>
    <x v="7"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4" cacheId="13" applyNumberFormats="0" applyBorderFormats="0" applyFontFormats="0" applyPatternFormats="0" applyAlignmentFormats="0" applyWidthHeightFormats="1" dataCaption="Values" updatedVersion="6" minRefreshableVersion="3" useAutoFormatting="1" itemPrintTitles="1" createdVersion="4" indent="0" outline="1" outlineData="1" multipleFieldFilters="0">
  <location ref="A3:G13" firstHeaderRow="1" firstDataRow="2" firstDataCol="1"/>
  <pivotFields count="20">
    <pivotField showAll="0"/>
    <pivotField axis="axisCol" showAll="0">
      <items count="9">
        <item m="1" x="6"/>
        <item m="1" x="7"/>
        <item x="5"/>
        <item x="0"/>
        <item x="1"/>
        <item x="2"/>
        <item x="3"/>
        <item x="4"/>
        <item t="default"/>
      </items>
    </pivotField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h="1" x="8"/>
        <item t="default"/>
      </items>
    </pivotField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 defaultSubtota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"/>
  </colFields>
  <colItems count="6">
    <i>
      <x v="3"/>
    </i>
    <i>
      <x v="4"/>
    </i>
    <i>
      <x v="5"/>
    </i>
    <i>
      <x v="6"/>
    </i>
    <i>
      <x v="7"/>
    </i>
    <i t="grand">
      <x/>
    </i>
  </colItems>
  <dataFields count="1">
    <dataField name="Average of Age_1+" fld="19" subtotal="average" baseField="3" baseItem="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5" cacheId="22" applyNumberFormats="0" applyBorderFormats="0" applyFontFormats="0" applyPatternFormats="0" applyAlignmentFormats="0" applyWidthHeightFormats="1" dataCaption="Values" updatedVersion="6" minRefreshableVersion="3" useAutoFormatting="1" itemPrintTitles="1" createdVersion="4" indent="0" compact="0" compactData="0" gridDropZones="1" multipleFieldFilters="0">
  <location ref="A3:H36" firstHeaderRow="1" firstDataRow="2" firstDataCol="2"/>
  <pivotFields count="20">
    <pivotField compact="0" outline="0" showAll="0"/>
    <pivotField axis="axisCol" compact="0" outline="0" showAll="0">
      <items count="7">
        <item x="0"/>
        <item x="1"/>
        <item x="2"/>
        <item x="3"/>
        <item x="4"/>
        <item h="1" x="5"/>
        <item t="default"/>
      </items>
    </pivotField>
    <pivotField compact="0" outline="0" showAll="0"/>
    <pivotField axis="axisRow" compact="0" outline="0" showAll="0" defaultSubtotal="0">
      <items count="9">
        <item x="0"/>
        <item x="1"/>
        <item x="2"/>
        <item x="3"/>
        <item x="4"/>
        <item x="5"/>
        <item x="6"/>
        <item x="7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9">
        <item x="3"/>
        <item x="2"/>
        <item x="0"/>
        <item x="1"/>
        <item x="4"/>
        <item x="5"/>
        <item x="6"/>
        <item x="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2">
    <field x="3"/>
    <field x="4"/>
  </rowFields>
  <rowItems count="32">
    <i>
      <x/>
      <x v="1"/>
    </i>
    <i r="1">
      <x v="2"/>
    </i>
    <i r="1">
      <x v="3"/>
    </i>
    <i r="1">
      <x v="4"/>
    </i>
    <i>
      <x v="1"/>
      <x/>
    </i>
    <i r="1">
      <x v="1"/>
    </i>
    <i>
      <x v="2"/>
      <x/>
    </i>
    <i r="1">
      <x v="1"/>
    </i>
    <i>
      <x v="3"/>
      <x/>
    </i>
    <i r="1">
      <x v="1"/>
    </i>
    <i r="1">
      <x v="2"/>
    </i>
    <i r="1">
      <x v="3"/>
    </i>
    <i>
      <x v="4"/>
      <x v="1"/>
    </i>
    <i r="1">
      <x v="2"/>
    </i>
    <i r="1">
      <x v="3"/>
    </i>
    <i r="1">
      <x v="4"/>
    </i>
    <i>
      <x v="5"/>
      <x v="1"/>
    </i>
    <i r="1">
      <x v="2"/>
    </i>
    <i r="1">
      <x v="3"/>
    </i>
    <i r="1">
      <x v="4"/>
    </i>
    <i r="1">
      <x v="5"/>
    </i>
    <i r="1">
      <x v="6"/>
    </i>
    <i>
      <x v="6"/>
      <x v="2"/>
    </i>
    <i r="1">
      <x v="3"/>
    </i>
    <i r="1">
      <x v="4"/>
    </i>
    <i r="1">
      <x v="5"/>
    </i>
    <i>
      <x v="7"/>
      <x v="1"/>
    </i>
    <i r="1">
      <x v="2"/>
    </i>
    <i r="1">
      <x v="3"/>
    </i>
    <i r="1">
      <x v="4"/>
    </i>
    <i r="1">
      <x v="5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Average of Age_1+" fld="19" subtotal="average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2:C4"/>
  <sheetViews>
    <sheetView workbookViewId="0">
      <selection activeCell="C16" sqref="C16"/>
    </sheetView>
  </sheetViews>
  <sheetFormatPr defaultRowHeight="15" x14ac:dyDescent="0.25"/>
  <sheetData>
    <row r="2" spans="1:3" x14ac:dyDescent="0.25">
      <c r="A2" s="4"/>
      <c r="C2" t="s">
        <v>31</v>
      </c>
    </row>
    <row r="4" spans="1:3" x14ac:dyDescent="0.25">
      <c r="A4" s="7"/>
      <c r="C4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2:AB13"/>
  <sheetViews>
    <sheetView tabSelected="1" topLeftCell="B1" zoomScale="80" zoomScaleNormal="80" workbookViewId="0">
      <selection activeCell="Q5" sqref="Q5:S12"/>
    </sheetView>
  </sheetViews>
  <sheetFormatPr defaultRowHeight="15" x14ac:dyDescent="0.25"/>
  <cols>
    <col min="1" max="1" width="18.140625" bestFit="1" customWidth="1"/>
    <col min="2" max="2" width="16.7109375" bestFit="1" customWidth="1"/>
    <col min="3" max="7" width="13" customWidth="1"/>
    <col min="8" max="11" width="12.42578125" customWidth="1"/>
    <col min="12" max="12" width="17.42578125" bestFit="1" customWidth="1"/>
    <col min="13" max="13" width="17.42578125" customWidth="1"/>
    <col min="14" max="14" width="12.42578125" bestFit="1" customWidth="1"/>
    <col min="15" max="15" width="12.42578125" customWidth="1"/>
    <col min="16" max="16" width="13.5703125" customWidth="1"/>
    <col min="17" max="17" width="24.28515625" customWidth="1"/>
    <col min="18" max="18" width="17.42578125" bestFit="1" customWidth="1"/>
    <col min="19" max="19" width="18.42578125" customWidth="1"/>
    <col min="20" max="20" width="12.42578125" bestFit="1" customWidth="1"/>
    <col min="21" max="21" width="13.5703125" customWidth="1"/>
    <col min="22" max="22" width="17.42578125" customWidth="1"/>
    <col min="23" max="24" width="17.42578125" bestFit="1" customWidth="1"/>
    <col min="25" max="25" width="18.42578125" customWidth="1"/>
    <col min="26" max="26" width="13.5703125" bestFit="1" customWidth="1"/>
    <col min="27" max="27" width="17.42578125" bestFit="1" customWidth="1"/>
    <col min="28" max="29" width="17.42578125" customWidth="1"/>
    <col min="30" max="30" width="17.42578125" bestFit="1" customWidth="1"/>
    <col min="31" max="31" width="18.42578125" customWidth="1"/>
    <col min="32" max="32" width="17.42578125" bestFit="1" customWidth="1"/>
    <col min="33" max="33" width="17.42578125" customWidth="1"/>
    <col min="34" max="36" width="17.42578125" bestFit="1" customWidth="1"/>
    <col min="37" max="37" width="18.42578125" customWidth="1"/>
    <col min="38" max="40" width="17.42578125" bestFit="1" customWidth="1"/>
    <col min="41" max="41" width="17.42578125" customWidth="1"/>
    <col min="42" max="42" width="17.42578125" bestFit="1" customWidth="1"/>
    <col min="43" max="43" width="18.42578125" bestFit="1" customWidth="1"/>
    <col min="44" max="48" width="17.42578125" bestFit="1" customWidth="1"/>
    <col min="49" max="49" width="18.42578125" bestFit="1" customWidth="1"/>
    <col min="50" max="54" width="17.42578125" bestFit="1" customWidth="1"/>
    <col min="55" max="55" width="18.42578125" bestFit="1" customWidth="1"/>
    <col min="56" max="60" width="17.42578125" bestFit="1" customWidth="1"/>
    <col min="61" max="61" width="18.42578125" bestFit="1" customWidth="1"/>
    <col min="62" max="62" width="8" customWidth="1"/>
    <col min="63" max="63" width="7" customWidth="1"/>
    <col min="64" max="64" width="3" customWidth="1"/>
    <col min="65" max="65" width="7.28515625" customWidth="1"/>
    <col min="66" max="66" width="13.140625" customWidth="1"/>
    <col min="67" max="71" width="7" customWidth="1"/>
    <col min="72" max="72" width="3" customWidth="1"/>
    <col min="73" max="73" width="7.28515625" customWidth="1"/>
    <col min="74" max="74" width="14.140625" bestFit="1" customWidth="1"/>
    <col min="75" max="79" width="7" customWidth="1"/>
    <col min="80" max="80" width="3" customWidth="1"/>
    <col min="81" max="81" width="7.28515625" customWidth="1"/>
    <col min="82" max="90" width="18.140625" bestFit="1" customWidth="1"/>
    <col min="91" max="91" width="19.140625" bestFit="1" customWidth="1"/>
  </cols>
  <sheetData>
    <row r="2" spans="1:28" x14ac:dyDescent="0.25">
      <c r="J2" s="8" t="s">
        <v>27</v>
      </c>
      <c r="K2" s="8"/>
      <c r="L2" s="8"/>
      <c r="M2" s="8"/>
      <c r="N2" s="8"/>
      <c r="O2" s="8"/>
      <c r="P2" s="6"/>
      <c r="Q2" s="8" t="s">
        <v>26</v>
      </c>
      <c r="R2" s="8"/>
      <c r="S2" s="8"/>
      <c r="V2" s="6"/>
      <c r="W2" s="6"/>
      <c r="X2" s="6"/>
      <c r="Y2" s="6"/>
      <c r="Z2" s="6"/>
      <c r="AA2" s="6"/>
      <c r="AB2" s="5"/>
    </row>
    <row r="3" spans="1:28" x14ac:dyDescent="0.25">
      <c r="A3" s="1" t="s">
        <v>25</v>
      </c>
      <c r="B3" s="1" t="s">
        <v>21</v>
      </c>
    </row>
    <row r="4" spans="1:28" x14ac:dyDescent="0.25">
      <c r="A4" s="1" t="s">
        <v>23</v>
      </c>
      <c r="B4">
        <v>2016</v>
      </c>
      <c r="C4">
        <v>2017</v>
      </c>
      <c r="D4">
        <v>2018</v>
      </c>
      <c r="E4">
        <v>2019</v>
      </c>
      <c r="F4">
        <v>2020</v>
      </c>
      <c r="G4" t="s">
        <v>22</v>
      </c>
    </row>
    <row r="5" spans="1:28" x14ac:dyDescent="0.25">
      <c r="A5" s="2">
        <v>21</v>
      </c>
      <c r="B5" s="3">
        <v>7.0648666666666662</v>
      </c>
      <c r="C5" s="3">
        <v>65.880449999999996</v>
      </c>
      <c r="D5" s="3">
        <v>12.309866666666666</v>
      </c>
      <c r="E5" s="3">
        <v>2.3059666666666665</v>
      </c>
      <c r="F5" s="3">
        <v>16.637533333333334</v>
      </c>
      <c r="G5" s="3">
        <v>23.654781250000003</v>
      </c>
      <c r="I5">
        <v>21</v>
      </c>
      <c r="J5">
        <v>7.0648666666666662</v>
      </c>
      <c r="K5">
        <v>65.880449999999996</v>
      </c>
      <c r="L5">
        <v>12.309866666666666</v>
      </c>
      <c r="M5">
        <v>2.3059666666666665</v>
      </c>
      <c r="N5">
        <v>16.637533333333334</v>
      </c>
      <c r="O5">
        <v>23.654781250000003</v>
      </c>
      <c r="Q5" s="4" t="s">
        <v>28</v>
      </c>
      <c r="R5" s="4" t="s">
        <v>29</v>
      </c>
      <c r="S5" s="4" t="s">
        <v>30</v>
      </c>
    </row>
    <row r="6" spans="1:28" x14ac:dyDescent="0.25">
      <c r="A6" s="2">
        <v>22</v>
      </c>
      <c r="B6" s="3">
        <v>17.474850000000004</v>
      </c>
      <c r="C6" s="3">
        <v>128.80719999999999</v>
      </c>
      <c r="D6" s="3">
        <v>384.71059999999994</v>
      </c>
      <c r="E6" s="3">
        <v>919.52515000000005</v>
      </c>
      <c r="F6" s="3">
        <v>150.42150000000001</v>
      </c>
      <c r="G6" s="3">
        <v>320.18786</v>
      </c>
      <c r="I6">
        <v>22</v>
      </c>
      <c r="J6">
        <v>17.474850000000004</v>
      </c>
      <c r="K6">
        <v>128.80719999999999</v>
      </c>
      <c r="L6">
        <v>384.71059999999994</v>
      </c>
      <c r="M6">
        <v>919.52515000000005</v>
      </c>
      <c r="N6">
        <v>150.42150000000001</v>
      </c>
      <c r="O6">
        <v>320.18786</v>
      </c>
      <c r="Q6" s="4">
        <v>22</v>
      </c>
      <c r="R6" s="4">
        <v>2224</v>
      </c>
      <c r="S6" s="4">
        <f>GETPIVOTDATA("Age_1+",$A$3,"Area",22)</f>
        <v>320.18786</v>
      </c>
    </row>
    <row r="7" spans="1:28" x14ac:dyDescent="0.25">
      <c r="A7" s="2">
        <v>23</v>
      </c>
      <c r="B7" s="3">
        <v>129.41460000000001</v>
      </c>
      <c r="C7" s="3">
        <v>382.20799999999997</v>
      </c>
      <c r="D7" s="3">
        <v>902.59815000000003</v>
      </c>
      <c r="E7" s="3">
        <v>313.76814999999993</v>
      </c>
      <c r="F7" s="3">
        <v>691.75559999999996</v>
      </c>
      <c r="G7" s="3">
        <v>483.94889999999998</v>
      </c>
      <c r="I7">
        <v>23</v>
      </c>
      <c r="J7">
        <v>129.41460000000001</v>
      </c>
      <c r="K7">
        <v>382.20799999999997</v>
      </c>
      <c r="L7">
        <v>902.59815000000003</v>
      </c>
      <c r="M7">
        <v>313.76814999999993</v>
      </c>
      <c r="N7">
        <v>691.75559999999996</v>
      </c>
      <c r="O7">
        <v>483.94889999999998</v>
      </c>
      <c r="Q7" s="4">
        <v>23</v>
      </c>
      <c r="R7" s="4">
        <v>2224</v>
      </c>
      <c r="S7" s="4">
        <f>GETPIVOTDATA("Age_1+",$A$3,"Area",23)</f>
        <v>483.94889999999998</v>
      </c>
    </row>
    <row r="8" spans="1:28" x14ac:dyDescent="0.25">
      <c r="A8" s="2">
        <v>24</v>
      </c>
      <c r="B8" s="3">
        <v>529.82536666666658</v>
      </c>
      <c r="C8" s="3">
        <v>603.71460000000013</v>
      </c>
      <c r="D8" s="3">
        <v>991.27127499999983</v>
      </c>
      <c r="E8" s="3">
        <v>446.96209999999996</v>
      </c>
      <c r="F8" s="3">
        <v>436.39314999999999</v>
      </c>
      <c r="G8" s="3">
        <v>614.83317058823536</v>
      </c>
      <c r="I8">
        <v>24</v>
      </c>
      <c r="J8">
        <v>529.82536666666658</v>
      </c>
      <c r="K8">
        <v>603.71460000000013</v>
      </c>
      <c r="L8">
        <v>991.27127499999983</v>
      </c>
      <c r="M8">
        <v>446.96209999999996</v>
      </c>
      <c r="N8">
        <v>436.39314999999999</v>
      </c>
      <c r="O8">
        <v>614.83317058823536</v>
      </c>
      <c r="Q8" s="4">
        <v>24</v>
      </c>
      <c r="R8" s="4">
        <v>2224</v>
      </c>
      <c r="S8" s="4">
        <f>GETPIVOTDATA("Age_1+",$A$3,"Area",24)</f>
        <v>614.83317058823536</v>
      </c>
    </row>
    <row r="9" spans="1:28" x14ac:dyDescent="0.25">
      <c r="A9" s="2">
        <v>25</v>
      </c>
      <c r="B9" s="3">
        <v>1324.1063500000002</v>
      </c>
      <c r="C9" s="3">
        <v>615.98157499999991</v>
      </c>
      <c r="D9" s="3">
        <v>450.97795000000008</v>
      </c>
      <c r="E9" s="3">
        <v>560.51465000000007</v>
      </c>
      <c r="F9" s="3">
        <v>695.81187499999999</v>
      </c>
      <c r="G9" s="3">
        <v>729.47847999999999</v>
      </c>
      <c r="I9">
        <v>25</v>
      </c>
      <c r="J9">
        <v>1324.1063500000002</v>
      </c>
      <c r="K9">
        <v>615.98157499999991</v>
      </c>
      <c r="L9">
        <v>450.97795000000008</v>
      </c>
      <c r="M9">
        <v>560.51465000000007</v>
      </c>
      <c r="N9">
        <v>695.81187499999999</v>
      </c>
      <c r="O9">
        <v>729.47847999999999</v>
      </c>
      <c r="Q9" s="4">
        <v>25</v>
      </c>
      <c r="R9" s="4">
        <v>2528</v>
      </c>
      <c r="S9" s="4">
        <f>GETPIVOTDATA("Age_1+",$A$3,"Area",26)</f>
        <v>374.46208620689663</v>
      </c>
    </row>
    <row r="10" spans="1:28" x14ac:dyDescent="0.25">
      <c r="A10" s="2">
        <v>26</v>
      </c>
      <c r="B10" s="3">
        <v>702.78028333333339</v>
      </c>
      <c r="C10" s="3">
        <v>306.2097</v>
      </c>
      <c r="D10" s="3">
        <v>323.05241666666666</v>
      </c>
      <c r="E10" s="3">
        <v>319.41841666666664</v>
      </c>
      <c r="F10" s="3">
        <v>209.47421666666662</v>
      </c>
      <c r="G10" s="3">
        <v>374.46208620689663</v>
      </c>
      <c r="I10">
        <v>26</v>
      </c>
      <c r="J10">
        <v>702.78028333333339</v>
      </c>
      <c r="K10">
        <v>306.2097</v>
      </c>
      <c r="L10">
        <v>323.05241666666666</v>
      </c>
      <c r="M10">
        <v>319.41841666666664</v>
      </c>
      <c r="N10">
        <v>209.47421666666662</v>
      </c>
      <c r="O10">
        <v>374.46208620689663</v>
      </c>
      <c r="Q10" s="4">
        <v>26</v>
      </c>
      <c r="R10" s="4">
        <v>2528</v>
      </c>
      <c r="S10" s="4">
        <v>473.27921179999998</v>
      </c>
    </row>
    <row r="11" spans="1:28" x14ac:dyDescent="0.25">
      <c r="A11" s="2">
        <v>27</v>
      </c>
      <c r="B11" s="3">
        <v>13.333300000000001</v>
      </c>
      <c r="C11" s="3">
        <v>2.5</v>
      </c>
      <c r="D11" s="3">
        <v>38.5</v>
      </c>
      <c r="E11" s="3">
        <v>6.9285499999999995</v>
      </c>
      <c r="F11" s="3">
        <v>7.4523333333333328</v>
      </c>
      <c r="G11" s="3">
        <v>11.658142857142858</v>
      </c>
      <c r="I11">
        <v>27</v>
      </c>
      <c r="J11">
        <v>13.333300000000001</v>
      </c>
      <c r="K11">
        <v>2.5</v>
      </c>
      <c r="L11">
        <v>38.5</v>
      </c>
      <c r="M11">
        <v>6.9285499999999995</v>
      </c>
      <c r="N11">
        <v>7.4523333333333328</v>
      </c>
      <c r="O11">
        <v>11.658142857142858</v>
      </c>
      <c r="Q11" s="4">
        <v>27</v>
      </c>
      <c r="R11" s="4">
        <v>2528</v>
      </c>
      <c r="S11" s="4">
        <f>GETPIVOTDATA("Age_1+",$A$3,"Area",27)</f>
        <v>11.658142857142858</v>
      </c>
    </row>
    <row r="12" spans="1:28" x14ac:dyDescent="0.25">
      <c r="A12" s="2">
        <v>28</v>
      </c>
      <c r="B12" s="3">
        <v>12.0793</v>
      </c>
      <c r="C12" s="3">
        <v>161.79998000000001</v>
      </c>
      <c r="D12" s="3">
        <v>21.818700000000003</v>
      </c>
      <c r="E12" s="3">
        <v>30.808699999999998</v>
      </c>
      <c r="F12" s="3">
        <v>14.650775000000001</v>
      </c>
      <c r="G12" s="3">
        <v>52.60175000000001</v>
      </c>
      <c r="I12">
        <v>28</v>
      </c>
      <c r="J12">
        <v>12.0793</v>
      </c>
      <c r="K12">
        <v>161.79998000000001</v>
      </c>
      <c r="L12">
        <v>21.818700000000003</v>
      </c>
      <c r="M12">
        <v>30.808699999999998</v>
      </c>
      <c r="N12">
        <v>14.650775000000001</v>
      </c>
      <c r="O12">
        <v>52.60175000000001</v>
      </c>
      <c r="Q12" s="4">
        <v>28</v>
      </c>
      <c r="R12" s="4">
        <v>2528</v>
      </c>
      <c r="S12" s="4">
        <f>GETPIVOTDATA("Age_1+",$A$3,"Area",28)</f>
        <v>52.60175000000001</v>
      </c>
    </row>
    <row r="13" spans="1:28" x14ac:dyDescent="0.25">
      <c r="A13" s="2" t="s">
        <v>22</v>
      </c>
      <c r="B13" s="3">
        <v>426.14347407407405</v>
      </c>
      <c r="C13" s="3">
        <v>272.78174827586207</v>
      </c>
      <c r="D13" s="3">
        <v>388.26419629629629</v>
      </c>
      <c r="E13" s="3">
        <v>301.51335185185189</v>
      </c>
      <c r="F13" s="3">
        <v>271.46043928571424</v>
      </c>
      <c r="G13" s="3">
        <v>330.73500434782613</v>
      </c>
    </row>
  </sheetData>
  <mergeCells count="2">
    <mergeCell ref="J2:O2"/>
    <mergeCell ref="Q2:S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2:AB40"/>
  <sheetViews>
    <sheetView zoomScale="64" zoomScaleNormal="80" workbookViewId="0">
      <selection activeCell="X5" sqref="X5:Z35"/>
    </sheetView>
  </sheetViews>
  <sheetFormatPr defaultRowHeight="15" x14ac:dyDescent="0.25"/>
  <cols>
    <col min="1" max="1" width="16.42578125" bestFit="1" customWidth="1"/>
    <col min="2" max="2" width="15.140625" bestFit="1" customWidth="1"/>
    <col min="3" max="8" width="16.85546875" bestFit="1" customWidth="1"/>
    <col min="9" max="9" width="13" bestFit="1" customWidth="1"/>
  </cols>
  <sheetData>
    <row r="2" spans="1:28" x14ac:dyDescent="0.25">
      <c r="K2" s="8" t="s">
        <v>27</v>
      </c>
      <c r="L2" s="8"/>
      <c r="M2" s="8"/>
      <c r="N2" s="8"/>
      <c r="O2" s="8"/>
      <c r="P2" s="8"/>
      <c r="Q2" s="8"/>
      <c r="V2" s="8" t="s">
        <v>26</v>
      </c>
      <c r="W2" s="8"/>
      <c r="X2" s="8"/>
      <c r="Y2" s="8"/>
      <c r="Z2" s="8"/>
      <c r="AA2" s="8"/>
      <c r="AB2" s="8"/>
    </row>
    <row r="3" spans="1:28" x14ac:dyDescent="0.25">
      <c r="A3" s="1" t="s">
        <v>25</v>
      </c>
      <c r="C3" s="1" t="s">
        <v>1</v>
      </c>
    </row>
    <row r="4" spans="1:28" x14ac:dyDescent="0.25">
      <c r="A4" s="1" t="s">
        <v>3</v>
      </c>
      <c r="B4" s="1" t="s">
        <v>4</v>
      </c>
      <c r="C4">
        <v>2016</v>
      </c>
      <c r="D4">
        <v>2017</v>
      </c>
      <c r="E4">
        <v>2018</v>
      </c>
      <c r="F4">
        <v>2019</v>
      </c>
      <c r="G4">
        <v>2020</v>
      </c>
      <c r="H4" t="s">
        <v>22</v>
      </c>
    </row>
    <row r="5" spans="1:28" x14ac:dyDescent="0.25">
      <c r="A5">
        <v>21</v>
      </c>
      <c r="B5">
        <v>9</v>
      </c>
      <c r="C5" s="3">
        <v>15.144599999999999</v>
      </c>
      <c r="D5" s="3">
        <v>69.235199999999992</v>
      </c>
      <c r="E5" s="3">
        <v>23.464600000000001</v>
      </c>
      <c r="F5" s="3">
        <v>3.6377999999999999</v>
      </c>
      <c r="G5" s="3">
        <v>18.342600000000001</v>
      </c>
      <c r="H5" s="3">
        <v>25.964959999999998</v>
      </c>
      <c r="J5">
        <v>21</v>
      </c>
      <c r="K5">
        <v>9</v>
      </c>
      <c r="L5" s="3">
        <v>15.144599999999999</v>
      </c>
      <c r="M5" s="3">
        <v>69.235199999999992</v>
      </c>
      <c r="N5" s="3">
        <v>23.464600000000001</v>
      </c>
      <c r="O5" s="3">
        <v>3.6377999999999999</v>
      </c>
      <c r="P5" s="3">
        <v>18.342600000000001</v>
      </c>
      <c r="Q5" s="3">
        <v>25.964959999999998</v>
      </c>
      <c r="X5" s="4">
        <f t="shared" ref="X5:X35" si="0">J5</f>
        <v>21</v>
      </c>
      <c r="Y5" s="4">
        <f>IF(K5=8,1,IF(K5=9,2,IF(K5=10,3,IF(K5=11,4,IF(K5=12,5,IF(K5=13,6,IF(K5=14,7,"")))))))</f>
        <v>2</v>
      </c>
      <c r="Z5" s="4">
        <f>IF(AND(Y5=2,Y4=1),Q4+Q5,IF(Y5=1,0,IF(AND(Y5=6,Y6=7),Q5+Q6,IF(Y5=7,0,Q5))))</f>
        <v>25.964959999999998</v>
      </c>
    </row>
    <row r="6" spans="1:28" x14ac:dyDescent="0.25">
      <c r="A6">
        <v>21</v>
      </c>
      <c r="B6">
        <v>10</v>
      </c>
      <c r="C6" s="3">
        <v>1.8699999999999999</v>
      </c>
      <c r="D6" s="3">
        <v>14.666599999999999</v>
      </c>
      <c r="E6" s="3">
        <v>8.8949999999999996</v>
      </c>
      <c r="F6" s="3">
        <v>1.6700999999999999</v>
      </c>
      <c r="G6" s="3">
        <v>10.600000000000001</v>
      </c>
      <c r="H6" s="3">
        <v>7.5403400000000005</v>
      </c>
      <c r="J6">
        <v>21</v>
      </c>
      <c r="K6">
        <v>10</v>
      </c>
      <c r="L6" s="3">
        <v>1.8699999999999999</v>
      </c>
      <c r="M6" s="3">
        <v>14.666599999999999</v>
      </c>
      <c r="N6" s="3">
        <v>8.8949999999999996</v>
      </c>
      <c r="O6" s="3">
        <v>1.6700999999999999</v>
      </c>
      <c r="P6" s="3">
        <v>10.600000000000001</v>
      </c>
      <c r="Q6" s="3">
        <v>7.5403400000000005</v>
      </c>
      <c r="X6" s="4">
        <f t="shared" si="0"/>
        <v>21</v>
      </c>
      <c r="Y6" s="4">
        <f t="shared" ref="Y6:Y35" si="1">IF(K6=8,1,IF(K6=9,2,IF(K6=10,3,IF(K6=11,4,IF(K6=12,5,IF(K6=13,6,IF(K6=14,7,"")))))))</f>
        <v>3</v>
      </c>
      <c r="Z6" s="4">
        <f t="shared" ref="Z6:Z35" si="2">IF(AND(Y6=2,Y5=1),Q5+Q6,IF(Y6=1,0,IF(AND(Y6=6,Y7=7),Q6+Q7,IF(Y6=7,0,Q6))))</f>
        <v>7.5403400000000005</v>
      </c>
    </row>
    <row r="7" spans="1:28" x14ac:dyDescent="0.25">
      <c r="A7">
        <v>21</v>
      </c>
      <c r="B7">
        <v>11</v>
      </c>
      <c r="C7" s="3">
        <v>4.18</v>
      </c>
      <c r="D7" s="3">
        <v>0</v>
      </c>
      <c r="E7" s="3">
        <v>4.57</v>
      </c>
      <c r="F7" s="3">
        <v>1.61</v>
      </c>
      <c r="G7" s="3">
        <v>20.97</v>
      </c>
      <c r="H7" s="3">
        <v>6.266</v>
      </c>
      <c r="J7">
        <v>21</v>
      </c>
      <c r="K7">
        <v>11</v>
      </c>
      <c r="L7" s="3">
        <v>4.18</v>
      </c>
      <c r="M7" s="3">
        <v>0</v>
      </c>
      <c r="N7" s="3">
        <v>4.57</v>
      </c>
      <c r="O7" s="3">
        <v>1.61</v>
      </c>
      <c r="P7" s="3">
        <v>20.97</v>
      </c>
      <c r="Q7" s="3">
        <v>6.266</v>
      </c>
      <c r="X7" s="4">
        <f t="shared" si="0"/>
        <v>21</v>
      </c>
      <c r="Y7" s="4">
        <f t="shared" si="1"/>
        <v>4</v>
      </c>
      <c r="Z7" s="4">
        <f t="shared" si="2"/>
        <v>6.266</v>
      </c>
    </row>
    <row r="8" spans="1:28" x14ac:dyDescent="0.25">
      <c r="A8">
        <v>21</v>
      </c>
      <c r="B8">
        <v>12</v>
      </c>
      <c r="C8" s="3"/>
      <c r="D8" s="3">
        <v>179.62</v>
      </c>
      <c r="E8" s="3"/>
      <c r="F8" s="3"/>
      <c r="G8" s="3"/>
      <c r="H8" s="3">
        <v>179.62</v>
      </c>
      <c r="J8">
        <v>21</v>
      </c>
      <c r="K8">
        <v>12</v>
      </c>
      <c r="L8" s="3"/>
      <c r="M8" s="3">
        <v>179.62</v>
      </c>
      <c r="N8" s="3"/>
      <c r="O8" s="3"/>
      <c r="P8" s="3"/>
      <c r="Q8" s="3">
        <v>179.62</v>
      </c>
      <c r="X8" s="4">
        <f t="shared" si="0"/>
        <v>21</v>
      </c>
      <c r="Y8" s="4">
        <f t="shared" si="1"/>
        <v>5</v>
      </c>
      <c r="Z8" s="4">
        <f t="shared" si="2"/>
        <v>179.62</v>
      </c>
    </row>
    <row r="9" spans="1:28" x14ac:dyDescent="0.25">
      <c r="A9">
        <v>22</v>
      </c>
      <c r="B9">
        <v>8</v>
      </c>
      <c r="C9" s="3">
        <v>3.5872000000000002</v>
      </c>
      <c r="D9" s="3">
        <v>78.395200000000003</v>
      </c>
      <c r="E9" s="3">
        <v>12.372</v>
      </c>
      <c r="F9" s="3">
        <v>3.9287000000000001</v>
      </c>
      <c r="G9" s="3">
        <v>102.26870000000001</v>
      </c>
      <c r="H9" s="3">
        <v>40.11036</v>
      </c>
      <c r="J9">
        <v>22</v>
      </c>
      <c r="K9">
        <v>8</v>
      </c>
      <c r="L9" s="3">
        <v>3.5872000000000002</v>
      </c>
      <c r="M9" s="3">
        <v>78.395200000000003</v>
      </c>
      <c r="N9" s="3">
        <v>12.372</v>
      </c>
      <c r="O9" s="3">
        <v>3.9287000000000001</v>
      </c>
      <c r="P9" s="3">
        <v>102.26870000000001</v>
      </c>
      <c r="Q9" s="3">
        <v>40.11036</v>
      </c>
      <c r="X9" s="4">
        <f t="shared" si="0"/>
        <v>22</v>
      </c>
      <c r="Y9" s="4">
        <f t="shared" si="1"/>
        <v>1</v>
      </c>
      <c r="Z9" s="4">
        <f t="shared" si="2"/>
        <v>0</v>
      </c>
    </row>
    <row r="10" spans="1:28" x14ac:dyDescent="0.25">
      <c r="A10">
        <v>22</v>
      </c>
      <c r="B10">
        <v>9</v>
      </c>
      <c r="C10" s="3">
        <v>31.362500000000004</v>
      </c>
      <c r="D10" s="3">
        <v>179.21919999999997</v>
      </c>
      <c r="E10" s="3">
        <v>757.04919999999993</v>
      </c>
      <c r="F10" s="3">
        <v>1835.1216000000002</v>
      </c>
      <c r="G10" s="3">
        <v>198.57429999999999</v>
      </c>
      <c r="H10" s="3">
        <v>600.26535999999999</v>
      </c>
      <c r="J10">
        <v>22</v>
      </c>
      <c r="K10">
        <v>9</v>
      </c>
      <c r="L10" s="3">
        <v>31.362500000000004</v>
      </c>
      <c r="M10" s="3">
        <v>179.21919999999997</v>
      </c>
      <c r="N10" s="3">
        <v>757.04919999999993</v>
      </c>
      <c r="O10" s="3">
        <v>1835.1216000000002</v>
      </c>
      <c r="P10" s="3">
        <v>198.57429999999999</v>
      </c>
      <c r="Q10" s="3">
        <v>600.26535999999999</v>
      </c>
      <c r="X10" s="4">
        <f t="shared" si="0"/>
        <v>22</v>
      </c>
      <c r="Y10" s="4">
        <f t="shared" si="1"/>
        <v>2</v>
      </c>
      <c r="Z10" s="4">
        <f t="shared" si="2"/>
        <v>640.37572</v>
      </c>
    </row>
    <row r="11" spans="1:28" x14ac:dyDescent="0.25">
      <c r="A11">
        <v>23</v>
      </c>
      <c r="B11">
        <v>8</v>
      </c>
      <c r="C11" s="3">
        <v>246.60919999999999</v>
      </c>
      <c r="D11" s="3">
        <v>578.49599999999998</v>
      </c>
      <c r="E11" s="3">
        <v>537.06010000000003</v>
      </c>
      <c r="F11" s="3">
        <v>611.78429999999992</v>
      </c>
      <c r="G11" s="3">
        <v>275.44470000000001</v>
      </c>
      <c r="H11" s="3">
        <v>449.87885999999997</v>
      </c>
      <c r="J11">
        <v>23</v>
      </c>
      <c r="K11">
        <v>8</v>
      </c>
      <c r="L11" s="3">
        <v>246.60919999999999</v>
      </c>
      <c r="M11" s="3">
        <v>578.49599999999998</v>
      </c>
      <c r="N11" s="3">
        <v>537.06010000000003</v>
      </c>
      <c r="O11" s="3">
        <v>611.78429999999992</v>
      </c>
      <c r="P11" s="3">
        <v>275.44470000000001</v>
      </c>
      <c r="Q11" s="3">
        <v>449.87885999999997</v>
      </c>
      <c r="X11" s="4">
        <f t="shared" si="0"/>
        <v>23</v>
      </c>
      <c r="Y11" s="4">
        <f t="shared" si="1"/>
        <v>1</v>
      </c>
      <c r="Z11" s="4">
        <f t="shared" si="2"/>
        <v>0</v>
      </c>
    </row>
    <row r="12" spans="1:28" x14ac:dyDescent="0.25">
      <c r="A12">
        <v>23</v>
      </c>
      <c r="B12">
        <v>9</v>
      </c>
      <c r="C12" s="3">
        <v>12.22</v>
      </c>
      <c r="D12" s="3">
        <v>185.92000000000002</v>
      </c>
      <c r="E12" s="3">
        <v>1268.1361999999999</v>
      </c>
      <c r="F12" s="3">
        <v>15.752000000000001</v>
      </c>
      <c r="G12" s="3">
        <v>1108.0664999999999</v>
      </c>
      <c r="H12" s="3">
        <v>518.01893999999993</v>
      </c>
      <c r="J12">
        <v>23</v>
      </c>
      <c r="K12">
        <v>9</v>
      </c>
      <c r="L12" s="3">
        <v>12.22</v>
      </c>
      <c r="M12" s="3">
        <v>185.92000000000002</v>
      </c>
      <c r="N12" s="3">
        <v>1268.1361999999999</v>
      </c>
      <c r="O12" s="3">
        <v>15.752000000000001</v>
      </c>
      <c r="P12" s="3">
        <v>1108.0664999999999</v>
      </c>
      <c r="Q12" s="3">
        <v>518.01893999999993</v>
      </c>
      <c r="X12" s="4">
        <f t="shared" si="0"/>
        <v>23</v>
      </c>
      <c r="Y12" s="4">
        <f t="shared" si="1"/>
        <v>2</v>
      </c>
      <c r="Z12" s="4">
        <f t="shared" si="2"/>
        <v>967.89779999999996</v>
      </c>
    </row>
    <row r="13" spans="1:28" x14ac:dyDescent="0.25">
      <c r="A13">
        <v>24</v>
      </c>
      <c r="B13">
        <v>8</v>
      </c>
      <c r="C13" s="3">
        <v>44.472000000000001</v>
      </c>
      <c r="D13" s="3">
        <v>139.99989999999997</v>
      </c>
      <c r="E13" s="3">
        <v>275.92690000000005</v>
      </c>
      <c r="F13" s="3">
        <v>215.56369999999998</v>
      </c>
      <c r="G13" s="3">
        <v>155.39460000000003</v>
      </c>
      <c r="H13" s="3">
        <v>166.27142000000003</v>
      </c>
      <c r="J13">
        <v>24</v>
      </c>
      <c r="K13">
        <v>8</v>
      </c>
      <c r="L13" s="3">
        <v>44.472000000000001</v>
      </c>
      <c r="M13" s="3">
        <v>139.99989999999997</v>
      </c>
      <c r="N13" s="3">
        <v>275.92690000000005</v>
      </c>
      <c r="O13" s="3">
        <v>215.56369999999998</v>
      </c>
      <c r="P13" s="3">
        <v>155.39460000000003</v>
      </c>
      <c r="Q13" s="3">
        <v>166.27142000000003</v>
      </c>
      <c r="X13" s="4">
        <f t="shared" si="0"/>
        <v>24</v>
      </c>
      <c r="Y13" s="4">
        <f t="shared" si="1"/>
        <v>1</v>
      </c>
      <c r="Z13" s="4">
        <f t="shared" si="2"/>
        <v>0</v>
      </c>
    </row>
    <row r="14" spans="1:28" x14ac:dyDescent="0.25">
      <c r="A14">
        <v>24</v>
      </c>
      <c r="B14">
        <v>9</v>
      </c>
      <c r="C14" s="3">
        <v>328.8537</v>
      </c>
      <c r="D14" s="3">
        <v>468.11470000000003</v>
      </c>
      <c r="E14" s="3">
        <v>1046.8558</v>
      </c>
      <c r="F14" s="3">
        <v>207.5925</v>
      </c>
      <c r="G14" s="3">
        <v>552.26139999999987</v>
      </c>
      <c r="H14" s="3">
        <v>520.73562000000004</v>
      </c>
      <c r="J14">
        <v>24</v>
      </c>
      <c r="K14">
        <v>9</v>
      </c>
      <c r="L14" s="3">
        <v>328.8537</v>
      </c>
      <c r="M14" s="3">
        <v>468.11470000000003</v>
      </c>
      <c r="N14" s="3">
        <v>1046.8558</v>
      </c>
      <c r="O14" s="3">
        <v>207.5925</v>
      </c>
      <c r="P14" s="3">
        <v>552.26139999999987</v>
      </c>
      <c r="Q14" s="3">
        <v>520.73562000000004</v>
      </c>
      <c r="X14" s="4">
        <f t="shared" si="0"/>
        <v>24</v>
      </c>
      <c r="Y14" s="4">
        <f t="shared" si="1"/>
        <v>2</v>
      </c>
      <c r="Z14" s="4">
        <f t="shared" si="2"/>
        <v>687.00704000000007</v>
      </c>
    </row>
    <row r="15" spans="1:28" x14ac:dyDescent="0.25">
      <c r="A15">
        <v>24</v>
      </c>
      <c r="B15">
        <v>10</v>
      </c>
      <c r="C15" s="3">
        <v>1216.1504</v>
      </c>
      <c r="D15" s="3">
        <v>1203.0292000000002</v>
      </c>
      <c r="E15" s="3">
        <v>1754.3023999999998</v>
      </c>
      <c r="F15" s="3">
        <v>917.73009999999999</v>
      </c>
      <c r="G15" s="3">
        <v>644.21659999999997</v>
      </c>
      <c r="H15" s="3">
        <v>1147.08574</v>
      </c>
      <c r="J15">
        <v>24</v>
      </c>
      <c r="K15">
        <v>10</v>
      </c>
      <c r="L15" s="3">
        <v>1216.1504</v>
      </c>
      <c r="M15" s="3">
        <v>1203.0292000000002</v>
      </c>
      <c r="N15" s="3">
        <v>1754.3023999999998</v>
      </c>
      <c r="O15" s="3">
        <v>917.73009999999999</v>
      </c>
      <c r="P15" s="3">
        <v>644.21659999999997</v>
      </c>
      <c r="Q15" s="3">
        <v>1147.08574</v>
      </c>
      <c r="X15" s="4">
        <f t="shared" si="0"/>
        <v>24</v>
      </c>
      <c r="Y15" s="4">
        <f t="shared" si="1"/>
        <v>3</v>
      </c>
      <c r="Z15" s="4">
        <f t="shared" si="2"/>
        <v>1147.08574</v>
      </c>
    </row>
    <row r="16" spans="1:28" x14ac:dyDescent="0.25">
      <c r="A16">
        <v>24</v>
      </c>
      <c r="B16">
        <v>11</v>
      </c>
      <c r="C16" s="3"/>
      <c r="D16" s="3"/>
      <c r="E16" s="3">
        <v>888</v>
      </c>
      <c r="F16" s="3"/>
      <c r="G16" s="3">
        <v>393.70000000000005</v>
      </c>
      <c r="H16" s="3">
        <v>640.85</v>
      </c>
      <c r="J16">
        <v>24</v>
      </c>
      <c r="K16">
        <v>11</v>
      </c>
      <c r="L16" s="3"/>
      <c r="M16" s="3"/>
      <c r="N16" s="3">
        <v>888</v>
      </c>
      <c r="O16" s="3"/>
      <c r="P16" s="3">
        <v>393.70000000000005</v>
      </c>
      <c r="Q16" s="3">
        <v>640.85</v>
      </c>
      <c r="X16" s="4">
        <f t="shared" si="0"/>
        <v>24</v>
      </c>
      <c r="Y16" s="4">
        <f t="shared" si="1"/>
        <v>4</v>
      </c>
      <c r="Z16" s="4">
        <f t="shared" si="2"/>
        <v>640.85</v>
      </c>
    </row>
    <row r="17" spans="1:26" x14ac:dyDescent="0.25">
      <c r="A17">
        <v>25</v>
      </c>
      <c r="B17">
        <v>9</v>
      </c>
      <c r="C17" s="3">
        <v>341.83340000000004</v>
      </c>
      <c r="D17" s="3">
        <v>175.64289999999997</v>
      </c>
      <c r="E17" s="3">
        <v>177.99989999999997</v>
      </c>
      <c r="F17" s="3">
        <v>50.375</v>
      </c>
      <c r="G17" s="3">
        <v>354.82349999999997</v>
      </c>
      <c r="H17" s="3">
        <v>220.13494</v>
      </c>
      <c r="J17">
        <v>25</v>
      </c>
      <c r="K17">
        <v>9</v>
      </c>
      <c r="L17" s="3">
        <v>341.83340000000004</v>
      </c>
      <c r="M17" s="3">
        <v>175.64289999999997</v>
      </c>
      <c r="N17" s="3">
        <v>177.99989999999997</v>
      </c>
      <c r="O17" s="3">
        <v>50.375</v>
      </c>
      <c r="P17" s="3">
        <v>354.82349999999997</v>
      </c>
      <c r="Q17" s="3">
        <v>220.13494</v>
      </c>
      <c r="X17" s="4">
        <f t="shared" si="0"/>
        <v>25</v>
      </c>
      <c r="Y17" s="4">
        <f t="shared" si="1"/>
        <v>2</v>
      </c>
      <c r="Z17" s="4">
        <f t="shared" si="2"/>
        <v>220.13494</v>
      </c>
    </row>
    <row r="18" spans="1:26" x14ac:dyDescent="0.25">
      <c r="A18">
        <v>25</v>
      </c>
      <c r="B18">
        <v>10</v>
      </c>
      <c r="C18" s="3">
        <v>2293.0344</v>
      </c>
      <c r="D18" s="3">
        <v>725.78369999999995</v>
      </c>
      <c r="E18" s="3">
        <v>942.67320000000007</v>
      </c>
      <c r="F18" s="3">
        <v>621.53340000000014</v>
      </c>
      <c r="G18" s="3">
        <v>510.12109999999996</v>
      </c>
      <c r="H18" s="3">
        <v>1018.6291600000001</v>
      </c>
      <c r="J18">
        <v>25</v>
      </c>
      <c r="K18">
        <v>10</v>
      </c>
      <c r="L18" s="3">
        <v>2293.0344</v>
      </c>
      <c r="M18" s="3">
        <v>725.78369999999995</v>
      </c>
      <c r="N18" s="3">
        <v>942.67320000000007</v>
      </c>
      <c r="O18" s="3">
        <v>621.53340000000014</v>
      </c>
      <c r="P18" s="3">
        <v>510.12109999999996</v>
      </c>
      <c r="Q18" s="3">
        <v>1018.6291600000001</v>
      </c>
      <c r="X18" s="4">
        <f t="shared" si="0"/>
        <v>25</v>
      </c>
      <c r="Y18" s="4">
        <f t="shared" si="1"/>
        <v>3</v>
      </c>
      <c r="Z18" s="4">
        <f t="shared" si="2"/>
        <v>1018.6291600000001</v>
      </c>
    </row>
    <row r="19" spans="1:26" x14ac:dyDescent="0.25">
      <c r="A19">
        <v>25</v>
      </c>
      <c r="B19">
        <v>11</v>
      </c>
      <c r="C19" s="3">
        <v>1586.5517000000004</v>
      </c>
      <c r="D19" s="3">
        <v>915.62630000000001</v>
      </c>
      <c r="E19" s="3">
        <v>590.03880000000015</v>
      </c>
      <c r="F19" s="3">
        <v>782.81699999999989</v>
      </c>
      <c r="G19" s="3">
        <v>791.44580000000008</v>
      </c>
      <c r="H19" s="3">
        <v>933.29592000000014</v>
      </c>
      <c r="J19">
        <v>25</v>
      </c>
      <c r="K19">
        <v>11</v>
      </c>
      <c r="L19" s="3">
        <v>1586.5517000000004</v>
      </c>
      <c r="M19" s="3">
        <v>915.62630000000001</v>
      </c>
      <c r="N19" s="3">
        <v>590.03880000000015</v>
      </c>
      <c r="O19" s="3">
        <v>782.81699999999989</v>
      </c>
      <c r="P19" s="3">
        <v>791.44580000000008</v>
      </c>
      <c r="Q19" s="3">
        <v>933.29592000000014</v>
      </c>
      <c r="X19" s="4">
        <f t="shared" si="0"/>
        <v>25</v>
      </c>
      <c r="Y19" s="4">
        <f t="shared" si="1"/>
        <v>4</v>
      </c>
      <c r="Z19" s="4">
        <f t="shared" si="2"/>
        <v>933.29592000000014</v>
      </c>
    </row>
    <row r="20" spans="1:26" x14ac:dyDescent="0.25">
      <c r="A20">
        <v>25</v>
      </c>
      <c r="B20">
        <v>12</v>
      </c>
      <c r="C20" s="3">
        <v>1075.0058999999999</v>
      </c>
      <c r="D20" s="3">
        <v>646.87340000000006</v>
      </c>
      <c r="E20" s="3">
        <v>93.1999</v>
      </c>
      <c r="F20" s="3">
        <v>787.33320000000003</v>
      </c>
      <c r="G20" s="3">
        <v>1126.8570999999999</v>
      </c>
      <c r="H20" s="3">
        <v>745.85390000000007</v>
      </c>
      <c r="J20">
        <v>25</v>
      </c>
      <c r="K20">
        <v>12</v>
      </c>
      <c r="L20" s="3">
        <v>1075.0058999999999</v>
      </c>
      <c r="M20" s="3">
        <v>646.87340000000006</v>
      </c>
      <c r="N20" s="3">
        <v>93.1999</v>
      </c>
      <c r="O20" s="3">
        <v>787.33320000000003</v>
      </c>
      <c r="P20" s="3">
        <v>1126.8570999999999</v>
      </c>
      <c r="Q20" s="3">
        <v>745.85390000000007</v>
      </c>
      <c r="X20" s="4">
        <f t="shared" si="0"/>
        <v>25</v>
      </c>
      <c r="Y20" s="4">
        <f t="shared" si="1"/>
        <v>5</v>
      </c>
      <c r="Z20" s="4">
        <f t="shared" si="2"/>
        <v>745.85390000000007</v>
      </c>
    </row>
    <row r="21" spans="1:26" x14ac:dyDescent="0.25">
      <c r="A21">
        <v>26</v>
      </c>
      <c r="B21">
        <v>9</v>
      </c>
      <c r="C21" s="3">
        <v>147.13320000000002</v>
      </c>
      <c r="D21" s="3">
        <v>46.999899999999997</v>
      </c>
      <c r="E21" s="3">
        <v>47.333100000000002</v>
      </c>
      <c r="F21" s="3">
        <v>126.59990000000001</v>
      </c>
      <c r="G21" s="3">
        <v>144.22229999999999</v>
      </c>
      <c r="H21" s="3">
        <v>102.45768000000001</v>
      </c>
      <c r="J21">
        <v>26</v>
      </c>
      <c r="K21">
        <v>9</v>
      </c>
      <c r="L21" s="3">
        <v>147.13320000000002</v>
      </c>
      <c r="M21" s="3">
        <v>46.999899999999997</v>
      </c>
      <c r="N21" s="3">
        <v>47.333100000000002</v>
      </c>
      <c r="O21" s="3">
        <v>126.59990000000001</v>
      </c>
      <c r="P21" s="3">
        <v>144.22229999999999</v>
      </c>
      <c r="Q21" s="3">
        <v>102.45768000000001</v>
      </c>
      <c r="X21" s="4">
        <f t="shared" si="0"/>
        <v>26</v>
      </c>
      <c r="Y21" s="4">
        <f t="shared" si="1"/>
        <v>2</v>
      </c>
      <c r="Z21" s="4">
        <f t="shared" si="2"/>
        <v>102.45768000000001</v>
      </c>
    </row>
    <row r="22" spans="1:26" x14ac:dyDescent="0.25">
      <c r="A22">
        <v>26</v>
      </c>
      <c r="B22">
        <v>10</v>
      </c>
      <c r="C22" s="3">
        <v>297.45999999999998</v>
      </c>
      <c r="D22" s="3">
        <v>77.349900000000019</v>
      </c>
      <c r="E22" s="3">
        <v>570.58160000000009</v>
      </c>
      <c r="F22" s="3">
        <v>418.36470000000003</v>
      </c>
      <c r="G22" s="3">
        <v>761.15009999999995</v>
      </c>
      <c r="H22" s="3">
        <v>424.98126000000002</v>
      </c>
      <c r="J22">
        <v>26</v>
      </c>
      <c r="K22">
        <v>10</v>
      </c>
      <c r="L22" s="3">
        <v>297.45999999999998</v>
      </c>
      <c r="M22" s="3">
        <v>77.349900000000019</v>
      </c>
      <c r="N22" s="3">
        <v>570.58160000000009</v>
      </c>
      <c r="O22" s="3">
        <v>418.36470000000003</v>
      </c>
      <c r="P22" s="3">
        <v>761.15009999999995</v>
      </c>
      <c r="Q22" s="3">
        <v>424.98126000000002</v>
      </c>
      <c r="X22" s="4">
        <f t="shared" si="0"/>
        <v>26</v>
      </c>
      <c r="Y22" s="4">
        <f t="shared" si="1"/>
        <v>3</v>
      </c>
      <c r="Z22" s="4">
        <f t="shared" si="2"/>
        <v>424.98126000000002</v>
      </c>
    </row>
    <row r="23" spans="1:26" x14ac:dyDescent="0.25">
      <c r="A23">
        <v>26</v>
      </c>
      <c r="B23">
        <v>11</v>
      </c>
      <c r="C23" s="3">
        <v>759.89749999999981</v>
      </c>
      <c r="D23" s="3">
        <v>392.85979999999995</v>
      </c>
      <c r="E23" s="3">
        <v>1296.9998000000001</v>
      </c>
      <c r="F23" s="3">
        <v>754.9307</v>
      </c>
      <c r="G23" s="3">
        <v>319.93259999999998</v>
      </c>
      <c r="H23" s="3">
        <v>704.92408</v>
      </c>
      <c r="J23">
        <v>26</v>
      </c>
      <c r="K23">
        <v>11</v>
      </c>
      <c r="L23" s="3">
        <v>759.89749999999981</v>
      </c>
      <c r="M23" s="3">
        <v>392.85979999999995</v>
      </c>
      <c r="N23" s="3">
        <v>1296.9998000000001</v>
      </c>
      <c r="O23" s="3">
        <v>754.9307</v>
      </c>
      <c r="P23" s="3">
        <v>319.93259999999998</v>
      </c>
      <c r="Q23" s="3">
        <v>704.92408</v>
      </c>
      <c r="X23" s="4">
        <f t="shared" si="0"/>
        <v>26</v>
      </c>
      <c r="Y23" s="4">
        <f t="shared" si="1"/>
        <v>4</v>
      </c>
      <c r="Z23" s="4">
        <f t="shared" si="2"/>
        <v>704.92408</v>
      </c>
    </row>
    <row r="24" spans="1:26" x14ac:dyDescent="0.25">
      <c r="A24">
        <v>26</v>
      </c>
      <c r="B24">
        <v>12</v>
      </c>
      <c r="C24" s="3">
        <v>1070.9411</v>
      </c>
      <c r="D24" s="3">
        <v>452.58879999999999</v>
      </c>
      <c r="E24" s="3">
        <v>22.399899999999999</v>
      </c>
      <c r="F24" s="3">
        <v>608.61519999999996</v>
      </c>
      <c r="G24" s="3">
        <v>31.540299999999998</v>
      </c>
      <c r="H24" s="3">
        <v>437.21706000000006</v>
      </c>
      <c r="J24">
        <v>26</v>
      </c>
      <c r="K24">
        <v>12</v>
      </c>
      <c r="L24" s="3">
        <v>1070.9411</v>
      </c>
      <c r="M24" s="3">
        <v>452.58879999999999</v>
      </c>
      <c r="N24" s="3">
        <v>22.399899999999999</v>
      </c>
      <c r="O24" s="3">
        <v>608.61519999999996</v>
      </c>
      <c r="P24" s="3">
        <v>31.540299999999998</v>
      </c>
      <c r="Q24" s="3">
        <v>437.21706000000006</v>
      </c>
      <c r="X24" s="4">
        <f t="shared" si="0"/>
        <v>26</v>
      </c>
      <c r="Y24" s="4">
        <f t="shared" si="1"/>
        <v>5</v>
      </c>
      <c r="Z24" s="4">
        <f t="shared" si="2"/>
        <v>437.21706000000006</v>
      </c>
    </row>
    <row r="25" spans="1:26" x14ac:dyDescent="0.25">
      <c r="A25">
        <v>26</v>
      </c>
      <c r="B25">
        <v>13</v>
      </c>
      <c r="C25" s="3">
        <v>337.24999999999994</v>
      </c>
      <c r="D25" s="3">
        <v>561.25009999999997</v>
      </c>
      <c r="E25" s="3">
        <v>1.0001</v>
      </c>
      <c r="F25" s="3">
        <v>7.9999999999999991</v>
      </c>
      <c r="G25" s="3">
        <v>0</v>
      </c>
      <c r="H25" s="3">
        <v>181.50003999999998</v>
      </c>
      <c r="J25">
        <v>26</v>
      </c>
      <c r="K25">
        <v>13</v>
      </c>
      <c r="L25" s="3">
        <v>337.24999999999994</v>
      </c>
      <c r="M25" s="3">
        <v>561.25009999999997</v>
      </c>
      <c r="N25" s="3">
        <v>1.0001</v>
      </c>
      <c r="O25" s="3">
        <v>7.9999999999999991</v>
      </c>
      <c r="P25" s="3">
        <v>0</v>
      </c>
      <c r="Q25" s="3">
        <v>181.50003999999998</v>
      </c>
      <c r="X25" s="4">
        <f t="shared" si="0"/>
        <v>26</v>
      </c>
      <c r="Y25" s="4">
        <f t="shared" si="1"/>
        <v>6</v>
      </c>
      <c r="Z25" s="4">
        <f t="shared" si="2"/>
        <v>582.50001499999985</v>
      </c>
    </row>
    <row r="26" spans="1:26" x14ac:dyDescent="0.25">
      <c r="A26">
        <v>26</v>
      </c>
      <c r="B26">
        <v>14</v>
      </c>
      <c r="C26" s="3">
        <v>1603.9998999999996</v>
      </c>
      <c r="D26" s="3"/>
      <c r="E26" s="3">
        <v>0</v>
      </c>
      <c r="F26" s="3">
        <v>0</v>
      </c>
      <c r="G26" s="3">
        <v>0</v>
      </c>
      <c r="H26" s="3">
        <v>400.99997499999989</v>
      </c>
      <c r="J26">
        <v>26</v>
      </c>
      <c r="K26">
        <v>14</v>
      </c>
      <c r="L26" s="3">
        <v>1603.9998999999996</v>
      </c>
      <c r="M26" s="3"/>
      <c r="N26" s="3">
        <v>0</v>
      </c>
      <c r="O26" s="3">
        <v>0</v>
      </c>
      <c r="P26" s="3">
        <v>0</v>
      </c>
      <c r="Q26" s="3">
        <v>400.99997499999989</v>
      </c>
      <c r="X26" s="4">
        <f t="shared" si="0"/>
        <v>26</v>
      </c>
      <c r="Y26" s="4">
        <f t="shared" si="1"/>
        <v>7</v>
      </c>
      <c r="Z26" s="4">
        <f t="shared" si="2"/>
        <v>0</v>
      </c>
    </row>
    <row r="27" spans="1:26" x14ac:dyDescent="0.25">
      <c r="A27">
        <v>27</v>
      </c>
      <c r="B27">
        <v>10</v>
      </c>
      <c r="C27" s="3"/>
      <c r="D27" s="3">
        <v>1</v>
      </c>
      <c r="E27" s="3"/>
      <c r="F27" s="3"/>
      <c r="G27" s="3">
        <v>7.5</v>
      </c>
      <c r="H27" s="3">
        <v>4.25</v>
      </c>
      <c r="J27">
        <v>27</v>
      </c>
      <c r="K27">
        <v>10</v>
      </c>
      <c r="L27" s="3"/>
      <c r="M27" s="3">
        <v>1</v>
      </c>
      <c r="N27" s="3"/>
      <c r="O27" s="3"/>
      <c r="P27" s="3">
        <v>7.5</v>
      </c>
      <c r="Q27" s="3">
        <v>4.25</v>
      </c>
      <c r="X27" s="4">
        <f t="shared" si="0"/>
        <v>27</v>
      </c>
      <c r="Y27" s="4">
        <f t="shared" si="1"/>
        <v>3</v>
      </c>
      <c r="Z27" s="4">
        <f>IF(AND(Y27=2,Y26=1),Q26+Q27,IF(Y27=1,0,IF(AND(Y27=6,Y28=7),Q27+Q28,IF(Y27=7,0,Q27))))</f>
        <v>4.25</v>
      </c>
    </row>
    <row r="28" spans="1:26" x14ac:dyDescent="0.25">
      <c r="A28">
        <v>27</v>
      </c>
      <c r="B28">
        <v>11</v>
      </c>
      <c r="C28" s="3">
        <v>39.999900000000004</v>
      </c>
      <c r="D28" s="3">
        <v>9</v>
      </c>
      <c r="E28" s="3">
        <v>23</v>
      </c>
      <c r="F28" s="3">
        <v>13.857099999999999</v>
      </c>
      <c r="G28" s="3">
        <v>14.857000000000001</v>
      </c>
      <c r="H28" s="3">
        <v>20.142800000000001</v>
      </c>
      <c r="J28">
        <v>27</v>
      </c>
      <c r="K28">
        <v>11</v>
      </c>
      <c r="L28" s="3">
        <v>39.999900000000004</v>
      </c>
      <c r="M28" s="3">
        <v>9</v>
      </c>
      <c r="N28" s="3">
        <v>23</v>
      </c>
      <c r="O28" s="3">
        <v>13.857099999999999</v>
      </c>
      <c r="P28" s="3">
        <v>14.857000000000001</v>
      </c>
      <c r="Q28" s="3">
        <v>20.142800000000001</v>
      </c>
      <c r="X28" s="4">
        <f t="shared" si="0"/>
        <v>27</v>
      </c>
      <c r="Y28" s="4">
        <f t="shared" si="1"/>
        <v>4</v>
      </c>
      <c r="Z28" s="4">
        <f t="shared" si="2"/>
        <v>20.142800000000001</v>
      </c>
    </row>
    <row r="29" spans="1:26" x14ac:dyDescent="0.25">
      <c r="A29">
        <v>27</v>
      </c>
      <c r="B29">
        <v>12</v>
      </c>
      <c r="C29" s="3">
        <v>0</v>
      </c>
      <c r="D29" s="3">
        <v>0</v>
      </c>
      <c r="E29" s="3">
        <v>54</v>
      </c>
      <c r="F29" s="3">
        <v>0</v>
      </c>
      <c r="G29" s="3"/>
      <c r="H29" s="3">
        <v>13.5</v>
      </c>
      <c r="J29">
        <v>27</v>
      </c>
      <c r="K29">
        <v>12</v>
      </c>
      <c r="L29" s="3">
        <v>0</v>
      </c>
      <c r="M29" s="3">
        <v>0</v>
      </c>
      <c r="N29" s="3">
        <v>54</v>
      </c>
      <c r="O29" s="3">
        <v>0</v>
      </c>
      <c r="P29" s="3"/>
      <c r="Q29" s="3">
        <v>13.5</v>
      </c>
      <c r="X29" s="4">
        <f t="shared" si="0"/>
        <v>27</v>
      </c>
      <c r="Y29" s="4">
        <f t="shared" si="1"/>
        <v>5</v>
      </c>
      <c r="Z29" s="4">
        <f t="shared" si="2"/>
        <v>13.5</v>
      </c>
    </row>
    <row r="30" spans="1:26" x14ac:dyDescent="0.25">
      <c r="A30">
        <v>27</v>
      </c>
      <c r="B30">
        <v>13</v>
      </c>
      <c r="C30" s="3">
        <v>0</v>
      </c>
      <c r="D30" s="3">
        <v>0</v>
      </c>
      <c r="E30" s="3"/>
      <c r="F30" s="3"/>
      <c r="G30" s="3">
        <v>0</v>
      </c>
      <c r="H30" s="3">
        <v>0</v>
      </c>
      <c r="J30">
        <v>27</v>
      </c>
      <c r="K30">
        <v>13</v>
      </c>
      <c r="L30" s="3">
        <v>0</v>
      </c>
      <c r="M30" s="3">
        <v>0</v>
      </c>
      <c r="N30" s="3"/>
      <c r="O30" s="3"/>
      <c r="P30" s="3">
        <v>0</v>
      </c>
      <c r="Q30" s="3">
        <v>0</v>
      </c>
      <c r="X30" s="4">
        <f t="shared" si="0"/>
        <v>27</v>
      </c>
      <c r="Y30" s="4">
        <f t="shared" si="1"/>
        <v>6</v>
      </c>
      <c r="Z30" s="4">
        <f t="shared" si="2"/>
        <v>0</v>
      </c>
    </row>
    <row r="31" spans="1:26" x14ac:dyDescent="0.25">
      <c r="A31">
        <v>28</v>
      </c>
      <c r="B31">
        <v>9</v>
      </c>
      <c r="C31" s="3">
        <v>3</v>
      </c>
      <c r="D31" s="3">
        <v>0</v>
      </c>
      <c r="E31" s="3">
        <v>0</v>
      </c>
      <c r="F31" s="3">
        <v>23.4999</v>
      </c>
      <c r="G31" s="3">
        <v>0</v>
      </c>
      <c r="H31" s="3">
        <v>5.2999799999999997</v>
      </c>
      <c r="J31">
        <v>28</v>
      </c>
      <c r="K31">
        <v>9</v>
      </c>
      <c r="L31" s="3">
        <v>3</v>
      </c>
      <c r="M31" s="3">
        <v>0</v>
      </c>
      <c r="N31" s="3">
        <v>0</v>
      </c>
      <c r="O31" s="3">
        <v>23.4999</v>
      </c>
      <c r="P31" s="3">
        <v>0</v>
      </c>
      <c r="Q31" s="3">
        <v>5.2999799999999997</v>
      </c>
      <c r="X31" s="4">
        <f t="shared" si="0"/>
        <v>28</v>
      </c>
      <c r="Y31" s="4">
        <f t="shared" si="1"/>
        <v>2</v>
      </c>
      <c r="Z31" s="4">
        <f t="shared" si="2"/>
        <v>5.2999799999999997</v>
      </c>
    </row>
    <row r="32" spans="1:26" x14ac:dyDescent="0.25">
      <c r="A32">
        <v>28</v>
      </c>
      <c r="B32">
        <v>10</v>
      </c>
      <c r="C32" s="3">
        <v>8.9999999999999982</v>
      </c>
      <c r="D32" s="3">
        <v>16.200099999999999</v>
      </c>
      <c r="E32" s="3">
        <v>15.8749</v>
      </c>
      <c r="F32" s="3">
        <v>47.749999999999993</v>
      </c>
      <c r="G32" s="3">
        <v>33.714300000000001</v>
      </c>
      <c r="H32" s="3">
        <v>24.507860000000001</v>
      </c>
      <c r="J32">
        <v>28</v>
      </c>
      <c r="K32">
        <v>10</v>
      </c>
      <c r="L32" s="3">
        <v>8.9999999999999982</v>
      </c>
      <c r="M32" s="3">
        <v>16.200099999999999</v>
      </c>
      <c r="N32" s="3">
        <v>15.8749</v>
      </c>
      <c r="O32" s="3">
        <v>47.749999999999993</v>
      </c>
      <c r="P32" s="3">
        <v>33.714300000000001</v>
      </c>
      <c r="Q32" s="3">
        <v>24.507860000000001</v>
      </c>
      <c r="X32" s="4">
        <f t="shared" si="0"/>
        <v>28</v>
      </c>
      <c r="Y32" s="4">
        <f t="shared" si="1"/>
        <v>3</v>
      </c>
      <c r="Z32" s="4">
        <f t="shared" si="2"/>
        <v>24.507860000000001</v>
      </c>
    </row>
    <row r="33" spans="1:26" x14ac:dyDescent="0.25">
      <c r="A33">
        <v>28</v>
      </c>
      <c r="B33">
        <v>11</v>
      </c>
      <c r="C33" s="3">
        <v>32.8887</v>
      </c>
      <c r="D33" s="3">
        <v>15.1999</v>
      </c>
      <c r="E33" s="3">
        <v>48.399800000000006</v>
      </c>
      <c r="F33" s="3">
        <v>60.222200000000001</v>
      </c>
      <c r="G33" s="3">
        <v>24.666600000000003</v>
      </c>
      <c r="H33" s="3">
        <v>36.275440000000003</v>
      </c>
      <c r="J33">
        <v>28</v>
      </c>
      <c r="K33">
        <v>11</v>
      </c>
      <c r="L33" s="3">
        <v>32.8887</v>
      </c>
      <c r="M33" s="3">
        <v>15.1999</v>
      </c>
      <c r="N33" s="3">
        <v>48.399800000000006</v>
      </c>
      <c r="O33" s="3">
        <v>60.222200000000001</v>
      </c>
      <c r="P33" s="3">
        <v>24.666600000000003</v>
      </c>
      <c r="Q33" s="3">
        <v>36.275440000000003</v>
      </c>
      <c r="X33" s="4">
        <f t="shared" si="0"/>
        <v>28</v>
      </c>
      <c r="Y33" s="4">
        <f t="shared" si="1"/>
        <v>4</v>
      </c>
      <c r="Z33" s="4">
        <f t="shared" si="2"/>
        <v>36.275440000000003</v>
      </c>
    </row>
    <row r="34" spans="1:26" x14ac:dyDescent="0.25">
      <c r="A34">
        <v>28</v>
      </c>
      <c r="B34">
        <v>12</v>
      </c>
      <c r="C34" s="3">
        <v>3.4285000000000001</v>
      </c>
      <c r="D34" s="3">
        <v>649.59990000000005</v>
      </c>
      <c r="E34" s="3">
        <v>23.0001</v>
      </c>
      <c r="F34" s="3">
        <v>22.571400000000001</v>
      </c>
      <c r="G34" s="3">
        <v>0.22220000000000001</v>
      </c>
      <c r="H34" s="3">
        <v>139.76442000000003</v>
      </c>
      <c r="J34">
        <v>28</v>
      </c>
      <c r="K34">
        <v>12</v>
      </c>
      <c r="L34" s="3">
        <v>3.4285000000000001</v>
      </c>
      <c r="M34" s="3">
        <v>649.59990000000005</v>
      </c>
      <c r="N34" s="3">
        <v>23.0001</v>
      </c>
      <c r="O34" s="3">
        <v>22.571400000000001</v>
      </c>
      <c r="P34" s="3">
        <v>0.22220000000000001</v>
      </c>
      <c r="Q34" s="3">
        <v>139.76442000000003</v>
      </c>
      <c r="X34" s="4">
        <f t="shared" si="0"/>
        <v>28</v>
      </c>
      <c r="Y34" s="4">
        <f t="shared" si="1"/>
        <v>5</v>
      </c>
      <c r="Z34" s="4">
        <f t="shared" si="2"/>
        <v>139.76442000000003</v>
      </c>
    </row>
    <row r="35" spans="1:26" x14ac:dyDescent="0.25">
      <c r="A35">
        <v>28</v>
      </c>
      <c r="B35">
        <v>13</v>
      </c>
      <c r="C35" s="3"/>
      <c r="D35" s="3">
        <v>128</v>
      </c>
      <c r="E35" s="3"/>
      <c r="F35" s="3">
        <v>0</v>
      </c>
      <c r="G35" s="3"/>
      <c r="H35" s="3">
        <v>64</v>
      </c>
      <c r="J35">
        <v>28</v>
      </c>
      <c r="K35">
        <v>13</v>
      </c>
      <c r="L35" s="3"/>
      <c r="M35" s="3">
        <v>128</v>
      </c>
      <c r="N35" s="3"/>
      <c r="O35" s="3">
        <v>0</v>
      </c>
      <c r="P35" s="3"/>
      <c r="Q35" s="3">
        <v>64</v>
      </c>
      <c r="X35" s="4">
        <f t="shared" si="0"/>
        <v>28</v>
      </c>
      <c r="Y35" s="4">
        <f t="shared" si="1"/>
        <v>6</v>
      </c>
      <c r="Z35" s="4">
        <f t="shared" si="2"/>
        <v>64</v>
      </c>
    </row>
    <row r="36" spans="1:26" x14ac:dyDescent="0.25">
      <c r="A36" t="s">
        <v>22</v>
      </c>
      <c r="C36" s="3">
        <v>426.14347407407405</v>
      </c>
      <c r="D36" s="3">
        <v>272.78174827586207</v>
      </c>
      <c r="E36" s="3">
        <v>388.26419629629612</v>
      </c>
      <c r="F36" s="3">
        <v>301.51335185185189</v>
      </c>
      <c r="G36" s="3">
        <v>271.46043928571424</v>
      </c>
      <c r="H36" s="3">
        <v>330.73500434782613</v>
      </c>
      <c r="X36" s="4">
        <f t="shared" ref="X36:X40" si="3">J36</f>
        <v>0</v>
      </c>
      <c r="Y36" s="4" t="str">
        <f t="shared" ref="Y36:Y40" si="4">IF(K36=8,1,IF(K36=9,2,IF(K36=10,3,IF(K36=11,4,IF(K36=12,5,IF(K36=13,6,IF(K36=14,7,"")))))))</f>
        <v/>
      </c>
      <c r="Z36" s="4">
        <f t="shared" ref="Z36:Z40" si="5">IF(AND(Y36=2,Y35=1),Q35+Q36,IF(Y36=1,0,IF(AND(Y36=6,Y37=7),Q36+Q37,IF(Y36=7,0,Q36))))</f>
        <v>0</v>
      </c>
    </row>
    <row r="37" spans="1:26" x14ac:dyDescent="0.25">
      <c r="X37" s="4">
        <f t="shared" si="3"/>
        <v>0</v>
      </c>
      <c r="Y37" s="4" t="str">
        <f t="shared" si="4"/>
        <v/>
      </c>
      <c r="Z37" s="4">
        <f t="shared" si="5"/>
        <v>0</v>
      </c>
    </row>
    <row r="38" spans="1:26" x14ac:dyDescent="0.25">
      <c r="X38" s="4">
        <f t="shared" si="3"/>
        <v>0</v>
      </c>
      <c r="Y38" s="4" t="str">
        <f t="shared" si="4"/>
        <v/>
      </c>
      <c r="Z38" s="4">
        <f t="shared" si="5"/>
        <v>0</v>
      </c>
    </row>
    <row r="39" spans="1:26" x14ac:dyDescent="0.25">
      <c r="X39" s="4">
        <f t="shared" si="3"/>
        <v>0</v>
      </c>
      <c r="Y39" s="4" t="str">
        <f t="shared" si="4"/>
        <v/>
      </c>
      <c r="Z39" s="4">
        <f t="shared" si="5"/>
        <v>0</v>
      </c>
    </row>
    <row r="40" spans="1:26" x14ac:dyDescent="0.25">
      <c r="X40" s="4">
        <f t="shared" si="3"/>
        <v>0</v>
      </c>
      <c r="Y40" s="4" t="str">
        <f t="shared" si="4"/>
        <v/>
      </c>
      <c r="Z40" s="4">
        <f t="shared" si="5"/>
        <v>0</v>
      </c>
    </row>
  </sheetData>
  <mergeCells count="2">
    <mergeCell ref="K2:Q2"/>
    <mergeCell ref="V2:AB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T139"/>
  <sheetViews>
    <sheetView zoomScaleNormal="100" workbookViewId="0">
      <selection activeCell="T2" sqref="T2"/>
    </sheetView>
  </sheetViews>
  <sheetFormatPr defaultRowHeight="15" x14ac:dyDescent="0.25"/>
  <cols>
    <col min="7" max="7" width="13.85546875" bestFit="1" customWidth="1"/>
    <col min="18" max="18" width="7.85546875" customWidth="1"/>
    <col min="19" max="19" width="9" bestFit="1" customWidth="1"/>
  </cols>
  <sheetData>
    <row r="1" spans="1:2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5" t="s">
        <v>24</v>
      </c>
    </row>
    <row r="2" spans="1:20" x14ac:dyDescent="0.25">
      <c r="A2" s="4" t="s">
        <v>19</v>
      </c>
      <c r="B2" s="4">
        <v>2016</v>
      </c>
      <c r="C2" s="4">
        <v>1</v>
      </c>
      <c r="D2" s="4">
        <v>21</v>
      </c>
      <c r="E2" s="4">
        <v>10</v>
      </c>
      <c r="F2" s="4">
        <v>126436</v>
      </c>
      <c r="G2" s="4" t="s">
        <v>20</v>
      </c>
      <c r="H2" s="4">
        <v>0</v>
      </c>
      <c r="I2" s="4">
        <v>5.5E-2</v>
      </c>
      <c r="J2" s="4">
        <v>0.58069999999999999</v>
      </c>
      <c r="K2" s="4">
        <v>1.0543</v>
      </c>
      <c r="L2" s="4">
        <v>7.7100000000000002E-2</v>
      </c>
      <c r="M2" s="4">
        <v>0.10290000000000001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20190103</v>
      </c>
      <c r="T2">
        <f t="shared" ref="T2:T13" si="0">SUM(I2:R2)</f>
        <v>1.8699999999999999</v>
      </c>
    </row>
    <row r="3" spans="1:20" x14ac:dyDescent="0.25">
      <c r="A3" s="4" t="s">
        <v>19</v>
      </c>
      <c r="B3" s="4">
        <v>2016</v>
      </c>
      <c r="C3" s="4">
        <v>1</v>
      </c>
      <c r="D3" s="4">
        <v>21</v>
      </c>
      <c r="E3" s="4">
        <v>11</v>
      </c>
      <c r="F3" s="4">
        <v>126436</v>
      </c>
      <c r="G3" s="4" t="s">
        <v>20</v>
      </c>
      <c r="H3" s="4">
        <v>0</v>
      </c>
      <c r="I3" s="4">
        <v>0</v>
      </c>
      <c r="J3" s="4">
        <v>4.18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20190103</v>
      </c>
      <c r="T3">
        <f t="shared" si="0"/>
        <v>4.18</v>
      </c>
    </row>
    <row r="4" spans="1:20" x14ac:dyDescent="0.25">
      <c r="A4" s="4" t="s">
        <v>19</v>
      </c>
      <c r="B4" s="4">
        <v>2016</v>
      </c>
      <c r="C4" s="4">
        <v>1</v>
      </c>
      <c r="D4" s="4">
        <v>21</v>
      </c>
      <c r="E4" s="4">
        <v>9</v>
      </c>
      <c r="F4" s="4">
        <v>126436</v>
      </c>
      <c r="G4" s="4" t="s">
        <v>20</v>
      </c>
      <c r="H4" s="4">
        <v>0</v>
      </c>
      <c r="I4" s="4">
        <v>1.5024</v>
      </c>
      <c r="J4" s="4">
        <v>5.9086999999999996</v>
      </c>
      <c r="K4" s="4">
        <v>1.3263</v>
      </c>
      <c r="L4" s="4">
        <v>3.9020000000000001</v>
      </c>
      <c r="M4" s="4">
        <v>2.3565</v>
      </c>
      <c r="N4" s="4">
        <v>9.7900000000000001E-2</v>
      </c>
      <c r="O4" s="4">
        <v>5.0799999999999998E-2</v>
      </c>
      <c r="P4" s="4">
        <v>0</v>
      </c>
      <c r="Q4" s="4">
        <v>0</v>
      </c>
      <c r="R4" s="4">
        <v>0</v>
      </c>
      <c r="S4" s="4">
        <v>20190103</v>
      </c>
      <c r="T4">
        <f t="shared" si="0"/>
        <v>15.144599999999999</v>
      </c>
    </row>
    <row r="5" spans="1:20" x14ac:dyDescent="0.25">
      <c r="A5" s="4" t="s">
        <v>19</v>
      </c>
      <c r="B5" s="4">
        <v>2016</v>
      </c>
      <c r="C5" s="4">
        <v>1</v>
      </c>
      <c r="D5" s="4">
        <v>22</v>
      </c>
      <c r="E5" s="4">
        <v>8</v>
      </c>
      <c r="F5" s="4">
        <v>126436</v>
      </c>
      <c r="G5" s="4" t="s">
        <v>20</v>
      </c>
      <c r="H5" s="4">
        <v>0</v>
      </c>
      <c r="I5" s="4">
        <v>0.3831</v>
      </c>
      <c r="J5" s="4">
        <v>1.1472</v>
      </c>
      <c r="K5" s="4">
        <v>0.22509999999999999</v>
      </c>
      <c r="L5" s="4">
        <v>1.2217</v>
      </c>
      <c r="M5" s="4">
        <v>0.40660000000000002</v>
      </c>
      <c r="N5" s="4">
        <v>0.20349999999999999</v>
      </c>
      <c r="O5" s="4">
        <v>0</v>
      </c>
      <c r="P5" s="4">
        <v>0</v>
      </c>
      <c r="Q5" s="4">
        <v>0</v>
      </c>
      <c r="R5" s="4">
        <v>0</v>
      </c>
      <c r="S5" s="4">
        <v>20190103</v>
      </c>
      <c r="T5">
        <f t="shared" si="0"/>
        <v>3.5872000000000002</v>
      </c>
    </row>
    <row r="6" spans="1:20" x14ac:dyDescent="0.25">
      <c r="A6" s="4" t="s">
        <v>19</v>
      </c>
      <c r="B6" s="4">
        <v>2016</v>
      </c>
      <c r="C6" s="4">
        <v>1</v>
      </c>
      <c r="D6" s="4">
        <v>22</v>
      </c>
      <c r="E6" s="4">
        <v>9</v>
      </c>
      <c r="F6" s="4">
        <v>126436</v>
      </c>
      <c r="G6" s="4" t="s">
        <v>20</v>
      </c>
      <c r="H6" s="4">
        <v>0</v>
      </c>
      <c r="I6" s="4">
        <v>0.43219999999999997</v>
      </c>
      <c r="J6" s="4">
        <v>8.3065999999999995</v>
      </c>
      <c r="K6" s="4">
        <v>16.882200000000001</v>
      </c>
      <c r="L6" s="4">
        <v>4.3868999999999998</v>
      </c>
      <c r="M6" s="4">
        <v>1.0607</v>
      </c>
      <c r="N6" s="4">
        <v>0.26640000000000003</v>
      </c>
      <c r="O6" s="4">
        <v>2.75E-2</v>
      </c>
      <c r="P6" s="4">
        <v>0</v>
      </c>
      <c r="Q6" s="4">
        <v>0</v>
      </c>
      <c r="R6" s="4">
        <v>0</v>
      </c>
      <c r="S6" s="4">
        <v>20190103</v>
      </c>
      <c r="T6">
        <f t="shared" si="0"/>
        <v>31.362500000000004</v>
      </c>
    </row>
    <row r="7" spans="1:20" x14ac:dyDescent="0.25">
      <c r="A7" s="4" t="s">
        <v>19</v>
      </c>
      <c r="B7" s="4">
        <v>2016</v>
      </c>
      <c r="C7" s="4">
        <v>1</v>
      </c>
      <c r="D7" s="4">
        <v>23</v>
      </c>
      <c r="E7" s="4">
        <v>8</v>
      </c>
      <c r="F7" s="4">
        <v>126436</v>
      </c>
      <c r="G7" s="4" t="s">
        <v>20</v>
      </c>
      <c r="H7" s="4">
        <v>0</v>
      </c>
      <c r="I7" s="4">
        <v>0</v>
      </c>
      <c r="J7" s="4">
        <v>107.9218</v>
      </c>
      <c r="K7" s="4">
        <v>89.459800000000001</v>
      </c>
      <c r="L7" s="4">
        <v>45.296799999999998</v>
      </c>
      <c r="M7" s="4">
        <v>3.9308000000000001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20190103</v>
      </c>
      <c r="T7">
        <f t="shared" si="0"/>
        <v>246.60919999999999</v>
      </c>
    </row>
    <row r="8" spans="1:20" x14ac:dyDescent="0.25">
      <c r="A8" s="4" t="s">
        <v>19</v>
      </c>
      <c r="B8" s="4">
        <v>2016</v>
      </c>
      <c r="C8" s="4">
        <v>1</v>
      </c>
      <c r="D8" s="4">
        <v>23</v>
      </c>
      <c r="E8" s="4">
        <v>9</v>
      </c>
      <c r="F8" s="4">
        <v>126436</v>
      </c>
      <c r="G8" s="4" t="s">
        <v>20</v>
      </c>
      <c r="H8" s="4">
        <v>0</v>
      </c>
      <c r="I8" s="4">
        <v>0</v>
      </c>
      <c r="J8" s="4">
        <v>1.5732999999999999</v>
      </c>
      <c r="K8" s="4">
        <v>1.4</v>
      </c>
      <c r="L8" s="4">
        <v>5.9226999999999999</v>
      </c>
      <c r="M8" s="4">
        <v>3.3239999999999998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20190103</v>
      </c>
      <c r="T8">
        <f t="shared" si="0"/>
        <v>12.22</v>
      </c>
    </row>
    <row r="9" spans="1:20" x14ac:dyDescent="0.25">
      <c r="A9" s="4" t="s">
        <v>19</v>
      </c>
      <c r="B9" s="4">
        <v>2016</v>
      </c>
      <c r="C9" s="4">
        <v>1</v>
      </c>
      <c r="D9" s="4">
        <v>24</v>
      </c>
      <c r="E9" s="4">
        <v>10</v>
      </c>
      <c r="F9" s="4">
        <v>126436</v>
      </c>
      <c r="G9" s="4" t="s">
        <v>20</v>
      </c>
      <c r="H9" s="4">
        <v>0</v>
      </c>
      <c r="I9" s="4">
        <v>4.1344000000000003</v>
      </c>
      <c r="J9" s="4">
        <v>0</v>
      </c>
      <c r="K9" s="4">
        <v>742.44100000000003</v>
      </c>
      <c r="L9" s="4">
        <v>469.57499999999999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20190103</v>
      </c>
      <c r="T9">
        <f t="shared" si="0"/>
        <v>1216.1504</v>
      </c>
    </row>
    <row r="10" spans="1:20" x14ac:dyDescent="0.25">
      <c r="A10" s="4" t="s">
        <v>19</v>
      </c>
      <c r="B10" s="4">
        <v>2016</v>
      </c>
      <c r="C10" s="4">
        <v>1</v>
      </c>
      <c r="D10" s="4">
        <v>24</v>
      </c>
      <c r="E10" s="4">
        <v>8</v>
      </c>
      <c r="F10" s="4">
        <v>126436</v>
      </c>
      <c r="G10" s="4" t="s">
        <v>20</v>
      </c>
      <c r="H10" s="4">
        <v>0</v>
      </c>
      <c r="I10" s="4">
        <v>0</v>
      </c>
      <c r="J10" s="4">
        <v>0</v>
      </c>
      <c r="K10" s="4">
        <v>18.312000000000001</v>
      </c>
      <c r="L10" s="4">
        <v>26.16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20190103</v>
      </c>
      <c r="T10">
        <f t="shared" si="0"/>
        <v>44.472000000000001</v>
      </c>
    </row>
    <row r="11" spans="1:20" x14ac:dyDescent="0.25">
      <c r="A11" s="4" t="s">
        <v>19</v>
      </c>
      <c r="B11" s="4">
        <v>2016</v>
      </c>
      <c r="C11" s="4">
        <v>1</v>
      </c>
      <c r="D11" s="4">
        <v>24</v>
      </c>
      <c r="E11" s="4">
        <v>9</v>
      </c>
      <c r="F11" s="4">
        <v>126436</v>
      </c>
      <c r="G11" s="4" t="s">
        <v>20</v>
      </c>
      <c r="H11" s="4">
        <v>0</v>
      </c>
      <c r="I11" s="4">
        <v>0.73329999999999995</v>
      </c>
      <c r="J11" s="4">
        <v>0</v>
      </c>
      <c r="K11" s="4">
        <v>211.8587</v>
      </c>
      <c r="L11" s="4">
        <v>116.2617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20190103</v>
      </c>
      <c r="T11">
        <f t="shared" si="0"/>
        <v>328.8537</v>
      </c>
    </row>
    <row r="12" spans="1:20" x14ac:dyDescent="0.25">
      <c r="A12" s="4" t="s">
        <v>19</v>
      </c>
      <c r="B12" s="4">
        <v>2016</v>
      </c>
      <c r="C12" s="4">
        <v>1</v>
      </c>
      <c r="D12" s="4">
        <v>25</v>
      </c>
      <c r="E12" s="4">
        <v>10</v>
      </c>
      <c r="F12" s="4">
        <v>126436</v>
      </c>
      <c r="G12" s="4" t="s">
        <v>20</v>
      </c>
      <c r="H12" s="4">
        <v>0</v>
      </c>
      <c r="I12" s="4">
        <v>14.610099999999999</v>
      </c>
      <c r="J12" s="4">
        <v>812.86019999999996</v>
      </c>
      <c r="K12" s="4">
        <v>1006.7113000000001</v>
      </c>
      <c r="L12" s="4">
        <v>409.51100000000002</v>
      </c>
      <c r="M12" s="4">
        <v>44.914200000000001</v>
      </c>
      <c r="N12" s="4">
        <v>3.1815000000000002</v>
      </c>
      <c r="O12" s="4">
        <v>0.83560000000000001</v>
      </c>
      <c r="P12" s="4">
        <v>0.41049999999999998</v>
      </c>
      <c r="Q12" s="4">
        <v>0</v>
      </c>
      <c r="R12" s="4">
        <v>0</v>
      </c>
      <c r="S12" s="4">
        <v>20190103</v>
      </c>
      <c r="T12">
        <f t="shared" si="0"/>
        <v>2293.0344</v>
      </c>
    </row>
    <row r="13" spans="1:20" x14ac:dyDescent="0.25">
      <c r="A13" s="4" t="s">
        <v>19</v>
      </c>
      <c r="B13" s="4">
        <v>2016</v>
      </c>
      <c r="C13" s="4">
        <v>1</v>
      </c>
      <c r="D13" s="4">
        <v>25</v>
      </c>
      <c r="E13" s="4">
        <v>11</v>
      </c>
      <c r="F13" s="4">
        <v>126436</v>
      </c>
      <c r="G13" s="4" t="s">
        <v>20</v>
      </c>
      <c r="H13" s="4">
        <v>0</v>
      </c>
      <c r="I13" s="4">
        <v>2.4045000000000001</v>
      </c>
      <c r="J13" s="4">
        <v>471.30650000000003</v>
      </c>
      <c r="K13" s="4">
        <v>741.42529999999999</v>
      </c>
      <c r="L13" s="4">
        <v>337.77870000000001</v>
      </c>
      <c r="M13" s="4">
        <v>31.090299999999999</v>
      </c>
      <c r="N13" s="4">
        <v>1.7542</v>
      </c>
      <c r="O13" s="4">
        <v>0.63129999999999997</v>
      </c>
      <c r="P13" s="4">
        <v>0.16089999999999999</v>
      </c>
      <c r="Q13" s="4">
        <v>0</v>
      </c>
      <c r="R13" s="4">
        <v>0</v>
      </c>
      <c r="S13" s="4">
        <v>20190103</v>
      </c>
      <c r="T13">
        <f t="shared" si="0"/>
        <v>1586.5517000000004</v>
      </c>
    </row>
    <row r="14" spans="1:20" x14ac:dyDescent="0.25">
      <c r="A14" s="4" t="s">
        <v>19</v>
      </c>
      <c r="B14" s="4">
        <v>2016</v>
      </c>
      <c r="C14" s="4">
        <v>1</v>
      </c>
      <c r="D14" s="4">
        <v>25</v>
      </c>
      <c r="E14" s="4">
        <v>12</v>
      </c>
      <c r="F14" s="4">
        <v>126436</v>
      </c>
      <c r="G14" s="4" t="s">
        <v>20</v>
      </c>
      <c r="H14" s="4">
        <v>0</v>
      </c>
      <c r="I14" s="4">
        <v>0.13070000000000001</v>
      </c>
      <c r="J14" s="4">
        <v>102.55110000000001</v>
      </c>
      <c r="K14" s="4">
        <v>559.52139999999997</v>
      </c>
      <c r="L14" s="4">
        <v>372.16989999999998</v>
      </c>
      <c r="M14" s="4">
        <v>37.121099999999998</v>
      </c>
      <c r="N14" s="4">
        <v>2.1522000000000001</v>
      </c>
      <c r="O14" s="4">
        <v>0.94920000000000004</v>
      </c>
      <c r="P14" s="4">
        <v>0.4103</v>
      </c>
      <c r="Q14" s="4">
        <v>0</v>
      </c>
      <c r="R14" s="4">
        <v>0</v>
      </c>
      <c r="S14" s="4">
        <v>20190103</v>
      </c>
      <c r="T14">
        <f t="shared" ref="T14:T77" si="1">SUM(I14:R14)</f>
        <v>1075.0058999999999</v>
      </c>
    </row>
    <row r="15" spans="1:20" x14ac:dyDescent="0.25">
      <c r="A15" s="4" t="s">
        <v>19</v>
      </c>
      <c r="B15" s="4">
        <v>2016</v>
      </c>
      <c r="C15" s="4">
        <v>1</v>
      </c>
      <c r="D15" s="4">
        <v>25</v>
      </c>
      <c r="E15" s="4">
        <v>9</v>
      </c>
      <c r="F15" s="4">
        <v>126436</v>
      </c>
      <c r="G15" s="4" t="s">
        <v>20</v>
      </c>
      <c r="H15" s="4">
        <v>0</v>
      </c>
      <c r="I15" s="4">
        <v>0.33329999999999999</v>
      </c>
      <c r="J15" s="4">
        <v>7.6231</v>
      </c>
      <c r="K15" s="4">
        <v>169.2835</v>
      </c>
      <c r="L15" s="4">
        <v>149.62690000000001</v>
      </c>
      <c r="M15" s="4">
        <v>13.964700000000001</v>
      </c>
      <c r="N15" s="4">
        <v>0.74009999999999998</v>
      </c>
      <c r="O15" s="4">
        <v>0.20619999999999999</v>
      </c>
      <c r="P15" s="4">
        <v>5.5599999999999997E-2</v>
      </c>
      <c r="Q15" s="4">
        <v>0</v>
      </c>
      <c r="R15" s="4">
        <v>0</v>
      </c>
      <c r="S15" s="4">
        <v>20190103</v>
      </c>
      <c r="T15">
        <f t="shared" si="1"/>
        <v>341.83340000000004</v>
      </c>
    </row>
    <row r="16" spans="1:20" x14ac:dyDescent="0.25">
      <c r="A16" s="4" t="s">
        <v>19</v>
      </c>
      <c r="B16" s="4">
        <v>2016</v>
      </c>
      <c r="C16" s="4">
        <v>1</v>
      </c>
      <c r="D16" s="4">
        <v>26</v>
      </c>
      <c r="E16" s="4">
        <v>10</v>
      </c>
      <c r="F16" s="4">
        <v>126436</v>
      </c>
      <c r="G16" s="4" t="s">
        <v>20</v>
      </c>
      <c r="H16" s="4">
        <v>0</v>
      </c>
      <c r="I16" s="4">
        <v>13.537699999999999</v>
      </c>
      <c r="J16" s="4">
        <v>54.408099999999997</v>
      </c>
      <c r="K16" s="4">
        <v>102.5322</v>
      </c>
      <c r="L16" s="4">
        <v>75.475399999999993</v>
      </c>
      <c r="M16" s="4">
        <v>40.125399999999999</v>
      </c>
      <c r="N16" s="4">
        <v>10.2691</v>
      </c>
      <c r="O16" s="4">
        <v>0.92120000000000002</v>
      </c>
      <c r="P16" s="4">
        <v>0.1</v>
      </c>
      <c r="Q16" s="4">
        <v>9.0899999999999995E-2</v>
      </c>
      <c r="R16" s="4">
        <v>0</v>
      </c>
      <c r="S16" s="4">
        <v>20190103</v>
      </c>
      <c r="T16">
        <f t="shared" si="1"/>
        <v>297.45999999999998</v>
      </c>
    </row>
    <row r="17" spans="1:20" x14ac:dyDescent="0.25">
      <c r="A17" s="4" t="s">
        <v>19</v>
      </c>
      <c r="B17" s="4">
        <v>2016</v>
      </c>
      <c r="C17" s="4">
        <v>1</v>
      </c>
      <c r="D17" s="4">
        <v>26</v>
      </c>
      <c r="E17" s="4">
        <v>11</v>
      </c>
      <c r="F17" s="4">
        <v>126436</v>
      </c>
      <c r="G17" s="4" t="s">
        <v>20</v>
      </c>
      <c r="H17" s="4">
        <v>0</v>
      </c>
      <c r="I17" s="4">
        <v>2.8618999999999999</v>
      </c>
      <c r="J17" s="4">
        <v>327.18650000000002</v>
      </c>
      <c r="K17" s="4">
        <v>233.5667</v>
      </c>
      <c r="L17" s="4">
        <v>117.6147</v>
      </c>
      <c r="M17" s="4">
        <v>64.657200000000003</v>
      </c>
      <c r="N17" s="4">
        <v>13.1927</v>
      </c>
      <c r="O17" s="4">
        <v>0.62929999999999997</v>
      </c>
      <c r="P17" s="4">
        <v>0</v>
      </c>
      <c r="Q17" s="4">
        <v>0.1885</v>
      </c>
      <c r="R17" s="4">
        <v>0</v>
      </c>
      <c r="S17" s="4">
        <v>20190103</v>
      </c>
      <c r="T17">
        <f t="shared" si="1"/>
        <v>759.89749999999981</v>
      </c>
    </row>
    <row r="18" spans="1:20" x14ac:dyDescent="0.25">
      <c r="A18" s="4" t="s">
        <v>19</v>
      </c>
      <c r="B18" s="4">
        <v>2016</v>
      </c>
      <c r="C18" s="4">
        <v>1</v>
      </c>
      <c r="D18" s="4">
        <v>26</v>
      </c>
      <c r="E18" s="4">
        <v>12</v>
      </c>
      <c r="F18" s="4">
        <v>126436</v>
      </c>
      <c r="G18" s="4" t="s">
        <v>20</v>
      </c>
      <c r="H18" s="4">
        <v>0</v>
      </c>
      <c r="I18" s="4">
        <v>1.6783999999999999</v>
      </c>
      <c r="J18" s="4">
        <v>198.06880000000001</v>
      </c>
      <c r="K18" s="4">
        <v>443.61759999999998</v>
      </c>
      <c r="L18" s="4">
        <v>251.4913</v>
      </c>
      <c r="M18" s="4">
        <v>145.65379999999999</v>
      </c>
      <c r="N18" s="4">
        <v>28.7454</v>
      </c>
      <c r="O18" s="4">
        <v>1.4291</v>
      </c>
      <c r="P18" s="4">
        <v>0</v>
      </c>
      <c r="Q18" s="4">
        <v>0.25669999999999998</v>
      </c>
      <c r="R18" s="4">
        <v>0</v>
      </c>
      <c r="S18" s="4">
        <v>20190103</v>
      </c>
      <c r="T18">
        <f t="shared" si="1"/>
        <v>1070.9411</v>
      </c>
    </row>
    <row r="19" spans="1:20" x14ac:dyDescent="0.25">
      <c r="A19" s="4" t="s">
        <v>19</v>
      </c>
      <c r="B19" s="4">
        <v>2016</v>
      </c>
      <c r="C19" s="4">
        <v>1</v>
      </c>
      <c r="D19" s="4">
        <v>26</v>
      </c>
      <c r="E19" s="4">
        <v>13</v>
      </c>
      <c r="F19" s="4">
        <v>126436</v>
      </c>
      <c r="G19" s="4" t="s">
        <v>20</v>
      </c>
      <c r="H19" s="4">
        <v>0</v>
      </c>
      <c r="I19" s="4">
        <v>0</v>
      </c>
      <c r="J19" s="4">
        <v>18.069299999999998</v>
      </c>
      <c r="K19" s="4">
        <v>138.49160000000001</v>
      </c>
      <c r="L19" s="4">
        <v>98.906099999999995</v>
      </c>
      <c r="M19" s="4">
        <v>65.174599999999998</v>
      </c>
      <c r="N19" s="4">
        <v>13.7912</v>
      </c>
      <c r="O19" s="4">
        <v>2.4763000000000002</v>
      </c>
      <c r="P19" s="4">
        <v>0.25</v>
      </c>
      <c r="Q19" s="4">
        <v>9.0899999999999995E-2</v>
      </c>
      <c r="R19" s="4">
        <v>0</v>
      </c>
      <c r="S19" s="4">
        <v>20190103</v>
      </c>
      <c r="T19">
        <f t="shared" si="1"/>
        <v>337.24999999999994</v>
      </c>
    </row>
    <row r="20" spans="1:20" x14ac:dyDescent="0.25">
      <c r="A20" s="4" t="s">
        <v>19</v>
      </c>
      <c r="B20" s="4">
        <v>2016</v>
      </c>
      <c r="C20" s="4">
        <v>1</v>
      </c>
      <c r="D20" s="4">
        <v>26</v>
      </c>
      <c r="E20" s="4">
        <v>14</v>
      </c>
      <c r="F20" s="4">
        <v>126436</v>
      </c>
      <c r="G20" s="4" t="s">
        <v>20</v>
      </c>
      <c r="H20" s="4">
        <v>0</v>
      </c>
      <c r="I20" s="4">
        <v>0</v>
      </c>
      <c r="J20" s="4">
        <v>109.0431</v>
      </c>
      <c r="K20" s="4">
        <v>602.68769999999995</v>
      </c>
      <c r="L20" s="4">
        <v>503.12009999999998</v>
      </c>
      <c r="M20" s="4">
        <v>297.65710000000001</v>
      </c>
      <c r="N20" s="4">
        <v>80.775700000000001</v>
      </c>
      <c r="O20" s="4">
        <v>8.3526000000000007</v>
      </c>
      <c r="P20" s="4">
        <v>0</v>
      </c>
      <c r="Q20" s="4">
        <v>2.3635999999999999</v>
      </c>
      <c r="R20" s="4">
        <v>0</v>
      </c>
      <c r="S20" s="4">
        <v>20190103</v>
      </c>
      <c r="T20">
        <f t="shared" si="1"/>
        <v>1603.9998999999996</v>
      </c>
    </row>
    <row r="21" spans="1:20" x14ac:dyDescent="0.25">
      <c r="A21" s="4" t="s">
        <v>19</v>
      </c>
      <c r="B21" s="4">
        <v>2016</v>
      </c>
      <c r="C21" s="4">
        <v>1</v>
      </c>
      <c r="D21" s="4">
        <v>26</v>
      </c>
      <c r="E21" s="4">
        <v>9</v>
      </c>
      <c r="F21" s="4">
        <v>126436</v>
      </c>
      <c r="G21" s="4" t="s">
        <v>20</v>
      </c>
      <c r="H21" s="4">
        <v>0</v>
      </c>
      <c r="I21" s="4">
        <v>2.5295999999999998</v>
      </c>
      <c r="J21" s="4">
        <v>44.688200000000002</v>
      </c>
      <c r="K21" s="4">
        <v>54.451700000000002</v>
      </c>
      <c r="L21" s="4">
        <v>28.580500000000001</v>
      </c>
      <c r="M21" s="4">
        <v>13.0739</v>
      </c>
      <c r="N21" s="4">
        <v>3.5303</v>
      </c>
      <c r="O21" s="4">
        <v>0.23860000000000001</v>
      </c>
      <c r="P21" s="4">
        <v>0</v>
      </c>
      <c r="Q21" s="4">
        <v>4.0399999999999998E-2</v>
      </c>
      <c r="R21" s="4">
        <v>0</v>
      </c>
      <c r="S21" s="4">
        <v>20190103</v>
      </c>
      <c r="T21">
        <f t="shared" si="1"/>
        <v>147.13320000000002</v>
      </c>
    </row>
    <row r="22" spans="1:20" x14ac:dyDescent="0.25">
      <c r="A22" s="4" t="s">
        <v>19</v>
      </c>
      <c r="B22" s="4">
        <v>2016</v>
      </c>
      <c r="C22" s="4">
        <v>1</v>
      </c>
      <c r="D22" s="4">
        <v>27</v>
      </c>
      <c r="E22" s="4">
        <v>11</v>
      </c>
      <c r="F22" s="4">
        <v>126436</v>
      </c>
      <c r="G22" s="4" t="s">
        <v>20</v>
      </c>
      <c r="H22" s="4">
        <v>0</v>
      </c>
      <c r="I22" s="4">
        <v>0</v>
      </c>
      <c r="J22" s="4">
        <v>18.083300000000001</v>
      </c>
      <c r="K22" s="4">
        <v>15.333299999999999</v>
      </c>
      <c r="L22" s="4">
        <v>5.5833000000000004</v>
      </c>
      <c r="M22" s="4">
        <v>1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20190103</v>
      </c>
      <c r="T22">
        <f t="shared" si="1"/>
        <v>39.999900000000004</v>
      </c>
    </row>
    <row r="23" spans="1:20" x14ac:dyDescent="0.25">
      <c r="A23" s="4" t="s">
        <v>19</v>
      </c>
      <c r="B23" s="4">
        <v>2016</v>
      </c>
      <c r="C23" s="4">
        <v>1</v>
      </c>
      <c r="D23" s="4">
        <v>27</v>
      </c>
      <c r="E23" s="4">
        <v>12</v>
      </c>
      <c r="F23" s="4">
        <v>126436</v>
      </c>
      <c r="G23" s="4" t="s">
        <v>20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20190103</v>
      </c>
      <c r="T23">
        <f t="shared" si="1"/>
        <v>0</v>
      </c>
    </row>
    <row r="24" spans="1:20" x14ac:dyDescent="0.25">
      <c r="A24" s="4" t="s">
        <v>19</v>
      </c>
      <c r="B24" s="4">
        <v>2016</v>
      </c>
      <c r="C24" s="4">
        <v>1</v>
      </c>
      <c r="D24" s="4">
        <v>27</v>
      </c>
      <c r="E24" s="4">
        <v>13</v>
      </c>
      <c r="F24" s="4">
        <v>126436</v>
      </c>
      <c r="G24" s="4" t="s">
        <v>20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20190103</v>
      </c>
      <c r="T24">
        <f t="shared" si="1"/>
        <v>0</v>
      </c>
    </row>
    <row r="25" spans="1:20" x14ac:dyDescent="0.25">
      <c r="A25" s="4" t="s">
        <v>19</v>
      </c>
      <c r="B25" s="4">
        <v>2016</v>
      </c>
      <c r="C25" s="4">
        <v>1</v>
      </c>
      <c r="D25" s="4">
        <v>28</v>
      </c>
      <c r="E25" s="4">
        <v>10</v>
      </c>
      <c r="F25" s="4">
        <v>126436</v>
      </c>
      <c r="G25" s="4" t="s">
        <v>20</v>
      </c>
      <c r="H25" s="4">
        <v>0</v>
      </c>
      <c r="I25" s="4">
        <v>1</v>
      </c>
      <c r="J25" s="4">
        <v>4.1666999999999996</v>
      </c>
      <c r="K25" s="4">
        <v>3</v>
      </c>
      <c r="L25" s="4">
        <v>0.83330000000000004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20190103</v>
      </c>
      <c r="T25">
        <f t="shared" si="1"/>
        <v>8.9999999999999982</v>
      </c>
    </row>
    <row r="26" spans="1:20" x14ac:dyDescent="0.25">
      <c r="A26" s="4" t="s">
        <v>19</v>
      </c>
      <c r="B26" s="4">
        <v>2016</v>
      </c>
      <c r="C26" s="4">
        <v>1</v>
      </c>
      <c r="D26" s="4">
        <v>28</v>
      </c>
      <c r="E26" s="4">
        <v>11</v>
      </c>
      <c r="F26" s="4">
        <v>126436</v>
      </c>
      <c r="G26" s="4" t="s">
        <v>20</v>
      </c>
      <c r="H26" s="4">
        <v>0</v>
      </c>
      <c r="I26" s="4">
        <v>0.44440000000000002</v>
      </c>
      <c r="J26" s="4">
        <v>18.555499999999999</v>
      </c>
      <c r="K26" s="4">
        <v>7.0369999999999999</v>
      </c>
      <c r="L26" s="4">
        <v>3.6295999999999999</v>
      </c>
      <c r="M26" s="4">
        <v>2.2222</v>
      </c>
      <c r="N26" s="4">
        <v>1</v>
      </c>
      <c r="O26" s="4">
        <v>0</v>
      </c>
      <c r="P26" s="4">
        <v>0</v>
      </c>
      <c r="Q26" s="4">
        <v>0</v>
      </c>
      <c r="R26" s="4">
        <v>0</v>
      </c>
      <c r="S26" s="4">
        <v>20190103</v>
      </c>
      <c r="T26">
        <f t="shared" si="1"/>
        <v>32.8887</v>
      </c>
    </row>
    <row r="27" spans="1:20" x14ac:dyDescent="0.25">
      <c r="A27" s="4" t="s">
        <v>19</v>
      </c>
      <c r="B27" s="4">
        <v>2016</v>
      </c>
      <c r="C27" s="4">
        <v>1</v>
      </c>
      <c r="D27" s="4">
        <v>28</v>
      </c>
      <c r="E27" s="4">
        <v>12</v>
      </c>
      <c r="F27" s="4">
        <v>126436</v>
      </c>
      <c r="G27" s="4" t="s">
        <v>20</v>
      </c>
      <c r="H27" s="4">
        <v>0</v>
      </c>
      <c r="I27" s="4">
        <v>0</v>
      </c>
      <c r="J27" s="4">
        <v>0.57140000000000002</v>
      </c>
      <c r="K27" s="4">
        <v>1.6667000000000001</v>
      </c>
      <c r="L27" s="4">
        <v>0.85709999999999997</v>
      </c>
      <c r="M27" s="4">
        <v>0</v>
      </c>
      <c r="N27" s="4">
        <v>0.33329999999999999</v>
      </c>
      <c r="O27" s="4">
        <v>0</v>
      </c>
      <c r="P27" s="4">
        <v>0</v>
      </c>
      <c r="Q27" s="4">
        <v>0</v>
      </c>
      <c r="R27" s="4">
        <v>0</v>
      </c>
      <c r="S27" s="4">
        <v>20190103</v>
      </c>
      <c r="T27">
        <f t="shared" si="1"/>
        <v>3.4285000000000001</v>
      </c>
    </row>
    <row r="28" spans="1:20" x14ac:dyDescent="0.25">
      <c r="A28" s="4" t="s">
        <v>19</v>
      </c>
      <c r="B28" s="4">
        <v>2016</v>
      </c>
      <c r="C28" s="4">
        <v>1</v>
      </c>
      <c r="D28" s="4">
        <v>28</v>
      </c>
      <c r="E28" s="4">
        <v>9</v>
      </c>
      <c r="F28" s="4">
        <v>126436</v>
      </c>
      <c r="G28" s="4" t="s">
        <v>20</v>
      </c>
      <c r="H28" s="4">
        <v>0</v>
      </c>
      <c r="I28" s="4">
        <v>0.33329999999999999</v>
      </c>
      <c r="J28" s="4">
        <v>0.58330000000000004</v>
      </c>
      <c r="K28" s="4">
        <v>0.91669999999999996</v>
      </c>
      <c r="L28" s="4">
        <v>0.38890000000000002</v>
      </c>
      <c r="M28" s="4">
        <v>0.55559999999999998</v>
      </c>
      <c r="N28" s="4">
        <v>0.22220000000000001</v>
      </c>
      <c r="O28" s="4">
        <v>0</v>
      </c>
      <c r="P28" s="4">
        <v>0</v>
      </c>
      <c r="Q28" s="4">
        <v>0</v>
      </c>
      <c r="R28" s="4">
        <v>0</v>
      </c>
      <c r="S28" s="4">
        <v>20190103</v>
      </c>
      <c r="T28">
        <f t="shared" si="1"/>
        <v>3</v>
      </c>
    </row>
    <row r="29" spans="1:20" x14ac:dyDescent="0.25">
      <c r="A29" t="s">
        <v>19</v>
      </c>
      <c r="B29">
        <v>2017</v>
      </c>
      <c r="C29">
        <v>1</v>
      </c>
      <c r="D29">
        <v>21</v>
      </c>
      <c r="E29">
        <v>10</v>
      </c>
      <c r="F29">
        <v>126436</v>
      </c>
      <c r="G29" t="s">
        <v>20</v>
      </c>
      <c r="H29">
        <v>0</v>
      </c>
      <c r="I29">
        <v>13.4221</v>
      </c>
      <c r="J29">
        <v>0.76449999999999996</v>
      </c>
      <c r="K29">
        <v>0</v>
      </c>
      <c r="L29">
        <v>0.40949999999999998</v>
      </c>
      <c r="M29">
        <v>7.0499999999999993E-2</v>
      </c>
      <c r="N29">
        <v>0</v>
      </c>
      <c r="O29">
        <v>0</v>
      </c>
      <c r="P29">
        <v>0</v>
      </c>
      <c r="Q29">
        <v>0</v>
      </c>
      <c r="R29">
        <v>0</v>
      </c>
      <c r="S29">
        <v>20180408</v>
      </c>
      <c r="T29">
        <f t="shared" si="1"/>
        <v>14.666599999999999</v>
      </c>
    </row>
    <row r="30" spans="1:20" x14ac:dyDescent="0.25">
      <c r="A30" t="s">
        <v>19</v>
      </c>
      <c r="B30">
        <v>2017</v>
      </c>
      <c r="C30">
        <v>1</v>
      </c>
      <c r="D30">
        <v>21</v>
      </c>
      <c r="E30">
        <v>11</v>
      </c>
      <c r="F30">
        <v>126436</v>
      </c>
      <c r="G30" t="s">
        <v>20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20180408</v>
      </c>
      <c r="T30">
        <f t="shared" si="1"/>
        <v>0</v>
      </c>
    </row>
    <row r="31" spans="1:20" x14ac:dyDescent="0.25">
      <c r="A31" t="s">
        <v>19</v>
      </c>
      <c r="B31">
        <v>2017</v>
      </c>
      <c r="C31">
        <v>1</v>
      </c>
      <c r="D31">
        <v>21</v>
      </c>
      <c r="E31">
        <v>12</v>
      </c>
      <c r="F31">
        <v>126436</v>
      </c>
      <c r="G31" t="s">
        <v>20</v>
      </c>
      <c r="H31">
        <v>0</v>
      </c>
      <c r="I31">
        <v>174.059</v>
      </c>
      <c r="J31">
        <v>4.681</v>
      </c>
      <c r="K31">
        <v>0</v>
      </c>
      <c r="L31">
        <v>0.88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20180408</v>
      </c>
      <c r="T31">
        <f t="shared" si="1"/>
        <v>179.62</v>
      </c>
    </row>
    <row r="32" spans="1:20" x14ac:dyDescent="0.25">
      <c r="A32" t="s">
        <v>19</v>
      </c>
      <c r="B32">
        <v>2017</v>
      </c>
      <c r="C32">
        <v>1</v>
      </c>
      <c r="D32">
        <v>21</v>
      </c>
      <c r="E32">
        <v>9</v>
      </c>
      <c r="F32">
        <v>126436</v>
      </c>
      <c r="G32" t="s">
        <v>20</v>
      </c>
      <c r="H32">
        <v>0</v>
      </c>
      <c r="I32">
        <v>57.772100000000002</v>
      </c>
      <c r="J32">
        <v>2.3443000000000001</v>
      </c>
      <c r="K32">
        <v>1.9028</v>
      </c>
      <c r="L32">
        <v>4.4630000000000001</v>
      </c>
      <c r="M32">
        <v>2.2658999999999998</v>
      </c>
      <c r="N32">
        <v>0.48709999999999998</v>
      </c>
      <c r="O32">
        <v>0</v>
      </c>
      <c r="P32">
        <v>0</v>
      </c>
      <c r="Q32">
        <v>0</v>
      </c>
      <c r="R32">
        <v>0</v>
      </c>
      <c r="S32">
        <v>20180408</v>
      </c>
      <c r="T32">
        <f t="shared" si="1"/>
        <v>69.235199999999992</v>
      </c>
    </row>
    <row r="33" spans="1:20" x14ac:dyDescent="0.25">
      <c r="A33" t="s">
        <v>19</v>
      </c>
      <c r="B33">
        <v>2017</v>
      </c>
      <c r="C33">
        <v>1</v>
      </c>
      <c r="D33">
        <v>22</v>
      </c>
      <c r="E33">
        <v>8</v>
      </c>
      <c r="F33">
        <v>126436</v>
      </c>
      <c r="G33" t="s">
        <v>20</v>
      </c>
      <c r="H33">
        <v>0</v>
      </c>
      <c r="I33">
        <v>68.134100000000004</v>
      </c>
      <c r="J33">
        <v>2.1372</v>
      </c>
      <c r="K33">
        <v>6.7210999999999999</v>
      </c>
      <c r="L33">
        <v>1.0707</v>
      </c>
      <c r="M33">
        <v>0.33210000000000001</v>
      </c>
      <c r="N33">
        <v>0</v>
      </c>
      <c r="O33">
        <v>0</v>
      </c>
      <c r="P33">
        <v>0</v>
      </c>
      <c r="Q33">
        <v>0</v>
      </c>
      <c r="R33">
        <v>0</v>
      </c>
      <c r="S33">
        <v>20180408</v>
      </c>
      <c r="T33">
        <f t="shared" si="1"/>
        <v>78.395200000000003</v>
      </c>
    </row>
    <row r="34" spans="1:20" x14ac:dyDescent="0.25">
      <c r="A34" t="s">
        <v>19</v>
      </c>
      <c r="B34">
        <v>2017</v>
      </c>
      <c r="C34">
        <v>1</v>
      </c>
      <c r="D34">
        <v>22</v>
      </c>
      <c r="E34">
        <v>9</v>
      </c>
      <c r="F34">
        <v>126436</v>
      </c>
      <c r="G34" t="s">
        <v>20</v>
      </c>
      <c r="H34">
        <v>0</v>
      </c>
      <c r="I34">
        <v>135.79679999999999</v>
      </c>
      <c r="J34">
        <v>6.0438999999999998</v>
      </c>
      <c r="K34">
        <v>22.678599999999999</v>
      </c>
      <c r="L34">
        <v>8.7973999999999997</v>
      </c>
      <c r="M34">
        <v>4.6131000000000002</v>
      </c>
      <c r="N34">
        <v>0.56899999999999995</v>
      </c>
      <c r="O34">
        <v>0.39369999999999999</v>
      </c>
      <c r="P34">
        <v>0.32669999999999999</v>
      </c>
      <c r="Q34">
        <v>0</v>
      </c>
      <c r="R34">
        <v>0</v>
      </c>
      <c r="S34">
        <v>20180408</v>
      </c>
      <c r="T34">
        <f t="shared" si="1"/>
        <v>179.21919999999997</v>
      </c>
    </row>
    <row r="35" spans="1:20" x14ac:dyDescent="0.25">
      <c r="A35" t="s">
        <v>19</v>
      </c>
      <c r="B35">
        <v>2017</v>
      </c>
      <c r="C35">
        <v>1</v>
      </c>
      <c r="D35">
        <v>23</v>
      </c>
      <c r="E35">
        <v>8</v>
      </c>
      <c r="F35">
        <v>126436</v>
      </c>
      <c r="G35" t="s">
        <v>20</v>
      </c>
      <c r="H35">
        <v>0</v>
      </c>
      <c r="I35">
        <v>131.1062</v>
      </c>
      <c r="J35">
        <v>110.14449999999999</v>
      </c>
      <c r="K35">
        <v>291.92360000000002</v>
      </c>
      <c r="L35">
        <v>42.302100000000003</v>
      </c>
      <c r="M35">
        <v>3.0196000000000001</v>
      </c>
      <c r="N35">
        <v>0</v>
      </c>
      <c r="O35">
        <v>0</v>
      </c>
      <c r="P35">
        <v>0</v>
      </c>
      <c r="Q35">
        <v>0</v>
      </c>
      <c r="R35">
        <v>0</v>
      </c>
      <c r="S35">
        <v>20180408</v>
      </c>
      <c r="T35">
        <f t="shared" si="1"/>
        <v>578.49599999999998</v>
      </c>
    </row>
    <row r="36" spans="1:20" x14ac:dyDescent="0.25">
      <c r="A36" t="s">
        <v>19</v>
      </c>
      <c r="B36">
        <v>2017</v>
      </c>
      <c r="C36">
        <v>1</v>
      </c>
      <c r="D36">
        <v>23</v>
      </c>
      <c r="E36">
        <v>9</v>
      </c>
      <c r="F36">
        <v>126436</v>
      </c>
      <c r="G36" t="s">
        <v>20</v>
      </c>
      <c r="H36">
        <v>0</v>
      </c>
      <c r="I36">
        <v>35.948900000000002</v>
      </c>
      <c r="J36">
        <v>29.102799999999998</v>
      </c>
      <c r="K36">
        <v>108.0309</v>
      </c>
      <c r="L36">
        <v>10.6774</v>
      </c>
      <c r="M36">
        <v>1.94</v>
      </c>
      <c r="N36">
        <v>0.22</v>
      </c>
      <c r="O36">
        <v>0</v>
      </c>
      <c r="P36">
        <v>0</v>
      </c>
      <c r="Q36">
        <v>0</v>
      </c>
      <c r="R36">
        <v>0</v>
      </c>
      <c r="S36">
        <v>20180408</v>
      </c>
      <c r="T36">
        <f t="shared" si="1"/>
        <v>185.92000000000002</v>
      </c>
    </row>
    <row r="37" spans="1:20" x14ac:dyDescent="0.25">
      <c r="A37" t="s">
        <v>19</v>
      </c>
      <c r="B37">
        <v>2017</v>
      </c>
      <c r="C37">
        <v>1</v>
      </c>
      <c r="D37">
        <v>24</v>
      </c>
      <c r="E37">
        <v>10</v>
      </c>
      <c r="F37">
        <v>126436</v>
      </c>
      <c r="G37" t="s">
        <v>20</v>
      </c>
      <c r="H37">
        <v>0</v>
      </c>
      <c r="I37">
        <v>23.805599999999998</v>
      </c>
      <c r="J37">
        <v>380.62869999999998</v>
      </c>
      <c r="K37">
        <v>428.47399999999999</v>
      </c>
      <c r="L37">
        <v>253.33359999999999</v>
      </c>
      <c r="M37">
        <v>102.0153</v>
      </c>
      <c r="N37">
        <v>11.2552</v>
      </c>
      <c r="O37">
        <v>3.5167999999999999</v>
      </c>
      <c r="P37">
        <v>0</v>
      </c>
      <c r="Q37">
        <v>0</v>
      </c>
      <c r="R37">
        <v>0</v>
      </c>
      <c r="S37">
        <v>20180408</v>
      </c>
      <c r="T37">
        <f t="shared" si="1"/>
        <v>1203.0292000000002</v>
      </c>
    </row>
    <row r="38" spans="1:20" x14ac:dyDescent="0.25">
      <c r="A38" t="s">
        <v>19</v>
      </c>
      <c r="B38">
        <v>2017</v>
      </c>
      <c r="C38">
        <v>1</v>
      </c>
      <c r="D38">
        <v>24</v>
      </c>
      <c r="E38">
        <v>8</v>
      </c>
      <c r="F38">
        <v>126436</v>
      </c>
      <c r="G38" t="s">
        <v>20</v>
      </c>
      <c r="H38">
        <v>0</v>
      </c>
      <c r="I38">
        <v>53.046199999999999</v>
      </c>
      <c r="J38">
        <v>53.099499999999999</v>
      </c>
      <c r="K38">
        <v>11.5084</v>
      </c>
      <c r="L38">
        <v>10.421900000000001</v>
      </c>
      <c r="M38">
        <v>10.348100000000001</v>
      </c>
      <c r="N38">
        <v>1.2068000000000001</v>
      </c>
      <c r="O38">
        <v>0.36899999999999999</v>
      </c>
      <c r="P38">
        <v>0</v>
      </c>
      <c r="Q38">
        <v>0</v>
      </c>
      <c r="R38">
        <v>0</v>
      </c>
      <c r="S38">
        <v>20180408</v>
      </c>
      <c r="T38">
        <f t="shared" si="1"/>
        <v>139.99989999999997</v>
      </c>
    </row>
    <row r="39" spans="1:20" x14ac:dyDescent="0.25">
      <c r="A39" t="s">
        <v>19</v>
      </c>
      <c r="B39">
        <v>2017</v>
      </c>
      <c r="C39">
        <v>1</v>
      </c>
      <c r="D39">
        <v>24</v>
      </c>
      <c r="E39">
        <v>9</v>
      </c>
      <c r="F39">
        <v>126436</v>
      </c>
      <c r="G39" t="s">
        <v>20</v>
      </c>
      <c r="H39">
        <v>0</v>
      </c>
      <c r="I39">
        <v>50.02</v>
      </c>
      <c r="J39">
        <v>172.2311</v>
      </c>
      <c r="K39">
        <v>126.18989999999999</v>
      </c>
      <c r="L39">
        <v>85.375799999999998</v>
      </c>
      <c r="M39">
        <v>30.677199999999999</v>
      </c>
      <c r="N39">
        <v>2.7296</v>
      </c>
      <c r="O39">
        <v>0.8911</v>
      </c>
      <c r="P39">
        <v>0</v>
      </c>
      <c r="Q39">
        <v>0</v>
      </c>
      <c r="R39">
        <v>0</v>
      </c>
      <c r="S39">
        <v>20180408</v>
      </c>
      <c r="T39">
        <f t="shared" si="1"/>
        <v>468.11470000000003</v>
      </c>
    </row>
    <row r="40" spans="1:20" x14ac:dyDescent="0.25">
      <c r="A40" t="s">
        <v>19</v>
      </c>
      <c r="B40">
        <v>2017</v>
      </c>
      <c r="C40">
        <v>1</v>
      </c>
      <c r="D40">
        <v>25</v>
      </c>
      <c r="E40">
        <v>10</v>
      </c>
      <c r="F40">
        <v>126436</v>
      </c>
      <c r="G40" t="s">
        <v>20</v>
      </c>
      <c r="H40">
        <v>0</v>
      </c>
      <c r="I40">
        <v>37.144599999999997</v>
      </c>
      <c r="J40">
        <v>254.0686</v>
      </c>
      <c r="K40">
        <v>294.06970000000001</v>
      </c>
      <c r="L40">
        <v>110.0476</v>
      </c>
      <c r="M40">
        <v>25.7605</v>
      </c>
      <c r="N40">
        <v>4.1820000000000004</v>
      </c>
      <c r="O40">
        <v>0.45040000000000002</v>
      </c>
      <c r="P40">
        <v>6.0299999999999999E-2</v>
      </c>
      <c r="Q40">
        <v>0</v>
      </c>
      <c r="R40">
        <v>0</v>
      </c>
      <c r="S40">
        <v>20180408</v>
      </c>
      <c r="T40">
        <f t="shared" si="1"/>
        <v>725.78369999999995</v>
      </c>
    </row>
    <row r="41" spans="1:20" x14ac:dyDescent="0.25">
      <c r="A41" t="s">
        <v>19</v>
      </c>
      <c r="B41">
        <v>2017</v>
      </c>
      <c r="C41">
        <v>1</v>
      </c>
      <c r="D41">
        <v>25</v>
      </c>
      <c r="E41">
        <v>11</v>
      </c>
      <c r="F41">
        <v>126436</v>
      </c>
      <c r="G41" t="s">
        <v>20</v>
      </c>
      <c r="H41">
        <v>0</v>
      </c>
      <c r="I41">
        <v>17.157800000000002</v>
      </c>
      <c r="J41">
        <v>201.4282</v>
      </c>
      <c r="K41">
        <v>416.49130000000002</v>
      </c>
      <c r="L41">
        <v>220.46019999999999</v>
      </c>
      <c r="M41">
        <v>51.317900000000002</v>
      </c>
      <c r="N41">
        <v>8.2119</v>
      </c>
      <c r="O41">
        <v>0.50670000000000004</v>
      </c>
      <c r="P41">
        <v>5.2299999999999999E-2</v>
      </c>
      <c r="Q41">
        <v>0</v>
      </c>
      <c r="R41">
        <v>0</v>
      </c>
      <c r="S41">
        <v>20180408</v>
      </c>
      <c r="T41">
        <f t="shared" si="1"/>
        <v>915.62630000000001</v>
      </c>
    </row>
    <row r="42" spans="1:20" x14ac:dyDescent="0.25">
      <c r="A42" t="s">
        <v>19</v>
      </c>
      <c r="B42">
        <v>2017</v>
      </c>
      <c r="C42">
        <v>1</v>
      </c>
      <c r="D42">
        <v>25</v>
      </c>
      <c r="E42">
        <v>12</v>
      </c>
      <c r="F42">
        <v>126436</v>
      </c>
      <c r="G42" t="s">
        <v>20</v>
      </c>
      <c r="H42">
        <v>0</v>
      </c>
      <c r="I42">
        <v>0.71809999999999996</v>
      </c>
      <c r="J42">
        <v>49.7209</v>
      </c>
      <c r="K42">
        <v>276.5514</v>
      </c>
      <c r="L42">
        <v>236.6474</v>
      </c>
      <c r="M42">
        <v>69.703800000000001</v>
      </c>
      <c r="N42">
        <v>12.2803</v>
      </c>
      <c r="O42">
        <v>0.97399999999999998</v>
      </c>
      <c r="P42">
        <v>0.27750000000000002</v>
      </c>
      <c r="Q42">
        <v>0</v>
      </c>
      <c r="R42">
        <v>0</v>
      </c>
      <c r="S42">
        <v>20180408</v>
      </c>
      <c r="T42">
        <f t="shared" si="1"/>
        <v>646.87340000000006</v>
      </c>
    </row>
    <row r="43" spans="1:20" x14ac:dyDescent="0.25">
      <c r="A43" t="s">
        <v>19</v>
      </c>
      <c r="B43">
        <v>2017</v>
      </c>
      <c r="C43">
        <v>1</v>
      </c>
      <c r="D43">
        <v>25</v>
      </c>
      <c r="E43">
        <v>9</v>
      </c>
      <c r="F43">
        <v>126436</v>
      </c>
      <c r="G43" t="s">
        <v>20</v>
      </c>
      <c r="H43">
        <v>0</v>
      </c>
      <c r="I43">
        <v>6.9603999999999999</v>
      </c>
      <c r="J43">
        <v>12.3203</v>
      </c>
      <c r="K43">
        <v>84.109700000000004</v>
      </c>
      <c r="L43">
        <v>59.264800000000001</v>
      </c>
      <c r="M43">
        <v>11.2986</v>
      </c>
      <c r="N43">
        <v>1.6085</v>
      </c>
      <c r="O43">
        <v>4.7600000000000003E-2</v>
      </c>
      <c r="P43">
        <v>3.3000000000000002E-2</v>
      </c>
      <c r="Q43">
        <v>0</v>
      </c>
      <c r="R43">
        <v>0</v>
      </c>
      <c r="S43">
        <v>20180408</v>
      </c>
      <c r="T43">
        <f t="shared" si="1"/>
        <v>175.64289999999997</v>
      </c>
    </row>
    <row r="44" spans="1:20" x14ac:dyDescent="0.25">
      <c r="A44" t="s">
        <v>19</v>
      </c>
      <c r="B44">
        <v>2017</v>
      </c>
      <c r="C44">
        <v>1</v>
      </c>
      <c r="D44">
        <v>26</v>
      </c>
      <c r="E44">
        <v>10</v>
      </c>
      <c r="F44">
        <v>126436</v>
      </c>
      <c r="G44" t="s">
        <v>20</v>
      </c>
      <c r="H44">
        <v>0</v>
      </c>
      <c r="I44">
        <v>27.425899999999999</v>
      </c>
      <c r="J44">
        <v>14.7864</v>
      </c>
      <c r="K44">
        <v>11.2788</v>
      </c>
      <c r="L44">
        <v>10.477</v>
      </c>
      <c r="M44">
        <v>8.1727000000000007</v>
      </c>
      <c r="N44">
        <v>4.0989000000000004</v>
      </c>
      <c r="O44">
        <v>0.85919999999999996</v>
      </c>
      <c r="P44">
        <v>0.1915</v>
      </c>
      <c r="Q44">
        <v>5.9499999999999997E-2</v>
      </c>
      <c r="R44">
        <v>0</v>
      </c>
      <c r="S44">
        <v>20180408</v>
      </c>
      <c r="T44">
        <f t="shared" si="1"/>
        <v>77.349900000000019</v>
      </c>
    </row>
    <row r="45" spans="1:20" x14ac:dyDescent="0.25">
      <c r="A45" t="s">
        <v>19</v>
      </c>
      <c r="B45">
        <v>2017</v>
      </c>
      <c r="C45">
        <v>1</v>
      </c>
      <c r="D45">
        <v>26</v>
      </c>
      <c r="E45">
        <v>11</v>
      </c>
      <c r="F45">
        <v>126436</v>
      </c>
      <c r="G45" t="s">
        <v>20</v>
      </c>
      <c r="H45">
        <v>0</v>
      </c>
      <c r="I45">
        <v>10.585699999999999</v>
      </c>
      <c r="J45">
        <v>54.021000000000001</v>
      </c>
      <c r="K45">
        <v>141.5856</v>
      </c>
      <c r="L45">
        <v>97.475999999999999</v>
      </c>
      <c r="M45">
        <v>58.2913</v>
      </c>
      <c r="N45">
        <v>25.4283</v>
      </c>
      <c r="O45">
        <v>4.7241999999999997</v>
      </c>
      <c r="P45">
        <v>0.61439999999999995</v>
      </c>
      <c r="Q45">
        <v>0.1333</v>
      </c>
      <c r="R45">
        <v>0</v>
      </c>
      <c r="S45">
        <v>20180408</v>
      </c>
      <c r="T45">
        <f t="shared" si="1"/>
        <v>392.85979999999995</v>
      </c>
    </row>
    <row r="46" spans="1:20" x14ac:dyDescent="0.25">
      <c r="A46" t="s">
        <v>19</v>
      </c>
      <c r="B46">
        <v>2017</v>
      </c>
      <c r="C46">
        <v>1</v>
      </c>
      <c r="D46">
        <v>26</v>
      </c>
      <c r="E46">
        <v>12</v>
      </c>
      <c r="F46">
        <v>126436</v>
      </c>
      <c r="G46" t="s">
        <v>20</v>
      </c>
      <c r="H46">
        <v>0</v>
      </c>
      <c r="I46">
        <v>2.3313000000000001</v>
      </c>
      <c r="J46">
        <v>27.597100000000001</v>
      </c>
      <c r="K46">
        <v>166.80529999999999</v>
      </c>
      <c r="L46">
        <v>132.39959999999999</v>
      </c>
      <c r="M46">
        <v>81.6661</v>
      </c>
      <c r="N46">
        <v>35.6935</v>
      </c>
      <c r="O46">
        <v>5.2789000000000001</v>
      </c>
      <c r="P46">
        <v>0.67679999999999996</v>
      </c>
      <c r="Q46">
        <v>0.14019999999999999</v>
      </c>
      <c r="R46">
        <v>0</v>
      </c>
      <c r="S46">
        <v>20180408</v>
      </c>
      <c r="T46">
        <f t="shared" si="1"/>
        <v>452.58879999999999</v>
      </c>
    </row>
    <row r="47" spans="1:20" x14ac:dyDescent="0.25">
      <c r="A47" t="s">
        <v>19</v>
      </c>
      <c r="B47">
        <v>2017</v>
      </c>
      <c r="C47">
        <v>1</v>
      </c>
      <c r="D47">
        <v>26</v>
      </c>
      <c r="E47">
        <v>13</v>
      </c>
      <c r="F47">
        <v>126436</v>
      </c>
      <c r="G47" t="s">
        <v>20</v>
      </c>
      <c r="H47">
        <v>0</v>
      </c>
      <c r="I47">
        <v>6.2778</v>
      </c>
      <c r="J47">
        <v>17.716899999999999</v>
      </c>
      <c r="K47">
        <v>174.69149999999999</v>
      </c>
      <c r="L47">
        <v>171.9461</v>
      </c>
      <c r="M47">
        <v>126.551</v>
      </c>
      <c r="N47">
        <v>52.028399999999998</v>
      </c>
      <c r="O47">
        <v>10.0229</v>
      </c>
      <c r="P47">
        <v>1.8369</v>
      </c>
      <c r="Q47">
        <v>0.17860000000000001</v>
      </c>
      <c r="R47">
        <v>0</v>
      </c>
      <c r="S47">
        <v>20180408</v>
      </c>
      <c r="T47">
        <f t="shared" si="1"/>
        <v>561.25009999999997</v>
      </c>
    </row>
    <row r="48" spans="1:20" x14ac:dyDescent="0.25">
      <c r="A48" t="s">
        <v>19</v>
      </c>
      <c r="B48">
        <v>2017</v>
      </c>
      <c r="C48">
        <v>1</v>
      </c>
      <c r="D48">
        <v>26</v>
      </c>
      <c r="E48">
        <v>9</v>
      </c>
      <c r="F48">
        <v>126436</v>
      </c>
      <c r="G48" t="s">
        <v>20</v>
      </c>
      <c r="H48">
        <v>0</v>
      </c>
      <c r="I48">
        <v>13.7265</v>
      </c>
      <c r="J48">
        <v>4.1921999999999997</v>
      </c>
      <c r="K48">
        <v>6.4756999999999998</v>
      </c>
      <c r="L48">
        <v>8.5493000000000006</v>
      </c>
      <c r="M48">
        <v>7.7798999999999996</v>
      </c>
      <c r="N48">
        <v>4.9507000000000003</v>
      </c>
      <c r="O48">
        <v>0.9526</v>
      </c>
      <c r="P48">
        <v>0.2762</v>
      </c>
      <c r="Q48">
        <v>9.6799999999999997E-2</v>
      </c>
      <c r="R48">
        <v>0</v>
      </c>
      <c r="S48">
        <v>20180408</v>
      </c>
      <c r="T48">
        <f t="shared" si="1"/>
        <v>46.999899999999997</v>
      </c>
    </row>
    <row r="49" spans="1:20" x14ac:dyDescent="0.25">
      <c r="A49" t="s">
        <v>19</v>
      </c>
      <c r="B49">
        <v>2017</v>
      </c>
      <c r="C49">
        <v>1</v>
      </c>
      <c r="D49">
        <v>27</v>
      </c>
      <c r="E49">
        <v>10</v>
      </c>
      <c r="F49">
        <v>126436</v>
      </c>
      <c r="G49" t="s">
        <v>20</v>
      </c>
      <c r="H49">
        <v>0</v>
      </c>
      <c r="I49">
        <v>0</v>
      </c>
      <c r="J49">
        <v>0</v>
      </c>
      <c r="K49">
        <v>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20180408</v>
      </c>
      <c r="T49">
        <f t="shared" si="1"/>
        <v>1</v>
      </c>
    </row>
    <row r="50" spans="1:20" x14ac:dyDescent="0.25">
      <c r="A50" t="s">
        <v>19</v>
      </c>
      <c r="B50">
        <v>2017</v>
      </c>
      <c r="C50">
        <v>1</v>
      </c>
      <c r="D50">
        <v>27</v>
      </c>
      <c r="E50">
        <v>11</v>
      </c>
      <c r="F50">
        <v>126436</v>
      </c>
      <c r="G50" t="s">
        <v>20</v>
      </c>
      <c r="H50">
        <v>0</v>
      </c>
      <c r="I50">
        <v>0</v>
      </c>
      <c r="J50">
        <v>0.16669999999999999</v>
      </c>
      <c r="K50">
        <v>6.1238000000000001</v>
      </c>
      <c r="L50">
        <v>2.2094999999999998</v>
      </c>
      <c r="M50">
        <v>0.5</v>
      </c>
      <c r="N50">
        <v>0</v>
      </c>
      <c r="O50">
        <v>0</v>
      </c>
      <c r="P50">
        <v>0</v>
      </c>
      <c r="Q50">
        <v>0</v>
      </c>
      <c r="R50">
        <v>0</v>
      </c>
      <c r="S50">
        <v>20180408</v>
      </c>
      <c r="T50">
        <f t="shared" si="1"/>
        <v>9</v>
      </c>
    </row>
    <row r="51" spans="1:20" x14ac:dyDescent="0.25">
      <c r="A51" t="s">
        <v>19</v>
      </c>
      <c r="B51">
        <v>2017</v>
      </c>
      <c r="C51">
        <v>1</v>
      </c>
      <c r="D51">
        <v>27</v>
      </c>
      <c r="E51">
        <v>12</v>
      </c>
      <c r="F51">
        <v>126436</v>
      </c>
      <c r="G51" t="s">
        <v>20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20180408</v>
      </c>
      <c r="T51">
        <f t="shared" si="1"/>
        <v>0</v>
      </c>
    </row>
    <row r="52" spans="1:20" x14ac:dyDescent="0.25">
      <c r="A52" t="s">
        <v>19</v>
      </c>
      <c r="B52">
        <v>2017</v>
      </c>
      <c r="C52">
        <v>1</v>
      </c>
      <c r="D52">
        <v>27</v>
      </c>
      <c r="E52">
        <v>13</v>
      </c>
      <c r="F52">
        <v>126436</v>
      </c>
      <c r="G52" t="s">
        <v>20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20180408</v>
      </c>
      <c r="T52">
        <f t="shared" si="1"/>
        <v>0</v>
      </c>
    </row>
    <row r="53" spans="1:20" x14ac:dyDescent="0.25">
      <c r="A53" t="s">
        <v>19</v>
      </c>
      <c r="B53">
        <v>2017</v>
      </c>
      <c r="C53">
        <v>1</v>
      </c>
      <c r="D53">
        <v>28</v>
      </c>
      <c r="E53">
        <v>10</v>
      </c>
      <c r="F53">
        <v>126436</v>
      </c>
      <c r="G53" t="s">
        <v>20</v>
      </c>
      <c r="H53">
        <v>0</v>
      </c>
      <c r="I53">
        <v>3.6</v>
      </c>
      <c r="J53">
        <v>1.2796000000000001</v>
      </c>
      <c r="K53">
        <v>4.0728999999999997</v>
      </c>
      <c r="L53">
        <v>3.6452</v>
      </c>
      <c r="M53">
        <v>2.6675</v>
      </c>
      <c r="N53">
        <v>0.80100000000000005</v>
      </c>
      <c r="O53">
        <v>0.1157</v>
      </c>
      <c r="P53">
        <v>0</v>
      </c>
      <c r="Q53">
        <v>1.8200000000000001E-2</v>
      </c>
      <c r="R53">
        <v>0</v>
      </c>
      <c r="S53">
        <v>20180408</v>
      </c>
      <c r="T53">
        <f t="shared" si="1"/>
        <v>16.200099999999999</v>
      </c>
    </row>
    <row r="54" spans="1:20" x14ac:dyDescent="0.25">
      <c r="A54" t="s">
        <v>19</v>
      </c>
      <c r="B54">
        <v>2017</v>
      </c>
      <c r="C54">
        <v>1</v>
      </c>
      <c r="D54">
        <v>28</v>
      </c>
      <c r="E54">
        <v>11</v>
      </c>
      <c r="F54">
        <v>126436</v>
      </c>
      <c r="G54" t="s">
        <v>20</v>
      </c>
      <c r="H54">
        <v>0</v>
      </c>
      <c r="I54">
        <v>0</v>
      </c>
      <c r="J54">
        <v>1.3229</v>
      </c>
      <c r="K54">
        <v>5.3677000000000001</v>
      </c>
      <c r="L54">
        <v>4.1722000000000001</v>
      </c>
      <c r="M54">
        <v>2.92</v>
      </c>
      <c r="N54">
        <v>1.2347999999999999</v>
      </c>
      <c r="O54">
        <v>0.1641</v>
      </c>
      <c r="P54">
        <v>0</v>
      </c>
      <c r="Q54">
        <v>1.8200000000000001E-2</v>
      </c>
      <c r="R54">
        <v>0</v>
      </c>
      <c r="S54">
        <v>20180408</v>
      </c>
      <c r="T54">
        <f t="shared" si="1"/>
        <v>15.1999</v>
      </c>
    </row>
    <row r="55" spans="1:20" x14ac:dyDescent="0.25">
      <c r="A55" t="s">
        <v>19</v>
      </c>
      <c r="B55">
        <v>2017</v>
      </c>
      <c r="C55">
        <v>1</v>
      </c>
      <c r="D55">
        <v>28</v>
      </c>
      <c r="E55">
        <v>12</v>
      </c>
      <c r="F55">
        <v>126436</v>
      </c>
      <c r="G55" t="s">
        <v>20</v>
      </c>
      <c r="H55">
        <v>0</v>
      </c>
      <c r="I55">
        <v>0</v>
      </c>
      <c r="J55">
        <v>48.4726</v>
      </c>
      <c r="K55">
        <v>286.1026</v>
      </c>
      <c r="L55">
        <v>155.45769999999999</v>
      </c>
      <c r="M55">
        <v>117.0508</v>
      </c>
      <c r="N55">
        <v>34.126300000000001</v>
      </c>
      <c r="O55">
        <v>7.0080999999999998</v>
      </c>
      <c r="P55">
        <v>0.8</v>
      </c>
      <c r="Q55">
        <v>0.58179999999999998</v>
      </c>
      <c r="R55">
        <v>0</v>
      </c>
      <c r="S55">
        <v>20180408</v>
      </c>
      <c r="T55">
        <f t="shared" si="1"/>
        <v>649.59990000000005</v>
      </c>
    </row>
    <row r="56" spans="1:20" x14ac:dyDescent="0.25">
      <c r="A56" t="s">
        <v>19</v>
      </c>
      <c r="B56">
        <v>2017</v>
      </c>
      <c r="C56">
        <v>1</v>
      </c>
      <c r="D56">
        <v>28</v>
      </c>
      <c r="E56">
        <v>13</v>
      </c>
      <c r="F56">
        <v>126436</v>
      </c>
      <c r="G56" t="s">
        <v>20</v>
      </c>
      <c r="H56">
        <v>0</v>
      </c>
      <c r="I56">
        <v>0</v>
      </c>
      <c r="J56">
        <v>7.3578999999999999</v>
      </c>
      <c r="K56">
        <v>50.912100000000002</v>
      </c>
      <c r="L56">
        <v>34.494199999999999</v>
      </c>
      <c r="M56">
        <v>25.611000000000001</v>
      </c>
      <c r="N56">
        <v>8.5338999999999992</v>
      </c>
      <c r="O56">
        <v>0.72729999999999995</v>
      </c>
      <c r="P56">
        <v>0</v>
      </c>
      <c r="Q56">
        <v>0.36359999999999998</v>
      </c>
      <c r="R56">
        <v>0</v>
      </c>
      <c r="S56">
        <v>20180408</v>
      </c>
      <c r="T56">
        <f t="shared" si="1"/>
        <v>128</v>
      </c>
    </row>
    <row r="57" spans="1:20" x14ac:dyDescent="0.25">
      <c r="A57" t="s">
        <v>19</v>
      </c>
      <c r="B57">
        <v>2017</v>
      </c>
      <c r="C57">
        <v>1</v>
      </c>
      <c r="D57">
        <v>28</v>
      </c>
      <c r="E57">
        <v>9</v>
      </c>
      <c r="F57">
        <v>126436</v>
      </c>
      <c r="G57" t="s">
        <v>20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20180408</v>
      </c>
      <c r="T57">
        <f t="shared" si="1"/>
        <v>0</v>
      </c>
    </row>
    <row r="58" spans="1:20" x14ac:dyDescent="0.25">
      <c r="A58" t="s">
        <v>19</v>
      </c>
      <c r="B58">
        <v>2018</v>
      </c>
      <c r="C58">
        <v>1</v>
      </c>
      <c r="D58">
        <v>21</v>
      </c>
      <c r="E58">
        <v>10</v>
      </c>
      <c r="F58">
        <v>126436</v>
      </c>
      <c r="G58" t="s">
        <v>20</v>
      </c>
      <c r="H58">
        <v>0</v>
      </c>
      <c r="I58">
        <v>2.9155000000000002</v>
      </c>
      <c r="J58">
        <v>5.4574999999999996</v>
      </c>
      <c r="K58">
        <v>0.32700000000000001</v>
      </c>
      <c r="L58">
        <v>0.19500000000000001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20190305</v>
      </c>
      <c r="T58">
        <f t="shared" si="1"/>
        <v>8.8949999999999996</v>
      </c>
    </row>
    <row r="59" spans="1:20" x14ac:dyDescent="0.25">
      <c r="A59" t="s">
        <v>19</v>
      </c>
      <c r="B59">
        <v>2018</v>
      </c>
      <c r="C59">
        <v>1</v>
      </c>
      <c r="D59">
        <v>21</v>
      </c>
      <c r="E59">
        <v>11</v>
      </c>
      <c r="F59">
        <v>126436</v>
      </c>
      <c r="G59" t="s">
        <v>20</v>
      </c>
      <c r="H59">
        <v>0</v>
      </c>
      <c r="I59">
        <v>0.85399999999999998</v>
      </c>
      <c r="J59">
        <v>2.8460000000000001</v>
      </c>
      <c r="K59">
        <v>0.87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20190305</v>
      </c>
      <c r="T59">
        <f t="shared" si="1"/>
        <v>4.57</v>
      </c>
    </row>
    <row r="60" spans="1:20" x14ac:dyDescent="0.25">
      <c r="A60" t="s">
        <v>19</v>
      </c>
      <c r="B60">
        <v>2018</v>
      </c>
      <c r="C60">
        <v>1</v>
      </c>
      <c r="D60">
        <v>21</v>
      </c>
      <c r="E60">
        <v>9</v>
      </c>
      <c r="F60">
        <v>126436</v>
      </c>
      <c r="G60" t="s">
        <v>20</v>
      </c>
      <c r="H60">
        <v>0</v>
      </c>
      <c r="I60">
        <v>2.0874999999999999</v>
      </c>
      <c r="J60">
        <v>10.0411</v>
      </c>
      <c r="K60">
        <v>0.82979999999999998</v>
      </c>
      <c r="L60">
        <v>6.8585000000000003</v>
      </c>
      <c r="M60">
        <v>2.7608000000000001</v>
      </c>
      <c r="N60">
        <v>0.88690000000000002</v>
      </c>
      <c r="O60">
        <v>0</v>
      </c>
      <c r="P60">
        <v>0</v>
      </c>
      <c r="Q60">
        <v>0</v>
      </c>
      <c r="R60">
        <v>0</v>
      </c>
      <c r="S60">
        <v>20190305</v>
      </c>
      <c r="T60">
        <f t="shared" si="1"/>
        <v>23.464600000000001</v>
      </c>
    </row>
    <row r="61" spans="1:20" x14ac:dyDescent="0.25">
      <c r="A61" t="s">
        <v>19</v>
      </c>
      <c r="B61">
        <v>2018</v>
      </c>
      <c r="C61">
        <v>1</v>
      </c>
      <c r="D61">
        <v>22</v>
      </c>
      <c r="E61">
        <v>8</v>
      </c>
      <c r="F61">
        <v>126436</v>
      </c>
      <c r="G61" t="s">
        <v>20</v>
      </c>
      <c r="H61">
        <v>0</v>
      </c>
      <c r="I61">
        <v>0.83279999999999998</v>
      </c>
      <c r="J61">
        <v>11.4072</v>
      </c>
      <c r="K61">
        <v>0</v>
      </c>
      <c r="L61">
        <v>0</v>
      </c>
      <c r="M61">
        <v>0</v>
      </c>
      <c r="N61">
        <v>0.13200000000000001</v>
      </c>
      <c r="O61">
        <v>0</v>
      </c>
      <c r="P61">
        <v>0</v>
      </c>
      <c r="Q61">
        <v>0</v>
      </c>
      <c r="R61">
        <v>0</v>
      </c>
      <c r="S61">
        <v>20190305</v>
      </c>
      <c r="T61">
        <f t="shared" si="1"/>
        <v>12.372</v>
      </c>
    </row>
    <row r="62" spans="1:20" x14ac:dyDescent="0.25">
      <c r="A62" t="s">
        <v>19</v>
      </c>
      <c r="B62">
        <v>2018</v>
      </c>
      <c r="C62">
        <v>1</v>
      </c>
      <c r="D62">
        <v>22</v>
      </c>
      <c r="E62">
        <v>9</v>
      </c>
      <c r="F62">
        <v>126436</v>
      </c>
      <c r="G62" t="s">
        <v>20</v>
      </c>
      <c r="H62">
        <v>0</v>
      </c>
      <c r="I62">
        <v>3.0366</v>
      </c>
      <c r="J62">
        <v>702.12599999999998</v>
      </c>
      <c r="K62">
        <v>31.166499999999999</v>
      </c>
      <c r="L62">
        <v>15.6785</v>
      </c>
      <c r="M62">
        <v>4.7049000000000003</v>
      </c>
      <c r="N62">
        <v>0.2107</v>
      </c>
      <c r="O62">
        <v>7.6600000000000001E-2</v>
      </c>
      <c r="P62">
        <v>4.9399999999999999E-2</v>
      </c>
      <c r="Q62">
        <v>0</v>
      </c>
      <c r="R62">
        <v>0</v>
      </c>
      <c r="S62">
        <v>20190305</v>
      </c>
      <c r="T62">
        <f t="shared" si="1"/>
        <v>757.04919999999993</v>
      </c>
    </row>
    <row r="63" spans="1:20" x14ac:dyDescent="0.25">
      <c r="A63" t="s">
        <v>19</v>
      </c>
      <c r="B63">
        <v>2018</v>
      </c>
      <c r="C63">
        <v>1</v>
      </c>
      <c r="D63">
        <v>23</v>
      </c>
      <c r="E63">
        <v>8</v>
      </c>
      <c r="F63">
        <v>126436</v>
      </c>
      <c r="G63" t="s">
        <v>20</v>
      </c>
      <c r="H63">
        <v>0</v>
      </c>
      <c r="I63">
        <v>4.3067000000000002</v>
      </c>
      <c r="J63">
        <v>343.86059999999998</v>
      </c>
      <c r="K63">
        <v>111.18389999999999</v>
      </c>
      <c r="L63">
        <v>59.268900000000002</v>
      </c>
      <c r="M63">
        <v>17.100000000000001</v>
      </c>
      <c r="N63">
        <v>1.1133</v>
      </c>
      <c r="O63">
        <v>0.22670000000000001</v>
      </c>
      <c r="P63">
        <v>0</v>
      </c>
      <c r="Q63">
        <v>0</v>
      </c>
      <c r="R63">
        <v>0</v>
      </c>
      <c r="S63">
        <v>20190305</v>
      </c>
      <c r="T63">
        <f t="shared" si="1"/>
        <v>537.06010000000003</v>
      </c>
    </row>
    <row r="64" spans="1:20" x14ac:dyDescent="0.25">
      <c r="A64" t="s">
        <v>19</v>
      </c>
      <c r="B64">
        <v>2018</v>
      </c>
      <c r="C64">
        <v>1</v>
      </c>
      <c r="D64">
        <v>23</v>
      </c>
      <c r="E64">
        <v>9</v>
      </c>
      <c r="F64">
        <v>126436</v>
      </c>
      <c r="G64" t="s">
        <v>20</v>
      </c>
      <c r="H64">
        <v>0</v>
      </c>
      <c r="I64">
        <v>1.1313</v>
      </c>
      <c r="J64">
        <v>1105.9294</v>
      </c>
      <c r="K64">
        <v>137.7585</v>
      </c>
      <c r="L64">
        <v>23.317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20190305</v>
      </c>
      <c r="T64">
        <f t="shared" si="1"/>
        <v>1268.1361999999999</v>
      </c>
    </row>
    <row r="65" spans="1:20" x14ac:dyDescent="0.25">
      <c r="A65" t="s">
        <v>19</v>
      </c>
      <c r="B65">
        <v>2018</v>
      </c>
      <c r="C65">
        <v>1</v>
      </c>
      <c r="D65">
        <v>24</v>
      </c>
      <c r="E65">
        <v>10</v>
      </c>
      <c r="F65">
        <v>126436</v>
      </c>
      <c r="G65" t="s">
        <v>20</v>
      </c>
      <c r="H65">
        <v>0</v>
      </c>
      <c r="I65">
        <v>1.2846</v>
      </c>
      <c r="J65">
        <v>900.98829999999998</v>
      </c>
      <c r="K65">
        <v>633.46559999999999</v>
      </c>
      <c r="L65">
        <v>147.1951</v>
      </c>
      <c r="M65">
        <v>46.958399999999997</v>
      </c>
      <c r="N65">
        <v>24.410399999999999</v>
      </c>
      <c r="O65">
        <v>0</v>
      </c>
      <c r="P65">
        <v>0</v>
      </c>
      <c r="Q65">
        <v>0</v>
      </c>
      <c r="R65">
        <v>0</v>
      </c>
      <c r="S65">
        <v>20190305</v>
      </c>
      <c r="T65">
        <f t="shared" si="1"/>
        <v>1754.3023999999998</v>
      </c>
    </row>
    <row r="66" spans="1:20" x14ac:dyDescent="0.25">
      <c r="A66" t="s">
        <v>19</v>
      </c>
      <c r="B66">
        <v>2018</v>
      </c>
      <c r="C66">
        <v>1</v>
      </c>
      <c r="D66">
        <v>24</v>
      </c>
      <c r="E66">
        <v>11</v>
      </c>
      <c r="F66">
        <v>126436</v>
      </c>
      <c r="G66" t="s">
        <v>20</v>
      </c>
      <c r="H66">
        <v>0</v>
      </c>
      <c r="I66">
        <v>6</v>
      </c>
      <c r="J66">
        <v>612.85239999999999</v>
      </c>
      <c r="K66">
        <v>237.9119</v>
      </c>
      <c r="L66">
        <v>26.835699999999999</v>
      </c>
      <c r="M66">
        <v>4</v>
      </c>
      <c r="N66">
        <v>0.4</v>
      </c>
      <c r="O66">
        <v>0</v>
      </c>
      <c r="P66">
        <v>0</v>
      </c>
      <c r="Q66">
        <v>0</v>
      </c>
      <c r="R66">
        <v>0</v>
      </c>
      <c r="S66">
        <v>20190305</v>
      </c>
      <c r="T66">
        <f t="shared" si="1"/>
        <v>888</v>
      </c>
    </row>
    <row r="67" spans="1:20" x14ac:dyDescent="0.25">
      <c r="A67" t="s">
        <v>19</v>
      </c>
      <c r="B67">
        <v>2018</v>
      </c>
      <c r="C67">
        <v>1</v>
      </c>
      <c r="D67">
        <v>24</v>
      </c>
      <c r="E67">
        <v>8</v>
      </c>
      <c r="F67">
        <v>126436</v>
      </c>
      <c r="G67" t="s">
        <v>20</v>
      </c>
      <c r="H67">
        <v>0</v>
      </c>
      <c r="I67">
        <v>0</v>
      </c>
      <c r="J67">
        <v>169.15960000000001</v>
      </c>
      <c r="K67">
        <v>91.927300000000002</v>
      </c>
      <c r="L67">
        <v>11.6426</v>
      </c>
      <c r="M67">
        <v>2.6833999999999998</v>
      </c>
      <c r="N67">
        <v>0.51400000000000001</v>
      </c>
      <c r="O67">
        <v>0</v>
      </c>
      <c r="P67">
        <v>0</v>
      </c>
      <c r="Q67">
        <v>0</v>
      </c>
      <c r="R67">
        <v>0</v>
      </c>
      <c r="S67">
        <v>20190305</v>
      </c>
      <c r="T67">
        <f t="shared" si="1"/>
        <v>275.92690000000005</v>
      </c>
    </row>
    <row r="68" spans="1:20" x14ac:dyDescent="0.25">
      <c r="A68" t="s">
        <v>19</v>
      </c>
      <c r="B68">
        <v>2018</v>
      </c>
      <c r="C68">
        <v>1</v>
      </c>
      <c r="D68">
        <v>24</v>
      </c>
      <c r="E68">
        <v>9</v>
      </c>
      <c r="F68">
        <v>126436</v>
      </c>
      <c r="G68" t="s">
        <v>20</v>
      </c>
      <c r="H68">
        <v>0</v>
      </c>
      <c r="I68">
        <v>1.4564999999999999</v>
      </c>
      <c r="J68">
        <v>578.54510000000005</v>
      </c>
      <c r="K68">
        <v>397.03100000000001</v>
      </c>
      <c r="L68">
        <v>57.665799999999997</v>
      </c>
      <c r="M68">
        <v>9.7164999999999999</v>
      </c>
      <c r="N68">
        <v>2.4409000000000001</v>
      </c>
      <c r="O68">
        <v>0</v>
      </c>
      <c r="P68">
        <v>0</v>
      </c>
      <c r="Q68">
        <v>0</v>
      </c>
      <c r="R68">
        <v>0</v>
      </c>
      <c r="S68">
        <v>20190305</v>
      </c>
      <c r="T68">
        <f t="shared" si="1"/>
        <v>1046.8558</v>
      </c>
    </row>
    <row r="69" spans="1:20" x14ac:dyDescent="0.25">
      <c r="A69" t="s">
        <v>19</v>
      </c>
      <c r="B69">
        <v>2018</v>
      </c>
      <c r="C69">
        <v>1</v>
      </c>
      <c r="D69">
        <v>25</v>
      </c>
      <c r="E69">
        <v>10</v>
      </c>
      <c r="F69">
        <v>126436</v>
      </c>
      <c r="G69" t="s">
        <v>20</v>
      </c>
      <c r="H69">
        <v>0</v>
      </c>
      <c r="I69">
        <v>9.5351999999999997</v>
      </c>
      <c r="J69">
        <v>447.28530000000001</v>
      </c>
      <c r="K69">
        <v>316.42230000000001</v>
      </c>
      <c r="L69">
        <v>127.8312</v>
      </c>
      <c r="M69">
        <v>30.630299999999998</v>
      </c>
      <c r="N69">
        <v>9.8268000000000004</v>
      </c>
      <c r="O69">
        <v>0.59160000000000001</v>
      </c>
      <c r="P69">
        <v>0.55049999999999999</v>
      </c>
      <c r="Q69">
        <v>0</v>
      </c>
      <c r="R69">
        <v>0</v>
      </c>
      <c r="S69">
        <v>20190305</v>
      </c>
      <c r="T69">
        <f t="shared" si="1"/>
        <v>942.67320000000007</v>
      </c>
    </row>
    <row r="70" spans="1:20" x14ac:dyDescent="0.25">
      <c r="A70" t="s">
        <v>19</v>
      </c>
      <c r="B70">
        <v>2018</v>
      </c>
      <c r="C70">
        <v>1</v>
      </c>
      <c r="D70">
        <v>25</v>
      </c>
      <c r="E70">
        <v>11</v>
      </c>
      <c r="F70">
        <v>126436</v>
      </c>
      <c r="G70" t="s">
        <v>20</v>
      </c>
      <c r="H70">
        <v>0</v>
      </c>
      <c r="I70">
        <v>2.3816000000000002</v>
      </c>
      <c r="J70">
        <v>183.44810000000001</v>
      </c>
      <c r="K70">
        <v>204.4306</v>
      </c>
      <c r="L70">
        <v>149.5301</v>
      </c>
      <c r="M70">
        <v>37.7517</v>
      </c>
      <c r="N70">
        <v>11.374000000000001</v>
      </c>
      <c r="O70">
        <v>0.55600000000000005</v>
      </c>
      <c r="P70">
        <v>0.56669999999999998</v>
      </c>
      <c r="Q70">
        <v>0</v>
      </c>
      <c r="R70">
        <v>0</v>
      </c>
      <c r="S70">
        <v>20190305</v>
      </c>
      <c r="T70">
        <f t="shared" si="1"/>
        <v>590.03880000000015</v>
      </c>
    </row>
    <row r="71" spans="1:20" x14ac:dyDescent="0.25">
      <c r="A71" t="s">
        <v>19</v>
      </c>
      <c r="B71">
        <v>2018</v>
      </c>
      <c r="C71">
        <v>1</v>
      </c>
      <c r="D71">
        <v>25</v>
      </c>
      <c r="E71">
        <v>12</v>
      </c>
      <c r="F71">
        <v>126436</v>
      </c>
      <c r="G71" t="s">
        <v>20</v>
      </c>
      <c r="H71">
        <v>0</v>
      </c>
      <c r="I71">
        <v>0.4</v>
      </c>
      <c r="J71">
        <v>5.3224</v>
      </c>
      <c r="K71">
        <v>24.5792</v>
      </c>
      <c r="L71">
        <v>41.188299999999998</v>
      </c>
      <c r="M71">
        <v>15.286300000000001</v>
      </c>
      <c r="N71">
        <v>5.7248000000000001</v>
      </c>
      <c r="O71">
        <v>0.36559999999999998</v>
      </c>
      <c r="P71">
        <v>0.33329999999999999</v>
      </c>
      <c r="Q71">
        <v>0</v>
      </c>
      <c r="R71">
        <v>0</v>
      </c>
      <c r="S71">
        <v>20190305</v>
      </c>
      <c r="T71">
        <f t="shared" si="1"/>
        <v>93.1999</v>
      </c>
    </row>
    <row r="72" spans="1:20" x14ac:dyDescent="0.25">
      <c r="A72" t="s">
        <v>19</v>
      </c>
      <c r="B72">
        <v>2018</v>
      </c>
      <c r="C72">
        <v>1</v>
      </c>
      <c r="D72">
        <v>25</v>
      </c>
      <c r="E72">
        <v>9</v>
      </c>
      <c r="F72">
        <v>126436</v>
      </c>
      <c r="G72" t="s">
        <v>20</v>
      </c>
      <c r="H72">
        <v>0</v>
      </c>
      <c r="I72">
        <v>1.8125</v>
      </c>
      <c r="J72">
        <v>12.184900000000001</v>
      </c>
      <c r="K72">
        <v>67.873800000000003</v>
      </c>
      <c r="L72">
        <v>74.9846</v>
      </c>
      <c r="M72">
        <v>16.140899999999998</v>
      </c>
      <c r="N72">
        <v>4.6177999999999999</v>
      </c>
      <c r="O72">
        <v>0.27829999999999999</v>
      </c>
      <c r="P72">
        <v>0.1071</v>
      </c>
      <c r="Q72">
        <v>0</v>
      </c>
      <c r="R72">
        <v>0</v>
      </c>
      <c r="S72">
        <v>20190305</v>
      </c>
      <c r="T72">
        <f t="shared" si="1"/>
        <v>177.99989999999997</v>
      </c>
    </row>
    <row r="73" spans="1:20" x14ac:dyDescent="0.25">
      <c r="A73" t="s">
        <v>19</v>
      </c>
      <c r="B73">
        <v>2018</v>
      </c>
      <c r="C73">
        <v>1</v>
      </c>
      <c r="D73">
        <v>26</v>
      </c>
      <c r="E73">
        <v>10</v>
      </c>
      <c r="F73">
        <v>126436</v>
      </c>
      <c r="G73" t="s">
        <v>20</v>
      </c>
      <c r="H73">
        <v>0</v>
      </c>
      <c r="I73">
        <v>17.328499999999998</v>
      </c>
      <c r="J73">
        <v>348.00360000000001</v>
      </c>
      <c r="K73">
        <v>90.428700000000006</v>
      </c>
      <c r="L73">
        <v>53.033700000000003</v>
      </c>
      <c r="M73">
        <v>42.098999999999997</v>
      </c>
      <c r="N73">
        <v>13.1731</v>
      </c>
      <c r="O73">
        <v>4.9690000000000003</v>
      </c>
      <c r="P73">
        <v>1.3137000000000001</v>
      </c>
      <c r="Q73">
        <v>0.23230000000000001</v>
      </c>
      <c r="R73">
        <v>0</v>
      </c>
      <c r="S73">
        <v>20190305</v>
      </c>
      <c r="T73">
        <f t="shared" si="1"/>
        <v>570.58160000000009</v>
      </c>
    </row>
    <row r="74" spans="1:20" x14ac:dyDescent="0.25">
      <c r="A74" t="s">
        <v>19</v>
      </c>
      <c r="B74">
        <v>2018</v>
      </c>
      <c r="C74">
        <v>1</v>
      </c>
      <c r="D74">
        <v>26</v>
      </c>
      <c r="E74">
        <v>11</v>
      </c>
      <c r="F74">
        <v>126436</v>
      </c>
      <c r="G74" t="s">
        <v>20</v>
      </c>
      <c r="H74">
        <v>0</v>
      </c>
      <c r="I74">
        <v>136.74889999999999</v>
      </c>
      <c r="J74">
        <v>780.34990000000005</v>
      </c>
      <c r="K74">
        <v>138.809</v>
      </c>
      <c r="L74">
        <v>96.480999999999995</v>
      </c>
      <c r="M74">
        <v>87.689800000000005</v>
      </c>
      <c r="N74">
        <v>29.976400000000002</v>
      </c>
      <c r="O74">
        <v>14.345499999999999</v>
      </c>
      <c r="P74">
        <v>9.6768000000000001</v>
      </c>
      <c r="Q74">
        <v>2.6951999999999998</v>
      </c>
      <c r="R74">
        <v>0.2273</v>
      </c>
      <c r="S74">
        <v>20190305</v>
      </c>
      <c r="T74">
        <f t="shared" si="1"/>
        <v>1296.9998000000001</v>
      </c>
    </row>
    <row r="75" spans="1:20" x14ac:dyDescent="0.25">
      <c r="A75" t="s">
        <v>19</v>
      </c>
      <c r="B75">
        <v>2018</v>
      </c>
      <c r="C75">
        <v>1</v>
      </c>
      <c r="D75">
        <v>26</v>
      </c>
      <c r="E75">
        <v>12</v>
      </c>
      <c r="F75">
        <v>126436</v>
      </c>
      <c r="G75" t="s">
        <v>20</v>
      </c>
      <c r="H75">
        <v>0</v>
      </c>
      <c r="I75">
        <v>6.5799999999999997E-2</v>
      </c>
      <c r="J75">
        <v>4.9983000000000004</v>
      </c>
      <c r="K75">
        <v>5.5263</v>
      </c>
      <c r="L75">
        <v>5.6334999999999997</v>
      </c>
      <c r="M75">
        <v>4.6298000000000004</v>
      </c>
      <c r="N75">
        <v>1.1456</v>
      </c>
      <c r="O75">
        <v>0.36159999999999998</v>
      </c>
      <c r="P75">
        <v>2.4199999999999999E-2</v>
      </c>
      <c r="Q75">
        <v>1.4800000000000001E-2</v>
      </c>
      <c r="R75">
        <v>0</v>
      </c>
      <c r="S75">
        <v>20190305</v>
      </c>
      <c r="T75">
        <f t="shared" si="1"/>
        <v>22.399899999999999</v>
      </c>
    </row>
    <row r="76" spans="1:20" x14ac:dyDescent="0.25">
      <c r="A76" t="s">
        <v>19</v>
      </c>
      <c r="B76">
        <v>2018</v>
      </c>
      <c r="C76">
        <v>1</v>
      </c>
      <c r="D76">
        <v>26</v>
      </c>
      <c r="E76">
        <v>13</v>
      </c>
      <c r="F76">
        <v>126436</v>
      </c>
      <c r="G76" t="s">
        <v>20</v>
      </c>
      <c r="H76">
        <v>0</v>
      </c>
      <c r="I76">
        <v>0.25</v>
      </c>
      <c r="J76">
        <v>0</v>
      </c>
      <c r="K76">
        <v>0.16489999999999999</v>
      </c>
      <c r="L76">
        <v>0.30430000000000001</v>
      </c>
      <c r="M76">
        <v>0.27410000000000001</v>
      </c>
      <c r="N76">
        <v>6.7999999999999996E-3</v>
      </c>
      <c r="O76">
        <v>0</v>
      </c>
      <c r="P76">
        <v>0</v>
      </c>
      <c r="Q76">
        <v>0</v>
      </c>
      <c r="R76">
        <v>0</v>
      </c>
      <c r="S76">
        <v>20190305</v>
      </c>
      <c r="T76">
        <f t="shared" si="1"/>
        <v>1.0001</v>
      </c>
    </row>
    <row r="77" spans="1:20" x14ac:dyDescent="0.25">
      <c r="A77" t="s">
        <v>19</v>
      </c>
      <c r="B77">
        <v>2018</v>
      </c>
      <c r="C77">
        <v>1</v>
      </c>
      <c r="D77">
        <v>26</v>
      </c>
      <c r="E77">
        <v>14</v>
      </c>
      <c r="F77">
        <v>126436</v>
      </c>
      <c r="G77" t="s">
        <v>20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20190305</v>
      </c>
      <c r="T77">
        <f t="shared" si="1"/>
        <v>0</v>
      </c>
    </row>
    <row r="78" spans="1:20" x14ac:dyDescent="0.25">
      <c r="A78" t="s">
        <v>19</v>
      </c>
      <c r="B78">
        <v>2018</v>
      </c>
      <c r="C78">
        <v>1</v>
      </c>
      <c r="D78">
        <v>26</v>
      </c>
      <c r="E78">
        <v>9</v>
      </c>
      <c r="F78">
        <v>126436</v>
      </c>
      <c r="G78" t="s">
        <v>20</v>
      </c>
      <c r="H78">
        <v>0</v>
      </c>
      <c r="I78">
        <v>1.4879</v>
      </c>
      <c r="J78">
        <v>9.9525000000000006</v>
      </c>
      <c r="K78">
        <v>11.1286</v>
      </c>
      <c r="L78">
        <v>11.677099999999999</v>
      </c>
      <c r="M78">
        <v>10.0014</v>
      </c>
      <c r="N78">
        <v>2.4544999999999999</v>
      </c>
      <c r="O78">
        <v>0.53139999999999998</v>
      </c>
      <c r="P78">
        <v>2.5600000000000001E-2</v>
      </c>
      <c r="Q78">
        <v>7.4099999999999999E-2</v>
      </c>
      <c r="R78">
        <v>0</v>
      </c>
      <c r="S78">
        <v>20190305</v>
      </c>
      <c r="T78">
        <f t="shared" ref="T78:T139" si="2">SUM(I78:R78)</f>
        <v>47.333100000000002</v>
      </c>
    </row>
    <row r="79" spans="1:20" x14ac:dyDescent="0.25">
      <c r="A79" t="s">
        <v>19</v>
      </c>
      <c r="B79">
        <v>2018</v>
      </c>
      <c r="C79">
        <v>1</v>
      </c>
      <c r="D79">
        <v>27</v>
      </c>
      <c r="E79">
        <v>11</v>
      </c>
      <c r="F79">
        <v>126436</v>
      </c>
      <c r="G79" t="s">
        <v>20</v>
      </c>
      <c r="H79">
        <v>0</v>
      </c>
      <c r="I79">
        <v>0.5</v>
      </c>
      <c r="J79">
        <v>12</v>
      </c>
      <c r="K79">
        <v>5.75</v>
      </c>
      <c r="L79">
        <v>4.25</v>
      </c>
      <c r="M79">
        <v>0.5</v>
      </c>
      <c r="N79">
        <v>0</v>
      </c>
      <c r="O79">
        <v>0</v>
      </c>
      <c r="P79">
        <v>0</v>
      </c>
      <c r="Q79">
        <v>0</v>
      </c>
      <c r="R79">
        <v>0</v>
      </c>
      <c r="S79">
        <v>20190305</v>
      </c>
      <c r="T79">
        <f t="shared" si="2"/>
        <v>23</v>
      </c>
    </row>
    <row r="80" spans="1:20" x14ac:dyDescent="0.25">
      <c r="A80" t="s">
        <v>19</v>
      </c>
      <c r="B80">
        <v>2018</v>
      </c>
      <c r="C80">
        <v>1</v>
      </c>
      <c r="D80">
        <v>27</v>
      </c>
      <c r="E80">
        <v>12</v>
      </c>
      <c r="F80">
        <v>126436</v>
      </c>
      <c r="G80" t="s">
        <v>20</v>
      </c>
      <c r="H80">
        <v>0</v>
      </c>
      <c r="I80">
        <v>0</v>
      </c>
      <c r="J80">
        <v>36</v>
      </c>
      <c r="K80">
        <v>18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20190305</v>
      </c>
      <c r="T80">
        <f t="shared" si="2"/>
        <v>54</v>
      </c>
    </row>
    <row r="81" spans="1:20" x14ac:dyDescent="0.25">
      <c r="A81" t="s">
        <v>19</v>
      </c>
      <c r="B81">
        <v>2018</v>
      </c>
      <c r="C81">
        <v>1</v>
      </c>
      <c r="D81">
        <v>28</v>
      </c>
      <c r="E81">
        <v>10</v>
      </c>
      <c r="F81">
        <v>126436</v>
      </c>
      <c r="G81" t="s">
        <v>20</v>
      </c>
      <c r="H81">
        <v>0</v>
      </c>
      <c r="I81">
        <v>2.0832999999999999</v>
      </c>
      <c r="J81">
        <v>6.9081000000000001</v>
      </c>
      <c r="K81">
        <v>2.5163000000000002</v>
      </c>
      <c r="L81">
        <v>2.3624999999999998</v>
      </c>
      <c r="M81">
        <v>1.7464</v>
      </c>
      <c r="N81">
        <v>0.25829999999999997</v>
      </c>
      <c r="O81">
        <v>0</v>
      </c>
      <c r="P81">
        <v>0</v>
      </c>
      <c r="Q81">
        <v>0</v>
      </c>
      <c r="R81">
        <v>0</v>
      </c>
      <c r="S81">
        <v>20190305</v>
      </c>
      <c r="T81">
        <f t="shared" si="2"/>
        <v>15.8749</v>
      </c>
    </row>
    <row r="82" spans="1:20" x14ac:dyDescent="0.25">
      <c r="A82" t="s">
        <v>19</v>
      </c>
      <c r="B82">
        <v>2018</v>
      </c>
      <c r="C82">
        <v>1</v>
      </c>
      <c r="D82">
        <v>28</v>
      </c>
      <c r="E82">
        <v>11</v>
      </c>
      <c r="F82">
        <v>126436</v>
      </c>
      <c r="G82" t="s">
        <v>20</v>
      </c>
      <c r="H82">
        <v>0</v>
      </c>
      <c r="I82">
        <v>2.7732999999999999</v>
      </c>
      <c r="J82">
        <v>30.173500000000001</v>
      </c>
      <c r="K82">
        <v>8.0876999999999999</v>
      </c>
      <c r="L82">
        <v>4.8343999999999996</v>
      </c>
      <c r="M82">
        <v>2.0975999999999999</v>
      </c>
      <c r="N82">
        <v>0.43330000000000002</v>
      </c>
      <c r="O82">
        <v>0</v>
      </c>
      <c r="P82">
        <v>0</v>
      </c>
      <c r="Q82">
        <v>0</v>
      </c>
      <c r="R82">
        <v>0</v>
      </c>
      <c r="S82">
        <v>20190305</v>
      </c>
      <c r="T82">
        <f t="shared" si="2"/>
        <v>48.399800000000006</v>
      </c>
    </row>
    <row r="83" spans="1:20" x14ac:dyDescent="0.25">
      <c r="A83" t="s">
        <v>19</v>
      </c>
      <c r="B83">
        <v>2018</v>
      </c>
      <c r="C83">
        <v>1</v>
      </c>
      <c r="D83">
        <v>28</v>
      </c>
      <c r="E83">
        <v>12</v>
      </c>
      <c r="F83">
        <v>126436</v>
      </c>
      <c r="G83" t="s">
        <v>20</v>
      </c>
      <c r="H83">
        <v>0</v>
      </c>
      <c r="I83">
        <v>0.2</v>
      </c>
      <c r="J83">
        <v>18.8446</v>
      </c>
      <c r="K83">
        <v>3.0626000000000002</v>
      </c>
      <c r="L83">
        <v>0.5</v>
      </c>
      <c r="M83">
        <v>0.39290000000000003</v>
      </c>
      <c r="N83">
        <v>0</v>
      </c>
      <c r="O83">
        <v>0</v>
      </c>
      <c r="P83">
        <v>0</v>
      </c>
      <c r="Q83">
        <v>0</v>
      </c>
      <c r="R83">
        <v>0</v>
      </c>
      <c r="S83">
        <v>20190305</v>
      </c>
      <c r="T83">
        <f t="shared" si="2"/>
        <v>23.0001</v>
      </c>
    </row>
    <row r="84" spans="1:20" x14ac:dyDescent="0.25">
      <c r="A84" t="s">
        <v>19</v>
      </c>
      <c r="B84">
        <v>2018</v>
      </c>
      <c r="C84">
        <v>1</v>
      </c>
      <c r="D84">
        <v>28</v>
      </c>
      <c r="E84">
        <v>9</v>
      </c>
      <c r="F84">
        <v>126436</v>
      </c>
      <c r="G84" t="s">
        <v>20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20190305</v>
      </c>
      <c r="T84">
        <f t="shared" si="2"/>
        <v>0</v>
      </c>
    </row>
    <row r="85" spans="1:20" x14ac:dyDescent="0.25">
      <c r="A85" t="s">
        <v>19</v>
      </c>
      <c r="B85">
        <v>2019</v>
      </c>
      <c r="C85">
        <v>1</v>
      </c>
      <c r="D85">
        <v>21</v>
      </c>
      <c r="E85">
        <v>10</v>
      </c>
      <c r="F85">
        <v>126436</v>
      </c>
      <c r="G85" t="s">
        <v>20</v>
      </c>
      <c r="H85">
        <v>0</v>
      </c>
      <c r="I85">
        <v>0.1767</v>
      </c>
      <c r="J85">
        <v>0.1767</v>
      </c>
      <c r="K85">
        <v>0.38669999999999999</v>
      </c>
      <c r="L85">
        <v>0.81669999999999998</v>
      </c>
      <c r="M85">
        <v>0</v>
      </c>
      <c r="N85">
        <v>0</v>
      </c>
      <c r="O85">
        <v>0.1133</v>
      </c>
      <c r="P85">
        <v>0</v>
      </c>
      <c r="Q85">
        <v>0</v>
      </c>
      <c r="R85">
        <v>0</v>
      </c>
      <c r="S85">
        <v>20200414</v>
      </c>
      <c r="T85">
        <f t="shared" si="2"/>
        <v>1.6700999999999999</v>
      </c>
    </row>
    <row r="86" spans="1:20" x14ac:dyDescent="0.25">
      <c r="A86" t="s">
        <v>19</v>
      </c>
      <c r="B86">
        <v>2019</v>
      </c>
      <c r="C86">
        <v>1</v>
      </c>
      <c r="D86">
        <v>21</v>
      </c>
      <c r="E86">
        <v>11</v>
      </c>
      <c r="F86">
        <v>126436</v>
      </c>
      <c r="G86" t="s">
        <v>20</v>
      </c>
      <c r="H86">
        <v>0</v>
      </c>
      <c r="I86">
        <v>0</v>
      </c>
      <c r="J86">
        <v>1.61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20200414</v>
      </c>
      <c r="T86">
        <f t="shared" si="2"/>
        <v>1.61</v>
      </c>
    </row>
    <row r="87" spans="1:20" x14ac:dyDescent="0.25">
      <c r="A87" t="s">
        <v>19</v>
      </c>
      <c r="B87">
        <v>2019</v>
      </c>
      <c r="C87">
        <v>1</v>
      </c>
      <c r="D87">
        <v>21</v>
      </c>
      <c r="E87">
        <v>9</v>
      </c>
      <c r="F87">
        <v>126436</v>
      </c>
      <c r="G87" t="s">
        <v>20</v>
      </c>
      <c r="H87">
        <v>0</v>
      </c>
      <c r="I87">
        <v>0</v>
      </c>
      <c r="J87">
        <v>1.3872</v>
      </c>
      <c r="K87">
        <v>1.355</v>
      </c>
      <c r="L87">
        <v>0.5756</v>
      </c>
      <c r="M87">
        <v>0.32</v>
      </c>
      <c r="N87">
        <v>0</v>
      </c>
      <c r="O87">
        <v>0</v>
      </c>
      <c r="P87">
        <v>0</v>
      </c>
      <c r="Q87">
        <v>0</v>
      </c>
      <c r="R87">
        <v>0</v>
      </c>
      <c r="S87">
        <v>20200414</v>
      </c>
      <c r="T87">
        <f t="shared" si="2"/>
        <v>3.6377999999999999</v>
      </c>
    </row>
    <row r="88" spans="1:20" x14ac:dyDescent="0.25">
      <c r="A88" t="s">
        <v>19</v>
      </c>
      <c r="B88">
        <v>2019</v>
      </c>
      <c r="C88">
        <v>1</v>
      </c>
      <c r="D88">
        <v>22</v>
      </c>
      <c r="E88">
        <v>8</v>
      </c>
      <c r="F88">
        <v>126436</v>
      </c>
      <c r="G88" t="s">
        <v>20</v>
      </c>
      <c r="H88">
        <v>0</v>
      </c>
      <c r="I88">
        <v>0.13789999999999999</v>
      </c>
      <c r="J88">
        <v>0.71889999999999998</v>
      </c>
      <c r="K88">
        <v>1.9158999999999999</v>
      </c>
      <c r="L88">
        <v>0.22600000000000001</v>
      </c>
      <c r="M88">
        <v>0.93</v>
      </c>
      <c r="N88">
        <v>0</v>
      </c>
      <c r="O88">
        <v>0</v>
      </c>
      <c r="P88">
        <v>0</v>
      </c>
      <c r="Q88">
        <v>0</v>
      </c>
      <c r="R88">
        <v>0</v>
      </c>
      <c r="S88">
        <v>20200414</v>
      </c>
      <c r="T88">
        <f t="shared" si="2"/>
        <v>3.9287000000000001</v>
      </c>
    </row>
    <row r="89" spans="1:20" x14ac:dyDescent="0.25">
      <c r="A89" t="s">
        <v>19</v>
      </c>
      <c r="B89">
        <v>2019</v>
      </c>
      <c r="C89">
        <v>1</v>
      </c>
      <c r="D89">
        <v>22</v>
      </c>
      <c r="E89">
        <v>9</v>
      </c>
      <c r="F89">
        <v>126436</v>
      </c>
      <c r="G89" t="s">
        <v>20</v>
      </c>
      <c r="H89">
        <v>0</v>
      </c>
      <c r="I89">
        <v>2.4975000000000001</v>
      </c>
      <c r="J89">
        <v>97.231300000000005</v>
      </c>
      <c r="K89">
        <v>1697.037</v>
      </c>
      <c r="L89">
        <v>32.729900000000001</v>
      </c>
      <c r="M89">
        <v>5.5911999999999997</v>
      </c>
      <c r="N89">
        <v>3.4700000000000002E-2</v>
      </c>
      <c r="O89">
        <v>0</v>
      </c>
      <c r="P89">
        <v>0</v>
      </c>
      <c r="Q89">
        <v>0</v>
      </c>
      <c r="R89">
        <v>0</v>
      </c>
      <c r="S89">
        <v>20200414</v>
      </c>
      <c r="T89">
        <f t="shared" si="2"/>
        <v>1835.1216000000002</v>
      </c>
    </row>
    <row r="90" spans="1:20" x14ac:dyDescent="0.25">
      <c r="A90" t="s">
        <v>19</v>
      </c>
      <c r="B90">
        <v>2019</v>
      </c>
      <c r="C90">
        <v>1</v>
      </c>
      <c r="D90">
        <v>23</v>
      </c>
      <c r="E90">
        <v>8</v>
      </c>
      <c r="F90">
        <v>126436</v>
      </c>
      <c r="G90" t="s">
        <v>20</v>
      </c>
      <c r="H90">
        <v>0</v>
      </c>
      <c r="I90">
        <v>0.32400000000000001</v>
      </c>
      <c r="J90">
        <v>42.356699999999996</v>
      </c>
      <c r="K90">
        <v>535.57889999999998</v>
      </c>
      <c r="L90">
        <v>27.978000000000002</v>
      </c>
      <c r="M90">
        <v>5.5467000000000004</v>
      </c>
      <c r="N90">
        <v>0</v>
      </c>
      <c r="O90">
        <v>0</v>
      </c>
      <c r="P90">
        <v>0</v>
      </c>
      <c r="Q90">
        <v>0</v>
      </c>
      <c r="R90">
        <v>0</v>
      </c>
      <c r="S90">
        <v>20200414</v>
      </c>
      <c r="T90">
        <f t="shared" si="2"/>
        <v>611.78429999999992</v>
      </c>
    </row>
    <row r="91" spans="1:20" x14ac:dyDescent="0.25">
      <c r="A91" t="s">
        <v>19</v>
      </c>
      <c r="B91">
        <v>2019</v>
      </c>
      <c r="C91">
        <v>1</v>
      </c>
      <c r="D91">
        <v>23</v>
      </c>
      <c r="E91">
        <v>9</v>
      </c>
      <c r="F91">
        <v>126436</v>
      </c>
      <c r="G91" t="s">
        <v>20</v>
      </c>
      <c r="H91">
        <v>0</v>
      </c>
      <c r="I91">
        <v>0</v>
      </c>
      <c r="J91">
        <v>0.86519999999999997</v>
      </c>
      <c r="K91">
        <v>2.9106000000000001</v>
      </c>
      <c r="L91">
        <v>5.4215</v>
      </c>
      <c r="M91">
        <v>5.5907</v>
      </c>
      <c r="N91">
        <v>0.96399999999999997</v>
      </c>
      <c r="O91">
        <v>0</v>
      </c>
      <c r="P91">
        <v>0</v>
      </c>
      <c r="Q91">
        <v>0</v>
      </c>
      <c r="R91">
        <v>0</v>
      </c>
      <c r="S91">
        <v>20200414</v>
      </c>
      <c r="T91">
        <f t="shared" si="2"/>
        <v>15.752000000000001</v>
      </c>
    </row>
    <row r="92" spans="1:20" x14ac:dyDescent="0.25">
      <c r="A92" t="s">
        <v>19</v>
      </c>
      <c r="B92">
        <v>2019</v>
      </c>
      <c r="C92">
        <v>1</v>
      </c>
      <c r="D92">
        <v>24</v>
      </c>
      <c r="E92">
        <v>10</v>
      </c>
      <c r="F92">
        <v>126436</v>
      </c>
      <c r="G92" t="s">
        <v>20</v>
      </c>
      <c r="H92">
        <v>0</v>
      </c>
      <c r="I92">
        <v>3.7241</v>
      </c>
      <c r="J92">
        <v>131.03210000000001</v>
      </c>
      <c r="K92">
        <v>552.24480000000005</v>
      </c>
      <c r="L92">
        <v>166.20939999999999</v>
      </c>
      <c r="M92">
        <v>55.540500000000002</v>
      </c>
      <c r="N92">
        <v>8.9792000000000005</v>
      </c>
      <c r="O92">
        <v>0</v>
      </c>
      <c r="P92">
        <v>0</v>
      </c>
      <c r="Q92">
        <v>0</v>
      </c>
      <c r="R92">
        <v>0</v>
      </c>
      <c r="S92">
        <v>20200414</v>
      </c>
      <c r="T92">
        <f t="shared" si="2"/>
        <v>917.73009999999999</v>
      </c>
    </row>
    <row r="93" spans="1:20" x14ac:dyDescent="0.25">
      <c r="A93" t="s">
        <v>19</v>
      </c>
      <c r="B93">
        <v>2019</v>
      </c>
      <c r="C93">
        <v>1</v>
      </c>
      <c r="D93">
        <v>24</v>
      </c>
      <c r="E93">
        <v>8</v>
      </c>
      <c r="F93">
        <v>126436</v>
      </c>
      <c r="G93" t="s">
        <v>20</v>
      </c>
      <c r="H93">
        <v>0</v>
      </c>
      <c r="I93">
        <v>1.6667000000000001</v>
      </c>
      <c r="J93">
        <v>12.4445</v>
      </c>
      <c r="K93">
        <v>137.65039999999999</v>
      </c>
      <c r="L93">
        <v>46.084899999999998</v>
      </c>
      <c r="M93">
        <v>15.1114</v>
      </c>
      <c r="N93">
        <v>2.6057999999999999</v>
      </c>
      <c r="O93">
        <v>0</v>
      </c>
      <c r="P93">
        <v>0</v>
      </c>
      <c r="Q93">
        <v>0</v>
      </c>
      <c r="R93">
        <v>0</v>
      </c>
      <c r="S93">
        <v>20200414</v>
      </c>
      <c r="T93">
        <f t="shared" si="2"/>
        <v>215.56369999999998</v>
      </c>
    </row>
    <row r="94" spans="1:20" x14ac:dyDescent="0.25">
      <c r="A94" t="s">
        <v>19</v>
      </c>
      <c r="B94">
        <v>2019</v>
      </c>
      <c r="C94">
        <v>1</v>
      </c>
      <c r="D94">
        <v>24</v>
      </c>
      <c r="E94">
        <v>9</v>
      </c>
      <c r="F94">
        <v>126436</v>
      </c>
      <c r="G94" t="s">
        <v>20</v>
      </c>
      <c r="H94">
        <v>0</v>
      </c>
      <c r="I94">
        <v>2.2667000000000002</v>
      </c>
      <c r="J94">
        <v>19.164999999999999</v>
      </c>
      <c r="K94">
        <v>132.833</v>
      </c>
      <c r="L94">
        <v>40.036499999999997</v>
      </c>
      <c r="M94">
        <v>11.0814</v>
      </c>
      <c r="N94">
        <v>2.2099000000000002</v>
      </c>
      <c r="O94">
        <v>0</v>
      </c>
      <c r="P94">
        <v>0</v>
      </c>
      <c r="Q94">
        <v>0</v>
      </c>
      <c r="R94">
        <v>0</v>
      </c>
      <c r="S94">
        <v>20200414</v>
      </c>
      <c r="T94">
        <f t="shared" si="2"/>
        <v>207.5925</v>
      </c>
    </row>
    <row r="95" spans="1:20" x14ac:dyDescent="0.25">
      <c r="A95" t="s">
        <v>19</v>
      </c>
      <c r="B95">
        <v>2019</v>
      </c>
      <c r="C95">
        <v>1</v>
      </c>
      <c r="D95">
        <v>25</v>
      </c>
      <c r="E95">
        <v>10</v>
      </c>
      <c r="F95">
        <v>126436</v>
      </c>
      <c r="G95" t="s">
        <v>20</v>
      </c>
      <c r="H95">
        <v>0</v>
      </c>
      <c r="I95">
        <v>13.0831</v>
      </c>
      <c r="J95">
        <v>427.95870000000002</v>
      </c>
      <c r="K95">
        <v>142.69220000000001</v>
      </c>
      <c r="L95">
        <v>31.657599999999999</v>
      </c>
      <c r="M95">
        <v>5.0620000000000003</v>
      </c>
      <c r="N95">
        <v>0.67010000000000003</v>
      </c>
      <c r="O95">
        <v>0.40970000000000001</v>
      </c>
      <c r="P95">
        <v>0</v>
      </c>
      <c r="Q95">
        <v>0</v>
      </c>
      <c r="R95">
        <v>0</v>
      </c>
      <c r="S95">
        <v>20200414</v>
      </c>
      <c r="T95">
        <f t="shared" si="2"/>
        <v>621.53340000000014</v>
      </c>
    </row>
    <row r="96" spans="1:20" x14ac:dyDescent="0.25">
      <c r="A96" t="s">
        <v>19</v>
      </c>
      <c r="B96">
        <v>2019</v>
      </c>
      <c r="C96">
        <v>1</v>
      </c>
      <c r="D96">
        <v>25</v>
      </c>
      <c r="E96">
        <v>11</v>
      </c>
      <c r="F96">
        <v>126436</v>
      </c>
      <c r="G96" t="s">
        <v>20</v>
      </c>
      <c r="H96">
        <v>0</v>
      </c>
      <c r="I96">
        <v>6.3727999999999998</v>
      </c>
      <c r="J96">
        <v>329.96440000000001</v>
      </c>
      <c r="K96">
        <v>342.77339999999998</v>
      </c>
      <c r="L96">
        <v>89.283799999999999</v>
      </c>
      <c r="M96">
        <v>12.092599999999999</v>
      </c>
      <c r="N96">
        <v>1.5599000000000001</v>
      </c>
      <c r="O96">
        <v>0.77010000000000001</v>
      </c>
      <c r="P96">
        <v>0</v>
      </c>
      <c r="Q96">
        <v>0</v>
      </c>
      <c r="R96">
        <v>0</v>
      </c>
      <c r="S96">
        <v>20200414</v>
      </c>
      <c r="T96">
        <f t="shared" si="2"/>
        <v>782.81699999999989</v>
      </c>
    </row>
    <row r="97" spans="1:20" x14ac:dyDescent="0.25">
      <c r="A97" t="s">
        <v>19</v>
      </c>
      <c r="B97">
        <v>2019</v>
      </c>
      <c r="C97">
        <v>1</v>
      </c>
      <c r="D97">
        <v>25</v>
      </c>
      <c r="E97">
        <v>12</v>
      </c>
      <c r="F97">
        <v>126436</v>
      </c>
      <c r="G97" t="s">
        <v>20</v>
      </c>
      <c r="H97">
        <v>0</v>
      </c>
      <c r="I97">
        <v>0.95279999999999998</v>
      </c>
      <c r="J97">
        <v>189.3801</v>
      </c>
      <c r="K97">
        <v>418.15339999999998</v>
      </c>
      <c r="L97">
        <v>151.38030000000001</v>
      </c>
      <c r="M97">
        <v>22.756399999999999</v>
      </c>
      <c r="N97">
        <v>2.7641</v>
      </c>
      <c r="O97">
        <v>1.9460999999999999</v>
      </c>
      <c r="P97">
        <v>0</v>
      </c>
      <c r="Q97">
        <v>0</v>
      </c>
      <c r="R97">
        <v>0</v>
      </c>
      <c r="S97">
        <v>20200414</v>
      </c>
      <c r="T97">
        <f t="shared" si="2"/>
        <v>787.33320000000003</v>
      </c>
    </row>
    <row r="98" spans="1:20" x14ac:dyDescent="0.25">
      <c r="A98" t="s">
        <v>19</v>
      </c>
      <c r="B98">
        <v>2019</v>
      </c>
      <c r="C98">
        <v>1</v>
      </c>
      <c r="D98">
        <v>25</v>
      </c>
      <c r="E98">
        <v>9</v>
      </c>
      <c r="F98">
        <v>126436</v>
      </c>
      <c r="G98" t="s">
        <v>20</v>
      </c>
      <c r="H98">
        <v>0</v>
      </c>
      <c r="I98">
        <v>1</v>
      </c>
      <c r="J98">
        <v>5.2889999999999997</v>
      </c>
      <c r="K98">
        <v>30.590800000000002</v>
      </c>
      <c r="L98">
        <v>11.5898</v>
      </c>
      <c r="M98">
        <v>1.6483000000000001</v>
      </c>
      <c r="N98">
        <v>0.18129999999999999</v>
      </c>
      <c r="O98">
        <v>7.5800000000000006E-2</v>
      </c>
      <c r="P98">
        <v>0</v>
      </c>
      <c r="Q98">
        <v>0</v>
      </c>
      <c r="R98">
        <v>0</v>
      </c>
      <c r="S98">
        <v>20200414</v>
      </c>
      <c r="T98">
        <f t="shared" si="2"/>
        <v>50.375</v>
      </c>
    </row>
    <row r="99" spans="1:20" x14ac:dyDescent="0.25">
      <c r="A99" t="s">
        <v>19</v>
      </c>
      <c r="B99">
        <v>2019</v>
      </c>
      <c r="C99">
        <v>1</v>
      </c>
      <c r="D99">
        <v>26</v>
      </c>
      <c r="E99">
        <v>10</v>
      </c>
      <c r="F99">
        <v>126436</v>
      </c>
      <c r="G99" t="s">
        <v>20</v>
      </c>
      <c r="H99">
        <v>0</v>
      </c>
      <c r="I99">
        <v>3.85</v>
      </c>
      <c r="J99">
        <v>175.48939999999999</v>
      </c>
      <c r="K99">
        <v>210.661</v>
      </c>
      <c r="L99">
        <v>24.0166</v>
      </c>
      <c r="M99">
        <v>3.8744999999999998</v>
      </c>
      <c r="N99">
        <v>0.42320000000000002</v>
      </c>
      <c r="O99">
        <v>0.05</v>
      </c>
      <c r="P99">
        <v>0</v>
      </c>
      <c r="Q99">
        <v>0</v>
      </c>
      <c r="R99">
        <v>0</v>
      </c>
      <c r="S99">
        <v>20200414</v>
      </c>
      <c r="T99">
        <f t="shared" si="2"/>
        <v>418.36470000000003</v>
      </c>
    </row>
    <row r="100" spans="1:20" x14ac:dyDescent="0.25">
      <c r="A100" t="s">
        <v>19</v>
      </c>
      <c r="B100">
        <v>2019</v>
      </c>
      <c r="C100">
        <v>1</v>
      </c>
      <c r="D100">
        <v>26</v>
      </c>
      <c r="E100">
        <v>11</v>
      </c>
      <c r="F100">
        <v>126436</v>
      </c>
      <c r="G100" t="s">
        <v>20</v>
      </c>
      <c r="H100">
        <v>0</v>
      </c>
      <c r="I100">
        <v>9.7543000000000006</v>
      </c>
      <c r="J100">
        <v>447.71899999999999</v>
      </c>
      <c r="K100">
        <v>263.3109</v>
      </c>
      <c r="L100">
        <v>28.409099999999999</v>
      </c>
      <c r="M100">
        <v>3.7147000000000001</v>
      </c>
      <c r="N100">
        <v>1.8989</v>
      </c>
      <c r="O100">
        <v>0.12379999999999999</v>
      </c>
      <c r="P100">
        <v>0</v>
      </c>
      <c r="Q100">
        <v>0</v>
      </c>
      <c r="R100">
        <v>0</v>
      </c>
      <c r="S100">
        <v>20200414</v>
      </c>
      <c r="T100">
        <f t="shared" si="2"/>
        <v>754.9307</v>
      </c>
    </row>
    <row r="101" spans="1:20" x14ac:dyDescent="0.25">
      <c r="A101" t="s">
        <v>19</v>
      </c>
      <c r="B101">
        <v>2019</v>
      </c>
      <c r="C101">
        <v>1</v>
      </c>
      <c r="D101">
        <v>26</v>
      </c>
      <c r="E101">
        <v>12</v>
      </c>
      <c r="F101">
        <v>126436</v>
      </c>
      <c r="G101" t="s">
        <v>20</v>
      </c>
      <c r="H101">
        <v>0</v>
      </c>
      <c r="I101">
        <v>0.40560000000000002</v>
      </c>
      <c r="J101">
        <v>227.1112</v>
      </c>
      <c r="K101">
        <v>332.1628</v>
      </c>
      <c r="L101">
        <v>42.510199999999998</v>
      </c>
      <c r="M101">
        <v>5.1497000000000002</v>
      </c>
      <c r="N101">
        <v>1.1218999999999999</v>
      </c>
      <c r="O101">
        <v>0.15379999999999999</v>
      </c>
      <c r="P101">
        <v>0</v>
      </c>
      <c r="Q101">
        <v>0</v>
      </c>
      <c r="R101">
        <v>0</v>
      </c>
      <c r="S101">
        <v>20200414</v>
      </c>
      <c r="T101">
        <f t="shared" si="2"/>
        <v>608.61519999999996</v>
      </c>
    </row>
    <row r="102" spans="1:20" x14ac:dyDescent="0.25">
      <c r="A102" t="s">
        <v>19</v>
      </c>
      <c r="B102">
        <v>2019</v>
      </c>
      <c r="C102">
        <v>1</v>
      </c>
      <c r="D102">
        <v>26</v>
      </c>
      <c r="E102">
        <v>13</v>
      </c>
      <c r="F102">
        <v>126436</v>
      </c>
      <c r="G102" t="s">
        <v>20</v>
      </c>
      <c r="H102">
        <v>0</v>
      </c>
      <c r="I102">
        <v>0</v>
      </c>
      <c r="J102">
        <v>1.837</v>
      </c>
      <c r="K102">
        <v>4.3921000000000001</v>
      </c>
      <c r="L102">
        <v>1.6324000000000001</v>
      </c>
      <c r="M102">
        <v>8.8499999999999995E-2</v>
      </c>
      <c r="N102">
        <v>0</v>
      </c>
      <c r="O102">
        <v>0.05</v>
      </c>
      <c r="P102">
        <v>0</v>
      </c>
      <c r="Q102">
        <v>0</v>
      </c>
      <c r="R102">
        <v>0</v>
      </c>
      <c r="S102">
        <v>20200414</v>
      </c>
      <c r="T102">
        <f t="shared" si="2"/>
        <v>7.9999999999999991</v>
      </c>
    </row>
    <row r="103" spans="1:20" x14ac:dyDescent="0.25">
      <c r="A103" t="s">
        <v>19</v>
      </c>
      <c r="B103">
        <v>2019</v>
      </c>
      <c r="C103">
        <v>1</v>
      </c>
      <c r="D103">
        <v>26</v>
      </c>
      <c r="E103">
        <v>14</v>
      </c>
      <c r="F103">
        <v>126436</v>
      </c>
      <c r="G103" t="s">
        <v>20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20200414</v>
      </c>
      <c r="T103">
        <f t="shared" si="2"/>
        <v>0</v>
      </c>
    </row>
    <row r="104" spans="1:20" x14ac:dyDescent="0.25">
      <c r="A104" t="s">
        <v>19</v>
      </c>
      <c r="B104">
        <v>2019</v>
      </c>
      <c r="C104">
        <v>1</v>
      </c>
      <c r="D104">
        <v>26</v>
      </c>
      <c r="E104">
        <v>9</v>
      </c>
      <c r="F104">
        <v>126436</v>
      </c>
      <c r="G104" t="s">
        <v>20</v>
      </c>
      <c r="H104">
        <v>0</v>
      </c>
      <c r="I104">
        <v>0.54769999999999996</v>
      </c>
      <c r="J104">
        <v>33.043199999999999</v>
      </c>
      <c r="K104">
        <v>72.622200000000007</v>
      </c>
      <c r="L104">
        <v>17.3993</v>
      </c>
      <c r="M104">
        <v>2.2017000000000002</v>
      </c>
      <c r="N104">
        <v>0.69699999999999995</v>
      </c>
      <c r="O104">
        <v>8.8800000000000004E-2</v>
      </c>
      <c r="P104">
        <v>0</v>
      </c>
      <c r="Q104">
        <v>0</v>
      </c>
      <c r="R104">
        <v>0</v>
      </c>
      <c r="S104">
        <v>20200414</v>
      </c>
      <c r="T104">
        <f t="shared" si="2"/>
        <v>126.59990000000001</v>
      </c>
    </row>
    <row r="105" spans="1:20" x14ac:dyDescent="0.25">
      <c r="A105" t="s">
        <v>19</v>
      </c>
      <c r="B105">
        <v>2019</v>
      </c>
      <c r="C105">
        <v>1</v>
      </c>
      <c r="D105">
        <v>27</v>
      </c>
      <c r="E105">
        <v>11</v>
      </c>
      <c r="F105">
        <v>126436</v>
      </c>
      <c r="G105" t="s">
        <v>20</v>
      </c>
      <c r="H105">
        <v>0</v>
      </c>
      <c r="I105">
        <v>0</v>
      </c>
      <c r="J105">
        <v>10.119</v>
      </c>
      <c r="K105">
        <v>3.7381000000000002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20200414</v>
      </c>
      <c r="T105">
        <f t="shared" si="2"/>
        <v>13.857099999999999</v>
      </c>
    </row>
    <row r="106" spans="1:20" x14ac:dyDescent="0.25">
      <c r="A106" t="s">
        <v>19</v>
      </c>
      <c r="B106">
        <v>2019</v>
      </c>
      <c r="C106">
        <v>1</v>
      </c>
      <c r="D106">
        <v>27</v>
      </c>
      <c r="E106">
        <v>12</v>
      </c>
      <c r="F106">
        <v>126436</v>
      </c>
      <c r="G106" t="s">
        <v>20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20200414</v>
      </c>
      <c r="T106">
        <f t="shared" si="2"/>
        <v>0</v>
      </c>
    </row>
    <row r="107" spans="1:20" x14ac:dyDescent="0.25">
      <c r="A107" t="s">
        <v>19</v>
      </c>
      <c r="B107">
        <v>2019</v>
      </c>
      <c r="C107">
        <v>1</v>
      </c>
      <c r="D107">
        <v>28</v>
      </c>
      <c r="E107">
        <v>10</v>
      </c>
      <c r="F107">
        <v>126436</v>
      </c>
      <c r="G107" t="s">
        <v>20</v>
      </c>
      <c r="H107">
        <v>0</v>
      </c>
      <c r="I107">
        <v>0</v>
      </c>
      <c r="J107">
        <v>20.937799999999999</v>
      </c>
      <c r="K107">
        <v>20.261600000000001</v>
      </c>
      <c r="L107">
        <v>5.4034000000000004</v>
      </c>
      <c r="M107">
        <v>0.6472</v>
      </c>
      <c r="N107">
        <v>0.25</v>
      </c>
      <c r="O107">
        <v>0.25</v>
      </c>
      <c r="P107">
        <v>0</v>
      </c>
      <c r="Q107">
        <v>0</v>
      </c>
      <c r="R107">
        <v>0</v>
      </c>
      <c r="S107">
        <v>20200414</v>
      </c>
      <c r="T107">
        <f t="shared" si="2"/>
        <v>47.749999999999993</v>
      </c>
    </row>
    <row r="108" spans="1:20" x14ac:dyDescent="0.25">
      <c r="A108" t="s">
        <v>19</v>
      </c>
      <c r="B108">
        <v>2019</v>
      </c>
      <c r="C108">
        <v>1</v>
      </c>
      <c r="D108">
        <v>28</v>
      </c>
      <c r="E108">
        <v>11</v>
      </c>
      <c r="F108">
        <v>126436</v>
      </c>
      <c r="G108" t="s">
        <v>20</v>
      </c>
      <c r="H108">
        <v>0</v>
      </c>
      <c r="I108">
        <v>0</v>
      </c>
      <c r="J108">
        <v>34.598500000000001</v>
      </c>
      <c r="K108">
        <v>20.752800000000001</v>
      </c>
      <c r="L108">
        <v>3.0518999999999998</v>
      </c>
      <c r="M108">
        <v>1.3746</v>
      </c>
      <c r="N108">
        <v>0.44440000000000002</v>
      </c>
      <c r="O108">
        <v>0</v>
      </c>
      <c r="P108">
        <v>0</v>
      </c>
      <c r="Q108">
        <v>0</v>
      </c>
      <c r="R108">
        <v>0</v>
      </c>
      <c r="S108">
        <v>20200414</v>
      </c>
      <c r="T108">
        <f t="shared" si="2"/>
        <v>60.222200000000001</v>
      </c>
    </row>
    <row r="109" spans="1:20" x14ac:dyDescent="0.25">
      <c r="A109" t="s">
        <v>19</v>
      </c>
      <c r="B109">
        <v>2019</v>
      </c>
      <c r="C109">
        <v>1</v>
      </c>
      <c r="D109">
        <v>28</v>
      </c>
      <c r="E109">
        <v>12</v>
      </c>
      <c r="F109">
        <v>126436</v>
      </c>
      <c r="G109" t="s">
        <v>20</v>
      </c>
      <c r="H109">
        <v>0</v>
      </c>
      <c r="I109">
        <v>0</v>
      </c>
      <c r="J109">
        <v>14.0084</v>
      </c>
      <c r="K109">
        <v>8.1692999999999998</v>
      </c>
      <c r="L109">
        <v>0.33879999999999999</v>
      </c>
      <c r="M109">
        <v>5.4899999999999997E-2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20200414</v>
      </c>
      <c r="T109">
        <f t="shared" si="2"/>
        <v>22.571400000000001</v>
      </c>
    </row>
    <row r="110" spans="1:20" x14ac:dyDescent="0.25">
      <c r="A110" t="s">
        <v>19</v>
      </c>
      <c r="B110">
        <v>2019</v>
      </c>
      <c r="C110">
        <v>1</v>
      </c>
      <c r="D110">
        <v>28</v>
      </c>
      <c r="E110">
        <v>13</v>
      </c>
      <c r="F110">
        <v>126436</v>
      </c>
      <c r="G110" t="s">
        <v>20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20200414</v>
      </c>
      <c r="T110">
        <f t="shared" si="2"/>
        <v>0</v>
      </c>
    </row>
    <row r="111" spans="1:20" x14ac:dyDescent="0.25">
      <c r="A111" t="s">
        <v>19</v>
      </c>
      <c r="B111">
        <v>2019</v>
      </c>
      <c r="C111">
        <v>1</v>
      </c>
      <c r="D111">
        <v>28</v>
      </c>
      <c r="E111">
        <v>9</v>
      </c>
      <c r="F111">
        <v>126436</v>
      </c>
      <c r="G111" t="s">
        <v>20</v>
      </c>
      <c r="H111">
        <v>0</v>
      </c>
      <c r="I111">
        <v>0.5</v>
      </c>
      <c r="J111">
        <v>6.1609999999999996</v>
      </c>
      <c r="K111">
        <v>12.3118</v>
      </c>
      <c r="L111">
        <v>4.0624000000000002</v>
      </c>
      <c r="M111">
        <v>0.4647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20200414</v>
      </c>
      <c r="T111">
        <f t="shared" si="2"/>
        <v>23.4999</v>
      </c>
    </row>
    <row r="112" spans="1:20" x14ac:dyDescent="0.25">
      <c r="A112" t="s">
        <v>19</v>
      </c>
      <c r="B112">
        <v>2020</v>
      </c>
      <c r="C112">
        <v>1</v>
      </c>
      <c r="D112">
        <v>21</v>
      </c>
      <c r="E112">
        <v>10</v>
      </c>
      <c r="F112">
        <v>126436</v>
      </c>
      <c r="G112" t="s">
        <v>20</v>
      </c>
      <c r="H112">
        <v>0</v>
      </c>
      <c r="I112">
        <v>9.2405000000000008</v>
      </c>
      <c r="J112">
        <v>1.3594999999999999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20200416</v>
      </c>
      <c r="T112">
        <f t="shared" si="2"/>
        <v>10.600000000000001</v>
      </c>
    </row>
    <row r="113" spans="1:20" x14ac:dyDescent="0.25">
      <c r="A113" t="s">
        <v>19</v>
      </c>
      <c r="B113">
        <v>2020</v>
      </c>
      <c r="C113">
        <v>1</v>
      </c>
      <c r="D113">
        <v>21</v>
      </c>
      <c r="E113">
        <v>11</v>
      </c>
      <c r="F113">
        <v>126436</v>
      </c>
      <c r="G113" t="s">
        <v>20</v>
      </c>
      <c r="H113">
        <v>0</v>
      </c>
      <c r="I113">
        <v>16.584599999999998</v>
      </c>
      <c r="J113">
        <v>4.3853999999999997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20200416</v>
      </c>
      <c r="T113">
        <f t="shared" si="2"/>
        <v>20.97</v>
      </c>
    </row>
    <row r="114" spans="1:20" x14ac:dyDescent="0.25">
      <c r="A114" t="s">
        <v>19</v>
      </c>
      <c r="B114">
        <v>2020</v>
      </c>
      <c r="C114">
        <v>1</v>
      </c>
      <c r="D114">
        <v>21</v>
      </c>
      <c r="E114">
        <v>9</v>
      </c>
      <c r="F114">
        <v>126436</v>
      </c>
      <c r="G114" t="s">
        <v>20</v>
      </c>
      <c r="H114">
        <v>0</v>
      </c>
      <c r="I114">
        <v>10.2087</v>
      </c>
      <c r="J114">
        <v>4.3872999999999998</v>
      </c>
      <c r="K114">
        <v>0.216</v>
      </c>
      <c r="L114">
        <v>2.456</v>
      </c>
      <c r="M114">
        <v>5.1999999999999998E-2</v>
      </c>
      <c r="N114">
        <v>0.77329999999999999</v>
      </c>
      <c r="O114">
        <v>0</v>
      </c>
      <c r="P114">
        <v>0.24929999999999999</v>
      </c>
      <c r="Q114">
        <v>0</v>
      </c>
      <c r="R114">
        <v>0</v>
      </c>
      <c r="S114">
        <v>20200416</v>
      </c>
      <c r="T114">
        <f t="shared" si="2"/>
        <v>18.342600000000001</v>
      </c>
    </row>
    <row r="115" spans="1:20" x14ac:dyDescent="0.25">
      <c r="A115" t="s">
        <v>19</v>
      </c>
      <c r="B115">
        <v>2020</v>
      </c>
      <c r="C115">
        <v>1</v>
      </c>
      <c r="D115">
        <v>22</v>
      </c>
      <c r="E115">
        <v>8</v>
      </c>
      <c r="F115">
        <v>126436</v>
      </c>
      <c r="G115" t="s">
        <v>20</v>
      </c>
      <c r="H115">
        <v>0</v>
      </c>
      <c r="I115">
        <v>6.9165000000000001</v>
      </c>
      <c r="J115">
        <v>9.0343</v>
      </c>
      <c r="K115">
        <v>3.0312000000000001</v>
      </c>
      <c r="L115">
        <v>82.090100000000007</v>
      </c>
      <c r="M115">
        <v>0.91049999999999998</v>
      </c>
      <c r="N115">
        <v>7.9399999999999998E-2</v>
      </c>
      <c r="O115">
        <v>0</v>
      </c>
      <c r="P115">
        <v>0</v>
      </c>
      <c r="Q115">
        <v>0</v>
      </c>
      <c r="R115">
        <v>0.20669999999999999</v>
      </c>
      <c r="S115">
        <v>20200416</v>
      </c>
      <c r="T115">
        <f t="shared" si="2"/>
        <v>102.26870000000001</v>
      </c>
    </row>
    <row r="116" spans="1:20" x14ac:dyDescent="0.25">
      <c r="A116" t="s">
        <v>19</v>
      </c>
      <c r="B116">
        <v>2020</v>
      </c>
      <c r="C116">
        <v>1</v>
      </c>
      <c r="D116">
        <v>22</v>
      </c>
      <c r="E116">
        <v>9</v>
      </c>
      <c r="F116">
        <v>126436</v>
      </c>
      <c r="G116" t="s">
        <v>20</v>
      </c>
      <c r="H116">
        <v>0</v>
      </c>
      <c r="I116">
        <v>5.1319999999999997</v>
      </c>
      <c r="J116">
        <v>2.7932999999999999</v>
      </c>
      <c r="K116">
        <v>3.1244999999999998</v>
      </c>
      <c r="L116">
        <v>183.6455</v>
      </c>
      <c r="M116">
        <v>2.4474999999999998</v>
      </c>
      <c r="N116">
        <v>1.3208</v>
      </c>
      <c r="O116">
        <v>0.11070000000000001</v>
      </c>
      <c r="P116">
        <v>0</v>
      </c>
      <c r="Q116">
        <v>0</v>
      </c>
      <c r="R116">
        <v>0</v>
      </c>
      <c r="S116">
        <v>20200416</v>
      </c>
      <c r="T116">
        <f t="shared" si="2"/>
        <v>198.57429999999999</v>
      </c>
    </row>
    <row r="117" spans="1:20" x14ac:dyDescent="0.25">
      <c r="A117" t="s">
        <v>19</v>
      </c>
      <c r="B117">
        <v>2020</v>
      </c>
      <c r="C117">
        <v>1</v>
      </c>
      <c r="D117">
        <v>23</v>
      </c>
      <c r="E117">
        <v>8</v>
      </c>
      <c r="F117">
        <v>126436</v>
      </c>
      <c r="G117" t="s">
        <v>20</v>
      </c>
      <c r="H117">
        <v>0</v>
      </c>
      <c r="I117">
        <v>16.393999999999998</v>
      </c>
      <c r="J117">
        <v>61.112400000000001</v>
      </c>
      <c r="K117">
        <v>19.711200000000002</v>
      </c>
      <c r="L117">
        <v>117.1802</v>
      </c>
      <c r="M117">
        <v>12.081300000000001</v>
      </c>
      <c r="N117">
        <v>38.744700000000002</v>
      </c>
      <c r="O117">
        <v>4.5494000000000003</v>
      </c>
      <c r="P117">
        <v>2.8321999999999998</v>
      </c>
      <c r="Q117">
        <v>2.8393000000000002</v>
      </c>
      <c r="R117">
        <v>0</v>
      </c>
      <c r="S117">
        <v>20200416</v>
      </c>
      <c r="T117">
        <f t="shared" si="2"/>
        <v>275.44470000000001</v>
      </c>
    </row>
    <row r="118" spans="1:20" x14ac:dyDescent="0.25">
      <c r="A118" t="s">
        <v>19</v>
      </c>
      <c r="B118">
        <v>2020</v>
      </c>
      <c r="C118">
        <v>1</v>
      </c>
      <c r="D118">
        <v>23</v>
      </c>
      <c r="E118">
        <v>9</v>
      </c>
      <c r="F118">
        <v>126436</v>
      </c>
      <c r="G118" t="s">
        <v>20</v>
      </c>
      <c r="H118">
        <v>0</v>
      </c>
      <c r="I118">
        <v>2.1395</v>
      </c>
      <c r="J118">
        <v>25.976700000000001</v>
      </c>
      <c r="K118">
        <v>91.471800000000002</v>
      </c>
      <c r="L118">
        <v>910.1884</v>
      </c>
      <c r="M118">
        <v>52.888399999999997</v>
      </c>
      <c r="N118">
        <v>24.701499999999999</v>
      </c>
      <c r="O118">
        <v>0.70020000000000004</v>
      </c>
      <c r="P118">
        <v>0</v>
      </c>
      <c r="Q118">
        <v>0</v>
      </c>
      <c r="R118">
        <v>0</v>
      </c>
      <c r="S118">
        <v>20200416</v>
      </c>
      <c r="T118">
        <f t="shared" si="2"/>
        <v>1108.0664999999999</v>
      </c>
    </row>
    <row r="119" spans="1:20" x14ac:dyDescent="0.25">
      <c r="A119" t="s">
        <v>19</v>
      </c>
      <c r="B119">
        <v>2020</v>
      </c>
      <c r="C119">
        <v>1</v>
      </c>
      <c r="D119">
        <v>24</v>
      </c>
      <c r="E119">
        <v>10</v>
      </c>
      <c r="F119">
        <v>126436</v>
      </c>
      <c r="G119" t="s">
        <v>20</v>
      </c>
      <c r="H119">
        <v>0</v>
      </c>
      <c r="I119">
        <v>81.073899999999995</v>
      </c>
      <c r="J119">
        <v>263.81700000000001</v>
      </c>
      <c r="K119">
        <v>171.82599999999999</v>
      </c>
      <c r="L119">
        <v>122.2017</v>
      </c>
      <c r="M119">
        <v>1.8123</v>
      </c>
      <c r="N119">
        <v>1.7031000000000001</v>
      </c>
      <c r="O119">
        <v>1.4964999999999999</v>
      </c>
      <c r="P119">
        <v>0.28610000000000002</v>
      </c>
      <c r="Q119">
        <v>0</v>
      </c>
      <c r="R119">
        <v>0</v>
      </c>
      <c r="S119">
        <v>20200416</v>
      </c>
      <c r="T119">
        <f t="shared" si="2"/>
        <v>644.21659999999997</v>
      </c>
    </row>
    <row r="120" spans="1:20" x14ac:dyDescent="0.25">
      <c r="A120" t="s">
        <v>19</v>
      </c>
      <c r="B120">
        <v>2020</v>
      </c>
      <c r="C120">
        <v>1</v>
      </c>
      <c r="D120">
        <v>24</v>
      </c>
      <c r="E120">
        <v>11</v>
      </c>
      <c r="F120">
        <v>126436</v>
      </c>
      <c r="G120" t="s">
        <v>20</v>
      </c>
      <c r="H120">
        <v>0</v>
      </c>
      <c r="I120">
        <v>47.431699999999999</v>
      </c>
      <c r="J120">
        <v>143.8142</v>
      </c>
      <c r="K120">
        <v>132.6806</v>
      </c>
      <c r="L120">
        <v>66.983500000000006</v>
      </c>
      <c r="M120">
        <v>1.24</v>
      </c>
      <c r="N120">
        <v>1.55</v>
      </c>
      <c r="O120">
        <v>0</v>
      </c>
      <c r="P120">
        <v>0</v>
      </c>
      <c r="Q120">
        <v>0</v>
      </c>
      <c r="R120">
        <v>0</v>
      </c>
      <c r="S120">
        <v>20200416</v>
      </c>
      <c r="T120">
        <f t="shared" si="2"/>
        <v>393.70000000000005</v>
      </c>
    </row>
    <row r="121" spans="1:20" x14ac:dyDescent="0.25">
      <c r="A121" t="s">
        <v>19</v>
      </c>
      <c r="B121">
        <v>2020</v>
      </c>
      <c r="C121">
        <v>1</v>
      </c>
      <c r="D121">
        <v>24</v>
      </c>
      <c r="E121">
        <v>8</v>
      </c>
      <c r="F121">
        <v>126436</v>
      </c>
      <c r="G121" t="s">
        <v>20</v>
      </c>
      <c r="H121">
        <v>0</v>
      </c>
      <c r="I121">
        <v>32.433900000000001</v>
      </c>
      <c r="J121">
        <v>11.3332</v>
      </c>
      <c r="K121">
        <v>27.224799999999998</v>
      </c>
      <c r="L121">
        <v>75.603800000000007</v>
      </c>
      <c r="M121">
        <v>3.1049000000000002</v>
      </c>
      <c r="N121">
        <v>1.6539999999999999</v>
      </c>
      <c r="O121">
        <v>2.9378000000000002</v>
      </c>
      <c r="P121">
        <v>1.1022000000000001</v>
      </c>
      <c r="Q121">
        <v>0</v>
      </c>
      <c r="R121">
        <v>0</v>
      </c>
      <c r="S121">
        <v>20200416</v>
      </c>
      <c r="T121">
        <f t="shared" si="2"/>
        <v>155.39460000000003</v>
      </c>
    </row>
    <row r="122" spans="1:20" x14ac:dyDescent="0.25">
      <c r="A122" t="s">
        <v>19</v>
      </c>
      <c r="B122">
        <v>2020</v>
      </c>
      <c r="C122">
        <v>1</v>
      </c>
      <c r="D122">
        <v>24</v>
      </c>
      <c r="E122">
        <v>9</v>
      </c>
      <c r="F122">
        <v>126436</v>
      </c>
      <c r="G122" t="s">
        <v>20</v>
      </c>
      <c r="H122">
        <v>0</v>
      </c>
      <c r="I122">
        <v>159.4923</v>
      </c>
      <c r="J122">
        <v>220.19829999999999</v>
      </c>
      <c r="K122">
        <v>104.6343</v>
      </c>
      <c r="L122">
        <v>64.942499999999995</v>
      </c>
      <c r="M122">
        <v>1.2682</v>
      </c>
      <c r="N122">
        <v>0.63739999999999997</v>
      </c>
      <c r="O122">
        <v>0.8488</v>
      </c>
      <c r="P122">
        <v>0.23960000000000001</v>
      </c>
      <c r="Q122">
        <v>0</v>
      </c>
      <c r="R122">
        <v>0</v>
      </c>
      <c r="S122">
        <v>20200416</v>
      </c>
      <c r="T122">
        <f t="shared" si="2"/>
        <v>552.26139999999987</v>
      </c>
    </row>
    <row r="123" spans="1:20" x14ac:dyDescent="0.25">
      <c r="A123" t="s">
        <v>19</v>
      </c>
      <c r="B123">
        <v>2020</v>
      </c>
      <c r="C123">
        <v>1</v>
      </c>
      <c r="D123">
        <v>25</v>
      </c>
      <c r="E123">
        <v>10</v>
      </c>
      <c r="F123">
        <v>126436</v>
      </c>
      <c r="G123" t="s">
        <v>20</v>
      </c>
      <c r="H123">
        <v>0</v>
      </c>
      <c r="I123">
        <v>48.702399999999997</v>
      </c>
      <c r="J123">
        <v>198.93469999999999</v>
      </c>
      <c r="K123">
        <v>204.6413</v>
      </c>
      <c r="L123">
        <v>52.533200000000001</v>
      </c>
      <c r="M123">
        <v>4.9824000000000002</v>
      </c>
      <c r="N123">
        <v>0.1414</v>
      </c>
      <c r="O123">
        <v>0.1857</v>
      </c>
      <c r="P123">
        <v>0</v>
      </c>
      <c r="Q123">
        <v>0</v>
      </c>
      <c r="R123">
        <v>0</v>
      </c>
      <c r="S123">
        <v>20200416</v>
      </c>
      <c r="T123">
        <f t="shared" si="2"/>
        <v>510.12109999999996</v>
      </c>
    </row>
    <row r="124" spans="1:20" x14ac:dyDescent="0.25">
      <c r="A124" t="s">
        <v>19</v>
      </c>
      <c r="B124">
        <v>2020</v>
      </c>
      <c r="C124">
        <v>1</v>
      </c>
      <c r="D124">
        <v>25</v>
      </c>
      <c r="E124">
        <v>11</v>
      </c>
      <c r="F124">
        <v>126436</v>
      </c>
      <c r="G124" t="s">
        <v>20</v>
      </c>
      <c r="H124">
        <v>0</v>
      </c>
      <c r="I124">
        <v>29.633199999999999</v>
      </c>
      <c r="J124">
        <v>252.25370000000001</v>
      </c>
      <c r="K124">
        <v>390.66860000000003</v>
      </c>
      <c r="L124">
        <v>107.39100000000001</v>
      </c>
      <c r="M124">
        <v>10.7255</v>
      </c>
      <c r="N124">
        <v>0.42249999999999999</v>
      </c>
      <c r="O124">
        <v>0.3513</v>
      </c>
      <c r="P124">
        <v>0</v>
      </c>
      <c r="Q124">
        <v>0</v>
      </c>
      <c r="R124">
        <v>0</v>
      </c>
      <c r="S124">
        <v>20200416</v>
      </c>
      <c r="T124">
        <f t="shared" si="2"/>
        <v>791.44580000000008</v>
      </c>
    </row>
    <row r="125" spans="1:20" x14ac:dyDescent="0.25">
      <c r="A125" t="s">
        <v>19</v>
      </c>
      <c r="B125">
        <v>2020</v>
      </c>
      <c r="C125">
        <v>1</v>
      </c>
      <c r="D125">
        <v>25</v>
      </c>
      <c r="E125">
        <v>12</v>
      </c>
      <c r="F125">
        <v>126436</v>
      </c>
      <c r="G125" t="s">
        <v>20</v>
      </c>
      <c r="H125">
        <v>0</v>
      </c>
      <c r="I125">
        <v>16.099399999999999</v>
      </c>
      <c r="J125">
        <v>270.43540000000002</v>
      </c>
      <c r="K125">
        <v>620.65790000000004</v>
      </c>
      <c r="L125">
        <v>196.97550000000001</v>
      </c>
      <c r="M125">
        <v>21.0716</v>
      </c>
      <c r="N125">
        <v>0.6825</v>
      </c>
      <c r="O125">
        <v>0.93479999999999996</v>
      </c>
      <c r="P125">
        <v>0</v>
      </c>
      <c r="Q125">
        <v>0</v>
      </c>
      <c r="R125">
        <v>0</v>
      </c>
      <c r="S125">
        <v>20200416</v>
      </c>
      <c r="T125">
        <f t="shared" si="2"/>
        <v>1126.8570999999999</v>
      </c>
    </row>
    <row r="126" spans="1:20" x14ac:dyDescent="0.25">
      <c r="A126" t="s">
        <v>19</v>
      </c>
      <c r="B126">
        <v>2020</v>
      </c>
      <c r="C126">
        <v>1</v>
      </c>
      <c r="D126">
        <v>25</v>
      </c>
      <c r="E126">
        <v>9</v>
      </c>
      <c r="F126">
        <v>126436</v>
      </c>
      <c r="G126" t="s">
        <v>20</v>
      </c>
      <c r="H126">
        <v>0</v>
      </c>
      <c r="I126">
        <v>23.886299999999999</v>
      </c>
      <c r="J126">
        <v>168.54660000000001</v>
      </c>
      <c r="K126">
        <v>127.89579999999999</v>
      </c>
      <c r="L126">
        <v>30.5503</v>
      </c>
      <c r="M126">
        <v>3.5442</v>
      </c>
      <c r="N126">
        <v>0.22969999999999999</v>
      </c>
      <c r="O126">
        <v>0.1706</v>
      </c>
      <c r="P126">
        <v>0</v>
      </c>
      <c r="Q126">
        <v>0</v>
      </c>
      <c r="R126">
        <v>0</v>
      </c>
      <c r="S126">
        <v>20200416</v>
      </c>
      <c r="T126">
        <f t="shared" si="2"/>
        <v>354.82349999999997</v>
      </c>
    </row>
    <row r="127" spans="1:20" x14ac:dyDescent="0.25">
      <c r="A127" t="s">
        <v>19</v>
      </c>
      <c r="B127">
        <v>2020</v>
      </c>
      <c r="C127">
        <v>1</v>
      </c>
      <c r="D127">
        <v>26</v>
      </c>
      <c r="E127">
        <v>10</v>
      </c>
      <c r="F127">
        <v>126436</v>
      </c>
      <c r="G127" t="s">
        <v>20</v>
      </c>
      <c r="H127">
        <v>0</v>
      </c>
      <c r="I127">
        <v>26.258600000000001</v>
      </c>
      <c r="J127">
        <v>106.0111</v>
      </c>
      <c r="K127">
        <v>341.90179999999998</v>
      </c>
      <c r="L127">
        <v>233.08690000000001</v>
      </c>
      <c r="M127">
        <v>53.7667</v>
      </c>
      <c r="N127">
        <v>0.125</v>
      </c>
      <c r="O127">
        <v>0</v>
      </c>
      <c r="P127">
        <v>0</v>
      </c>
      <c r="Q127">
        <v>0</v>
      </c>
      <c r="R127">
        <v>0</v>
      </c>
      <c r="S127">
        <v>20200416</v>
      </c>
      <c r="T127">
        <f t="shared" si="2"/>
        <v>761.15009999999995</v>
      </c>
    </row>
    <row r="128" spans="1:20" x14ac:dyDescent="0.25">
      <c r="A128" t="s">
        <v>19</v>
      </c>
      <c r="B128">
        <v>2020</v>
      </c>
      <c r="C128">
        <v>1</v>
      </c>
      <c r="D128">
        <v>26</v>
      </c>
      <c r="E128">
        <v>11</v>
      </c>
      <c r="F128">
        <v>126436</v>
      </c>
      <c r="G128" t="s">
        <v>20</v>
      </c>
      <c r="H128">
        <v>0</v>
      </c>
      <c r="I128">
        <v>10.0718</v>
      </c>
      <c r="J128">
        <v>47.804299999999998</v>
      </c>
      <c r="K128">
        <v>152.42660000000001</v>
      </c>
      <c r="L128">
        <v>90.791499999999999</v>
      </c>
      <c r="M128">
        <v>18.530799999999999</v>
      </c>
      <c r="N128">
        <v>0.15379999999999999</v>
      </c>
      <c r="O128">
        <v>0</v>
      </c>
      <c r="P128">
        <v>0.15379999999999999</v>
      </c>
      <c r="Q128">
        <v>0</v>
      </c>
      <c r="R128">
        <v>0</v>
      </c>
      <c r="S128">
        <v>20200416</v>
      </c>
      <c r="T128">
        <f t="shared" si="2"/>
        <v>319.93259999999998</v>
      </c>
    </row>
    <row r="129" spans="1:20" x14ac:dyDescent="0.25">
      <c r="A129" t="s">
        <v>19</v>
      </c>
      <c r="B129">
        <v>2020</v>
      </c>
      <c r="C129">
        <v>1</v>
      </c>
      <c r="D129">
        <v>26</v>
      </c>
      <c r="E129">
        <v>12</v>
      </c>
      <c r="F129">
        <v>126436</v>
      </c>
      <c r="G129" t="s">
        <v>20</v>
      </c>
      <c r="H129">
        <v>0</v>
      </c>
      <c r="I129">
        <v>0</v>
      </c>
      <c r="J129">
        <v>4.1054000000000004</v>
      </c>
      <c r="K129">
        <v>16.1831</v>
      </c>
      <c r="L129">
        <v>9.5759000000000007</v>
      </c>
      <c r="M129">
        <v>1.6758999999999999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20200416</v>
      </c>
      <c r="T129">
        <f t="shared" si="2"/>
        <v>31.540299999999998</v>
      </c>
    </row>
    <row r="130" spans="1:20" x14ac:dyDescent="0.25">
      <c r="A130" t="s">
        <v>19</v>
      </c>
      <c r="B130">
        <v>2020</v>
      </c>
      <c r="C130">
        <v>1</v>
      </c>
      <c r="D130">
        <v>26</v>
      </c>
      <c r="E130">
        <v>13</v>
      </c>
      <c r="F130">
        <v>126436</v>
      </c>
      <c r="G130" t="s">
        <v>20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20200416</v>
      </c>
      <c r="T130">
        <f t="shared" si="2"/>
        <v>0</v>
      </c>
    </row>
    <row r="131" spans="1:20" x14ac:dyDescent="0.25">
      <c r="A131" t="s">
        <v>19</v>
      </c>
      <c r="B131">
        <v>2020</v>
      </c>
      <c r="C131">
        <v>1</v>
      </c>
      <c r="D131">
        <v>26</v>
      </c>
      <c r="E131">
        <v>14</v>
      </c>
      <c r="F131">
        <v>126436</v>
      </c>
      <c r="G131" t="s">
        <v>20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20200416</v>
      </c>
      <c r="T131">
        <f t="shared" si="2"/>
        <v>0</v>
      </c>
    </row>
    <row r="132" spans="1:20" x14ac:dyDescent="0.25">
      <c r="A132" t="s">
        <v>19</v>
      </c>
      <c r="B132">
        <v>2020</v>
      </c>
      <c r="C132">
        <v>1</v>
      </c>
      <c r="D132">
        <v>26</v>
      </c>
      <c r="E132">
        <v>9</v>
      </c>
      <c r="F132">
        <v>126436</v>
      </c>
      <c r="G132" t="s">
        <v>20</v>
      </c>
      <c r="H132">
        <v>0</v>
      </c>
      <c r="I132">
        <v>1.2111000000000001</v>
      </c>
      <c r="J132">
        <v>22.790099999999999</v>
      </c>
      <c r="K132">
        <v>64.401899999999998</v>
      </c>
      <c r="L132">
        <v>43.569699999999997</v>
      </c>
      <c r="M132">
        <v>12.027200000000001</v>
      </c>
      <c r="N132">
        <v>0.16669999999999999</v>
      </c>
      <c r="O132">
        <v>0</v>
      </c>
      <c r="P132">
        <v>5.5599999999999997E-2</v>
      </c>
      <c r="Q132">
        <v>0</v>
      </c>
      <c r="R132">
        <v>0</v>
      </c>
      <c r="S132">
        <v>20200416</v>
      </c>
      <c r="T132">
        <f t="shared" si="2"/>
        <v>144.22229999999999</v>
      </c>
    </row>
    <row r="133" spans="1:20" x14ac:dyDescent="0.25">
      <c r="A133" t="s">
        <v>19</v>
      </c>
      <c r="B133">
        <v>2020</v>
      </c>
      <c r="C133">
        <v>1</v>
      </c>
      <c r="D133">
        <v>27</v>
      </c>
      <c r="E133">
        <v>10</v>
      </c>
      <c r="F133">
        <v>126436</v>
      </c>
      <c r="G133" t="s">
        <v>20</v>
      </c>
      <c r="H133">
        <v>0</v>
      </c>
      <c r="I133">
        <v>3</v>
      </c>
      <c r="J133">
        <v>2.625</v>
      </c>
      <c r="K133">
        <v>1.875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20200416</v>
      </c>
      <c r="T133">
        <f t="shared" si="2"/>
        <v>7.5</v>
      </c>
    </row>
    <row r="134" spans="1:20" x14ac:dyDescent="0.25">
      <c r="A134" t="s">
        <v>19</v>
      </c>
      <c r="B134">
        <v>2020</v>
      </c>
      <c r="C134">
        <v>1</v>
      </c>
      <c r="D134">
        <v>27</v>
      </c>
      <c r="E134">
        <v>11</v>
      </c>
      <c r="F134">
        <v>126436</v>
      </c>
      <c r="G134" t="s">
        <v>20</v>
      </c>
      <c r="H134">
        <v>0</v>
      </c>
      <c r="I134">
        <v>1.5713999999999999</v>
      </c>
      <c r="J134">
        <v>3.3571</v>
      </c>
      <c r="K134">
        <v>8.3571000000000009</v>
      </c>
      <c r="L134">
        <v>1.5713999999999999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20200416</v>
      </c>
      <c r="T134">
        <f t="shared" si="2"/>
        <v>14.857000000000001</v>
      </c>
    </row>
    <row r="135" spans="1:20" x14ac:dyDescent="0.25">
      <c r="A135" t="s">
        <v>19</v>
      </c>
      <c r="B135">
        <v>2020</v>
      </c>
      <c r="C135">
        <v>1</v>
      </c>
      <c r="D135">
        <v>27</v>
      </c>
      <c r="E135">
        <v>13</v>
      </c>
      <c r="F135">
        <v>126436</v>
      </c>
      <c r="G135" t="s">
        <v>20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20200416</v>
      </c>
      <c r="T135">
        <f t="shared" si="2"/>
        <v>0</v>
      </c>
    </row>
    <row r="136" spans="1:20" x14ac:dyDescent="0.25">
      <c r="A136" t="s">
        <v>19</v>
      </c>
      <c r="B136">
        <v>2020</v>
      </c>
      <c r="C136">
        <v>1</v>
      </c>
      <c r="D136">
        <v>28</v>
      </c>
      <c r="E136">
        <v>10</v>
      </c>
      <c r="F136">
        <v>126436</v>
      </c>
      <c r="G136" t="s">
        <v>20</v>
      </c>
      <c r="H136">
        <v>0</v>
      </c>
      <c r="I136">
        <v>5.1429</v>
      </c>
      <c r="J136">
        <v>7.6662999999999997</v>
      </c>
      <c r="K136">
        <v>17.572500000000002</v>
      </c>
      <c r="L136">
        <v>3.1335000000000002</v>
      </c>
      <c r="M136">
        <v>0.1991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20200416</v>
      </c>
      <c r="T136">
        <f t="shared" si="2"/>
        <v>33.714300000000001</v>
      </c>
    </row>
    <row r="137" spans="1:20" x14ac:dyDescent="0.25">
      <c r="A137" t="s">
        <v>19</v>
      </c>
      <c r="B137">
        <v>2020</v>
      </c>
      <c r="C137">
        <v>1</v>
      </c>
      <c r="D137">
        <v>28</v>
      </c>
      <c r="E137">
        <v>11</v>
      </c>
      <c r="F137">
        <v>126436</v>
      </c>
      <c r="G137" t="s">
        <v>20</v>
      </c>
      <c r="H137">
        <v>0</v>
      </c>
      <c r="I137">
        <v>0.22220000000000001</v>
      </c>
      <c r="J137">
        <v>3.4373</v>
      </c>
      <c r="K137">
        <v>16.671600000000002</v>
      </c>
      <c r="L137">
        <v>3.5493000000000001</v>
      </c>
      <c r="M137">
        <v>0.78620000000000001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20200416</v>
      </c>
      <c r="T137">
        <f t="shared" si="2"/>
        <v>24.666600000000003</v>
      </c>
    </row>
    <row r="138" spans="1:20" x14ac:dyDescent="0.25">
      <c r="A138" t="s">
        <v>19</v>
      </c>
      <c r="B138">
        <v>2020</v>
      </c>
      <c r="C138">
        <v>1</v>
      </c>
      <c r="D138">
        <v>28</v>
      </c>
      <c r="E138">
        <v>12</v>
      </c>
      <c r="F138">
        <v>126436</v>
      </c>
      <c r="G138" t="s">
        <v>20</v>
      </c>
      <c r="H138">
        <v>0</v>
      </c>
      <c r="I138">
        <v>0</v>
      </c>
      <c r="J138">
        <v>7.0699999999999999E-2</v>
      </c>
      <c r="K138">
        <v>0.1515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20200416</v>
      </c>
      <c r="T138">
        <f t="shared" si="2"/>
        <v>0.22220000000000001</v>
      </c>
    </row>
    <row r="139" spans="1:20" x14ac:dyDescent="0.25">
      <c r="A139" t="s">
        <v>19</v>
      </c>
      <c r="B139">
        <v>2020</v>
      </c>
      <c r="C139">
        <v>1</v>
      </c>
      <c r="D139">
        <v>28</v>
      </c>
      <c r="E139">
        <v>9</v>
      </c>
      <c r="F139">
        <v>126436</v>
      </c>
      <c r="G139" t="s">
        <v>20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20200416</v>
      </c>
      <c r="T139">
        <f t="shared" si="2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 me</vt:lpstr>
      <vt:lpstr>CPUE per area</vt:lpstr>
      <vt:lpstr>CPUE per area and depth strata</vt:lpstr>
      <vt:lpstr>CPUE per age per subarea_2018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Henrik Degel</dc:creator>
  <cp:lastModifiedBy>Henrik Degel</cp:lastModifiedBy>
  <dcterms:created xsi:type="dcterms:W3CDTF">2017-03-02T19:30:48Z</dcterms:created>
  <dcterms:modified xsi:type="dcterms:W3CDTF">2020-04-30T04:19:53Z</dcterms:modified>
</cp:coreProperties>
</file>