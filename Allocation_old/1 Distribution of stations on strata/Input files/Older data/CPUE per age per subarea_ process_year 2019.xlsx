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1 Distribution of stations on strata\Input files\"/>
    </mc:Choice>
  </mc:AlternateContent>
  <bookViews>
    <workbookView xWindow="-290" yWindow="0" windowWidth="25440" windowHeight="12590" activeTab="1"/>
  </bookViews>
  <sheets>
    <sheet name="Read me" sheetId="5" r:id="rId1"/>
    <sheet name="CPUE per area" sheetId="2" r:id="rId2"/>
    <sheet name="CPUE per area and depth strata" sheetId="4" r:id="rId3"/>
    <sheet name="CPUE per age per subarea_2018" sheetId="1" r:id="rId4"/>
  </sheets>
  <calcPr calcId="162913"/>
  <pivotCaches>
    <pivotCache cacheId="21" r:id="rId5"/>
    <pivotCache cacheId="25" r:id="rId6"/>
  </pivotCaches>
</workbook>
</file>

<file path=xl/calcChain.xml><?xml version="1.0" encoding="utf-8"?>
<calcChain xmlns="http://schemas.openxmlformats.org/spreadsheetml/2006/main">
  <c r="S12" i="2" l="1"/>
  <c r="X36" i="4"/>
  <c r="Y36" i="4"/>
  <c r="Z36" i="4" s="1"/>
  <c r="X37" i="4"/>
  <c r="Y37" i="4"/>
  <c r="Z37" i="4" s="1"/>
  <c r="X38" i="4"/>
  <c r="Y38" i="4"/>
  <c r="X39" i="4"/>
  <c r="Y39" i="4"/>
  <c r="Z39" i="4"/>
  <c r="X40" i="4"/>
  <c r="Y40" i="4"/>
  <c r="Z40" i="4" s="1"/>
  <c r="Z27" i="4"/>
  <c r="Z28" i="4"/>
  <c r="Z29" i="4"/>
  <c r="Z30" i="4"/>
  <c r="Z31" i="4"/>
  <c r="Z32" i="4"/>
  <c r="Z33" i="4"/>
  <c r="Z34" i="4"/>
  <c r="Z3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5" i="4"/>
  <c r="S11" i="2"/>
  <c r="S9" i="2"/>
  <c r="S8" i="2"/>
  <c r="S7" i="2"/>
  <c r="S6" i="2"/>
  <c r="Z38" i="4" l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</calcChain>
</file>

<file path=xl/sharedStrings.xml><?xml version="1.0" encoding="utf-8"?>
<sst xmlns="http://schemas.openxmlformats.org/spreadsheetml/2006/main" count="310" uniqueCount="33">
  <si>
    <t>Survey</t>
  </si>
  <si>
    <t>Year</t>
  </si>
  <si>
    <t>Quarter</t>
  </si>
  <si>
    <t>Area</t>
  </si>
  <si>
    <t>SubArea</t>
  </si>
  <si>
    <t>AphiaID</t>
  </si>
  <si>
    <t>Species</t>
  </si>
  <si>
    <t>Age_0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</si>
  <si>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</si>
  <si>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</si>
  <si>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</si>
  <si>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</si>
  <si>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</si>
  <si>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</si>
  <si>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</si>
  <si>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</si>
  <si>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</si>
  <si>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Age_10</t>
  </si>
  <si>
    <t>DateofCalculation</t>
  </si>
  <si>
    <t>BITS</t>
  </si>
  <si>
    <t>Gadus morhua</t>
  </si>
  <si>
    <t>Column Labels</t>
  </si>
  <si>
    <t>Grand Total</t>
  </si>
  <si>
    <t>Row Labels</t>
  </si>
  <si>
    <t>Age_1+</t>
  </si>
  <si>
    <t>Average of Age_1+</t>
  </si>
  <si>
    <t>Arrange a copy of this so it fits into the input stratification</t>
  </si>
  <si>
    <t>Copy from Pivot to the left</t>
  </si>
  <si>
    <t>SD</t>
  </si>
  <si>
    <t>AreaSection</t>
  </si>
  <si>
    <t>Cpue</t>
  </si>
  <si>
    <t>Output to BITS haul allocation program</t>
  </si>
  <si>
    <t>Input from DATRAS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</si>
</sst>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0" borderId="0" xfId="0" applyFill="1"/>
    <xf numFmtId="0" fontId="0" fillId="34" borderId="0" xfId="0" applyFill="1" applyAlignment="1">
      <alignment horizontal="center"/>
    </xf>
    <xf numFmtId="0" fontId="0" fillId="0" borderId="0" xfId="0" applyFill="1" applyAlignment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k Degel" refreshedDate="43564.52655451389" createdVersion="4" refreshedVersion="6" minRefreshableVersion="3" recordCount="135">
  <cacheSource type="worksheet">
    <worksheetSource ref="A1:T136" sheet="CPUE per age per subarea_2018"/>
  </cacheSource>
  <cacheFields count="20">
    <cacheField name="Survey" numFmtId="0">
      <sharedItems/>
    </cacheField>
    <cacheField name="Year" numFmtId="0">
      <sharedItems containsSemiMixedTypes="0" containsString="0" containsNumber="1" containsInteger="1" minValue="2011" maxValue="2018" count="8">
        <n v="2014"/>
        <n v="2015"/>
        <n v="2016"/>
        <n v="2017"/>
        <n v="2018"/>
        <n v="2011" u="1"/>
        <n v="2012" u="1"/>
        <n v="2013" u="1"/>
      </sharedItems>
    </cacheField>
    <cacheField name="Quarter" numFmtId="0">
      <sharedItems containsSemiMixedTypes="0" containsString="0" containsNumber="1" containsInteger="1" minValue="1" maxValue="1"/>
    </cacheField>
    <cacheField name="Area" numFmtId="0">
      <sharedItems containsSemiMixedTypes="0" containsString="0" containsNumber="1" containsInteger="1" minValue="21" maxValue="28" count="8">
        <n v="21"/>
        <n v="22"/>
        <n v="23"/>
        <n v="24"/>
        <n v="25"/>
        <n v="26"/>
        <n v="27"/>
        <n v="28"/>
      </sharedItems>
    </cacheField>
    <cacheField name="SubArea" numFmtId="0">
      <sharedItems containsSemiMixedTypes="0" containsString="0" containsNumber="1" containsInteger="1" minValue="8" maxValue="14" count="7">
        <n v="10"/>
        <n v="11"/>
        <n v="9"/>
        <n v="8"/>
        <n v="12"/>
        <n v="13"/>
        <n v="14"/>
      </sharedItems>
    </cacheField>
    <cacheField name="AphiaID" numFmtId="0">
      <sharedItems containsSemiMixedTypes="0" containsString="0" containsNumber="1" containsInteger="1" minValue="126436" maxValue="126436"/>
    </cacheField>
    <cacheField name="Species" numFmtId="0">
      <sharedItems/>
    </cacheField>
    <cacheField name="Age_0" numFmtId="0">
      <sharedItems containsSemiMixedTypes="0" containsString="0" containsNumber="1" containsInteger="1" minValue="0" maxValue="0"/>
    </cacheField>
    <cacheField name="Age_1" numFmtId="0">
      <sharedItems containsSemiMixedTypes="0" containsString="0" containsNumber="1" minValue="0" maxValue="1005.7243999999999"/>
    </cacheField>
    <cacheField name="Age_2" numFmtId="0">
      <sharedItems containsSemiMixedTypes="0" containsString="0" containsNumber="1" minValue="0" maxValue="1496.3154999999999"/>
    </cacheField>
    <cacheField name="Age_3" numFmtId="0">
      <sharedItems containsSemiMixedTypes="0" containsString="0" containsNumber="1" minValue="0" maxValue="1315.5862"/>
    </cacheField>
    <cacheField name="Age_4" numFmtId="0">
      <sharedItems containsSemiMixedTypes="0" containsString="0" containsNumber="1" minValue="0" maxValue="824.57360000000006"/>
    </cacheField>
    <cacheField name="Age_5" numFmtId="0">
      <sharedItems containsSemiMixedTypes="0" containsString="0" containsNumber="1" minValue="0" maxValue="374.91230000000002"/>
    </cacheField>
    <cacheField name="Age_6" numFmtId="0">
      <sharedItems containsSemiMixedTypes="0" containsString="0" containsNumber="1" minValue="0" maxValue="85.188500000000005"/>
    </cacheField>
    <cacheField name="Age_7" numFmtId="0">
      <sharedItems containsSemiMixedTypes="0" containsString="0" containsNumber="1" minValue="0" maxValue="19.2973"/>
    </cacheField>
    <cacheField name="Age_8" numFmtId="0">
      <sharedItems containsSemiMixedTypes="0" containsString="0" containsNumber="1" minValue="0" maxValue="9.6768000000000001"/>
    </cacheField>
    <cacheField name="Age_9" numFmtId="0">
      <sharedItems containsSemiMixedTypes="0" containsString="0" containsNumber="1" minValue="0" maxValue="2.6951999999999998"/>
    </cacheField>
    <cacheField name="Age_10" numFmtId="0">
      <sharedItems containsSemiMixedTypes="0" containsString="0" containsNumber="1" minValue="0" maxValue="0.38329999999999997"/>
    </cacheField>
    <cacheField name="DateofCalculation" numFmtId="0">
      <sharedItems containsSemiMixedTypes="0" containsString="0" containsNumber="1" containsInteger="1" minValue="20180408" maxValue="20190408"/>
    </cacheField>
    <cacheField name="Age_1+" numFmtId="0">
      <sharedItems containsSemiMixedTypes="0" containsString="0" containsNumber="1" minValue="0" maxValue="2975.0027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nrik Degel" refreshedDate="43564.667297453707" createdVersion="6" refreshedVersion="6" minRefreshableVersion="3" recordCount="136">
  <cacheSource type="worksheet">
    <worksheetSource ref="A1:T1048576" sheet="CPUE per age per subarea_2018"/>
  </cacheSource>
  <cacheFields count="20">
    <cacheField name="Survey" numFmtId="0">
      <sharedItems containsBlank="1"/>
    </cacheField>
    <cacheField name="Year" numFmtId="0">
      <sharedItems containsString="0" containsBlank="1" containsNumber="1" containsInteger="1" minValue="2014" maxValue="2018" count="6">
        <n v="2014"/>
        <n v="2015"/>
        <n v="2016"/>
        <n v="2017"/>
        <n v="2018"/>
        <m/>
      </sharedItems>
    </cacheField>
    <cacheField name="Quarter" numFmtId="0">
      <sharedItems containsString="0" containsBlank="1" containsNumber="1" containsInteger="1" minValue="1" maxValue="1"/>
    </cacheField>
    <cacheField name="Area" numFmtId="0">
      <sharedItems containsString="0" containsBlank="1" containsNumber="1" containsInteger="1" minValue="21" maxValue="28" count="9">
        <n v="21"/>
        <n v="22"/>
        <n v="23"/>
        <n v="24"/>
        <n v="25"/>
        <n v="26"/>
        <n v="27"/>
        <n v="28"/>
        <m/>
      </sharedItems>
    </cacheField>
    <cacheField name="SubArea" numFmtId="0">
      <sharedItems containsString="0" containsBlank="1" containsNumber="1" containsInteger="1" minValue="8" maxValue="14"/>
    </cacheField>
    <cacheField name="AphiaID" numFmtId="0">
      <sharedItems containsString="0" containsBlank="1" containsNumber="1" containsInteger="1" minValue="126436" maxValue="126436"/>
    </cacheField>
    <cacheField name="Species" numFmtId="0">
      <sharedItems containsBlank="1"/>
    </cacheField>
    <cacheField name="Age_0" numFmtId="0">
      <sharedItems containsString="0" containsBlank="1" containsNumber="1" containsInteger="1" minValue="0" maxValue="0"/>
    </cacheField>
    <cacheField name="Age_1" numFmtId="0">
      <sharedItems containsString="0" containsBlank="1" containsNumber="1" minValue="0" maxValue="1005.7243999999999"/>
    </cacheField>
    <cacheField name="Age_2" numFmtId="0">
      <sharedItems containsString="0" containsBlank="1" containsNumber="1" minValue="0" maxValue="1496.3154999999999"/>
    </cacheField>
    <cacheField name="Age_3" numFmtId="0">
      <sharedItems containsString="0" containsBlank="1" containsNumber="1" minValue="0" maxValue="1315.5862"/>
    </cacheField>
    <cacheField name="Age_4" numFmtId="0">
      <sharedItems containsString="0" containsBlank="1" containsNumber="1" minValue="0" maxValue="824.57360000000006"/>
    </cacheField>
    <cacheField name="Age_5" numFmtId="0">
      <sharedItems containsString="0" containsBlank="1" containsNumber="1" minValue="0" maxValue="374.91230000000002"/>
    </cacheField>
    <cacheField name="Age_6" numFmtId="0">
      <sharedItems containsString="0" containsBlank="1" containsNumber="1" minValue="0" maxValue="85.188500000000005"/>
    </cacheField>
    <cacheField name="Age_7" numFmtId="0">
      <sharedItems containsString="0" containsBlank="1" containsNumber="1" minValue="0" maxValue="19.2973"/>
    </cacheField>
    <cacheField name="Age_8" numFmtId="0">
      <sharedItems containsString="0" containsBlank="1" containsNumber="1" minValue="0" maxValue="9.6768000000000001"/>
    </cacheField>
    <cacheField name="Age_9" numFmtId="0">
      <sharedItems containsString="0" containsBlank="1" containsNumber="1" minValue="0" maxValue="2.6951999999999998"/>
    </cacheField>
    <cacheField name="Age_10" numFmtId="0">
      <sharedItems containsString="0" containsBlank="1" containsNumber="1" minValue="0" maxValue="0.38329999999999997"/>
    </cacheField>
    <cacheField name="DateofCalculation" numFmtId="0">
      <sharedItems containsString="0" containsBlank="1" containsNumber="1" containsInteger="1" minValue="20180408" maxValue="20190408"/>
    </cacheField>
    <cacheField name="Age_1+" numFmtId="0">
      <sharedItems containsString="0" containsBlank="1" containsNumber="1" minValue="0" maxValue="2975.0027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5">
  <r>
    <s v="BITS"/>
    <x v="0"/>
    <n v="1"/>
    <x v="0"/>
    <x v="0"/>
    <n v="126436"/>
    <s v="Gadus morhua"/>
    <n v="0"/>
    <n v="20.758600000000001"/>
    <n v="19.101400000000002"/>
    <n v="1.86"/>
    <n v="1.24"/>
    <n v="0"/>
    <n v="0"/>
    <n v="0"/>
    <n v="0"/>
    <n v="0"/>
    <n v="0"/>
    <n v="20180423"/>
    <n v="42.96"/>
  </r>
  <r>
    <s v="BITS"/>
    <x v="0"/>
    <n v="1"/>
    <x v="0"/>
    <x v="1"/>
    <n v="126436"/>
    <s v="Gadus morhua"/>
    <n v="0"/>
    <n v="13.346299999999999"/>
    <n v="11.053699999999999"/>
    <n v="12.4"/>
    <n v="0"/>
    <n v="0"/>
    <n v="0"/>
    <n v="0"/>
    <n v="0"/>
    <n v="0"/>
    <n v="0"/>
    <n v="20180423"/>
    <n v="36.799999999999997"/>
  </r>
  <r>
    <s v="BITS"/>
    <x v="0"/>
    <n v="1"/>
    <x v="0"/>
    <x v="2"/>
    <n v="126436"/>
    <s v="Gadus morhua"/>
    <n v="0"/>
    <n v="130.423"/>
    <n v="1086.1355000000001"/>
    <n v="15.7742"/>
    <n v="1.0730999999999999"/>
    <n v="0"/>
    <n v="0.23849999999999999"/>
    <n v="0"/>
    <n v="0"/>
    <n v="0"/>
    <n v="0.23849999999999999"/>
    <n v="20180423"/>
    <n v="1233.8828000000001"/>
  </r>
  <r>
    <s v="BITS"/>
    <x v="0"/>
    <n v="1"/>
    <x v="1"/>
    <x v="3"/>
    <n v="126436"/>
    <s v="Gadus morhua"/>
    <n v="0"/>
    <n v="11.1952"/>
    <n v="11.286899999999999"/>
    <n v="1.1236999999999999"/>
    <n v="0.871"/>
    <n v="0.25829999999999997"/>
    <n v="0.46500000000000002"/>
    <n v="0"/>
    <n v="0.31"/>
    <n v="0"/>
    <n v="0"/>
    <n v="20180423"/>
    <n v="25.510099999999994"/>
  </r>
  <r>
    <s v="BITS"/>
    <x v="0"/>
    <n v="1"/>
    <x v="1"/>
    <x v="2"/>
    <n v="126436"/>
    <s v="Gadus morhua"/>
    <n v="0"/>
    <n v="37.585299999999997"/>
    <n v="40.135599999999997"/>
    <n v="8.6245999999999992"/>
    <n v="2.91"/>
    <n v="0.25829999999999997"/>
    <n v="0.51670000000000005"/>
    <n v="0"/>
    <n v="0"/>
    <n v="0"/>
    <n v="0"/>
    <n v="20180423"/>
    <n v="90.030500000000004"/>
  </r>
  <r>
    <s v="BITS"/>
    <x v="0"/>
    <n v="1"/>
    <x v="2"/>
    <x v="3"/>
    <n v="126436"/>
    <s v="Gadus morhua"/>
    <n v="0"/>
    <n v="38.484000000000002"/>
    <n v="988.39739999999995"/>
    <n v="79.533600000000007"/>
    <n v="0"/>
    <n v="0"/>
    <n v="0"/>
    <n v="0"/>
    <n v="0"/>
    <n v="0"/>
    <n v="0"/>
    <n v="20180423"/>
    <n v="1106.415"/>
  </r>
  <r>
    <s v="BITS"/>
    <x v="0"/>
    <n v="1"/>
    <x v="2"/>
    <x v="2"/>
    <n v="126436"/>
    <s v="Gadus morhua"/>
    <n v="0"/>
    <n v="10.980399999999999"/>
    <n v="411.84269999999998"/>
    <n v="103.9624"/>
    <n v="5.6707000000000001"/>
    <n v="0"/>
    <n v="0"/>
    <n v="0"/>
    <n v="0"/>
    <n v="0"/>
    <n v="0"/>
    <n v="20180423"/>
    <n v="532.45619999999997"/>
  </r>
  <r>
    <s v="BITS"/>
    <x v="0"/>
    <n v="1"/>
    <x v="3"/>
    <x v="0"/>
    <n v="126436"/>
    <s v="Gadus morhua"/>
    <n v="0"/>
    <n v="1005.7243999999999"/>
    <n v="881.56179999999995"/>
    <n v="60.529000000000003"/>
    <n v="25.138500000000001"/>
    <n v="2.9218000000000002"/>
    <n v="0.98499999999999999"/>
    <n v="0.16489999999999999"/>
    <n v="0"/>
    <n v="0"/>
    <n v="0"/>
    <n v="20180423"/>
    <n v="1977.0254"/>
  </r>
  <r>
    <s v="BITS"/>
    <x v="0"/>
    <n v="1"/>
    <x v="3"/>
    <x v="3"/>
    <n v="126436"/>
    <s v="Gadus morhua"/>
    <n v="0"/>
    <n v="22.2194"/>
    <n v="103.5401"/>
    <n v="15.410500000000001"/>
    <n v="11.214399999999999"/>
    <n v="1.2747999999999999"/>
    <n v="0.39279999999999998"/>
    <n v="8.3500000000000005E-2"/>
    <n v="0"/>
    <n v="0"/>
    <n v="0"/>
    <n v="20180423"/>
    <n v="154.13550000000001"/>
  </r>
  <r>
    <s v="BITS"/>
    <x v="0"/>
    <n v="1"/>
    <x v="3"/>
    <x v="2"/>
    <n v="126436"/>
    <s v="Gadus morhua"/>
    <n v="0"/>
    <n v="447.41980000000001"/>
    <n v="253.517"/>
    <n v="16.0808"/>
    <n v="6.6162000000000001"/>
    <n v="0.71120000000000005"/>
    <n v="0.1552"/>
    <n v="0"/>
    <n v="0"/>
    <n v="0"/>
    <n v="0"/>
    <n v="20180423"/>
    <n v="724.50019999999995"/>
  </r>
  <r>
    <s v="BITS"/>
    <x v="0"/>
    <n v="1"/>
    <x v="4"/>
    <x v="0"/>
    <n v="126436"/>
    <s v="Gadus morhua"/>
    <n v="0"/>
    <n v="63.417099999999998"/>
    <n v="804.09019999999998"/>
    <n v="802.03989999999999"/>
    <n v="824.57360000000006"/>
    <n v="374.91230000000002"/>
    <n v="85.188500000000005"/>
    <n v="15.007199999999999"/>
    <n v="4.2531999999999996"/>
    <n v="1.3418000000000001"/>
    <n v="0.1789"/>
    <n v="20180423"/>
    <n v="2975.0027000000005"/>
  </r>
  <r>
    <s v="BITS"/>
    <x v="0"/>
    <n v="1"/>
    <x v="4"/>
    <x v="1"/>
    <n v="126436"/>
    <s v="Gadus morhua"/>
    <n v="0"/>
    <n v="44.234200000000001"/>
    <n v="566.81179999999995"/>
    <n v="615.48739999999998"/>
    <n v="633.12530000000004"/>
    <n v="315.09780000000001"/>
    <n v="81.919899999999998"/>
    <n v="19.2973"/>
    <n v="5.6360999999999999"/>
    <n v="1.6400999999999999"/>
    <n v="0.32240000000000002"/>
    <n v="20180423"/>
    <n v="2283.5723000000003"/>
  </r>
  <r>
    <s v="BITS"/>
    <x v="0"/>
    <n v="1"/>
    <x v="4"/>
    <x v="4"/>
    <n v="126436"/>
    <s v="Gadus morhua"/>
    <n v="0"/>
    <n v="3.1476999999999999"/>
    <n v="33.635300000000001"/>
    <n v="72.574799999999996"/>
    <n v="88.803100000000001"/>
    <n v="62.713900000000002"/>
    <n v="20.941500000000001"/>
    <n v="6.6502999999999997"/>
    <n v="2.2740999999999998"/>
    <n v="0.43659999999999999"/>
    <n v="8.1000000000000003E-2"/>
    <n v="20180423"/>
    <n v="291.25830000000002"/>
  </r>
  <r>
    <s v="BITS"/>
    <x v="0"/>
    <n v="1"/>
    <x v="4"/>
    <x v="2"/>
    <n v="126436"/>
    <s v="Gadus morhua"/>
    <n v="0"/>
    <n v="0.69020000000000004"/>
    <n v="2.9866000000000001"/>
    <n v="14.5219"/>
    <n v="16.799099999999999"/>
    <n v="14.96"/>
    <n v="5.9317000000000002"/>
    <n v="1.8263"/>
    <n v="0.69820000000000004"/>
    <n v="0.187"/>
    <n v="1.4200000000000001E-2"/>
    <n v="20180423"/>
    <n v="58.615200000000002"/>
  </r>
  <r>
    <s v="BITS"/>
    <x v="0"/>
    <n v="1"/>
    <x v="5"/>
    <x v="0"/>
    <n v="126436"/>
    <s v="Gadus morhua"/>
    <n v="0"/>
    <n v="55.714300000000001"/>
    <n v="314.49619999999999"/>
    <n v="498.1694"/>
    <n v="250.60659999999999"/>
    <n v="64.352099999999993"/>
    <n v="8.6043000000000003"/>
    <n v="0"/>
    <n v="0"/>
    <n v="0"/>
    <n v="0"/>
    <n v="20180423"/>
    <n v="1191.9429"/>
  </r>
  <r>
    <s v="BITS"/>
    <x v="0"/>
    <n v="1"/>
    <x v="5"/>
    <x v="1"/>
    <n v="126436"/>
    <s v="Gadus morhua"/>
    <n v="0"/>
    <n v="2.2139000000000002"/>
    <n v="76.868799999999993"/>
    <n v="88.631600000000006"/>
    <n v="39.441600000000001"/>
    <n v="9.5394000000000005"/>
    <n v="1.1647000000000001"/>
    <n v="0"/>
    <n v="0"/>
    <n v="0"/>
    <n v="0"/>
    <n v="20180423"/>
    <n v="217.85999999999999"/>
  </r>
  <r>
    <s v="BITS"/>
    <x v="0"/>
    <n v="1"/>
    <x v="5"/>
    <x v="4"/>
    <n v="126436"/>
    <s v="Gadus morhua"/>
    <n v="0"/>
    <n v="2.8397999999999999"/>
    <n v="66.757900000000006"/>
    <n v="110.9632"/>
    <n v="56.334600000000002"/>
    <n v="13.9856"/>
    <n v="1.6902999999999999"/>
    <n v="0"/>
    <n v="0"/>
    <n v="0"/>
    <n v="0"/>
    <n v="20180423"/>
    <n v="252.57140000000001"/>
  </r>
  <r>
    <s v="BITS"/>
    <x v="0"/>
    <n v="1"/>
    <x v="5"/>
    <x v="5"/>
    <n v="126436"/>
    <s v="Gadus morhua"/>
    <n v="0"/>
    <n v="0"/>
    <n v="1.8906000000000001"/>
    <n v="6.7755999999999998"/>
    <n v="3.7624"/>
    <n v="1.4742"/>
    <n v="9.7199999999999995E-2"/>
    <n v="0"/>
    <n v="0"/>
    <n v="0"/>
    <n v="0"/>
    <n v="20180423"/>
    <n v="14"/>
  </r>
  <r>
    <s v="BITS"/>
    <x v="0"/>
    <n v="1"/>
    <x v="5"/>
    <x v="2"/>
    <n v="126436"/>
    <s v="Gadus morhua"/>
    <n v="0"/>
    <n v="18.485700000000001"/>
    <n v="60.956899999999997"/>
    <n v="77.756399999999999"/>
    <n v="32.886200000000002"/>
    <n v="10.023"/>
    <n v="1.0918000000000001"/>
    <n v="0"/>
    <n v="0"/>
    <n v="0"/>
    <n v="0"/>
    <n v="20180423"/>
    <n v="201.20000000000002"/>
  </r>
  <r>
    <s v="BITS"/>
    <x v="0"/>
    <n v="1"/>
    <x v="6"/>
    <x v="1"/>
    <n v="126436"/>
    <s v="Gadus morhua"/>
    <n v="0"/>
    <n v="0.5"/>
    <n v="446.39170000000001"/>
    <n v="242.75829999999999"/>
    <n v="9"/>
    <n v="1.6"/>
    <n v="0"/>
    <n v="0"/>
    <n v="0"/>
    <n v="0"/>
    <n v="0"/>
    <n v="20180423"/>
    <n v="700.25"/>
  </r>
  <r>
    <s v="BITS"/>
    <x v="0"/>
    <n v="1"/>
    <x v="6"/>
    <x v="4"/>
    <n v="126436"/>
    <s v="Gadus morhua"/>
    <n v="0"/>
    <n v="0"/>
    <n v="0"/>
    <n v="0"/>
    <n v="0"/>
    <n v="0"/>
    <n v="0"/>
    <n v="0"/>
    <n v="0"/>
    <n v="0"/>
    <n v="0"/>
    <n v="20180423"/>
    <n v="0"/>
  </r>
  <r>
    <s v="BITS"/>
    <x v="0"/>
    <n v="1"/>
    <x v="7"/>
    <x v="0"/>
    <n v="126436"/>
    <s v="Gadus morhua"/>
    <n v="0"/>
    <n v="2.5"/>
    <n v="12.3515"/>
    <n v="14.1153"/>
    <n v="8.5089000000000006"/>
    <n v="3.339"/>
    <n v="0.96299999999999997"/>
    <n v="0.22220000000000001"/>
    <n v="0"/>
    <n v="0"/>
    <n v="0"/>
    <n v="20180423"/>
    <n v="41.999900000000004"/>
  </r>
  <r>
    <s v="BITS"/>
    <x v="0"/>
    <n v="1"/>
    <x v="7"/>
    <x v="1"/>
    <n v="126436"/>
    <s v="Gadus morhua"/>
    <n v="0"/>
    <n v="0.45829999999999999"/>
    <n v="112.452"/>
    <n v="45.37"/>
    <n v="23.463999999999999"/>
    <n v="4.6074999999999999"/>
    <n v="0.89810000000000001"/>
    <n v="0.16669999999999999"/>
    <n v="0"/>
    <n v="0"/>
    <n v="0"/>
    <n v="20180423"/>
    <n v="187.41659999999996"/>
  </r>
  <r>
    <s v="BITS"/>
    <x v="0"/>
    <n v="1"/>
    <x v="7"/>
    <x v="4"/>
    <n v="126436"/>
    <s v="Gadus morhua"/>
    <n v="0"/>
    <n v="0"/>
    <n v="0"/>
    <n v="0"/>
    <n v="0"/>
    <n v="0"/>
    <n v="0"/>
    <n v="0"/>
    <n v="0"/>
    <n v="0"/>
    <n v="0"/>
    <n v="20180423"/>
    <n v="0"/>
  </r>
  <r>
    <s v="BITS"/>
    <x v="0"/>
    <n v="1"/>
    <x v="7"/>
    <x v="2"/>
    <n v="126436"/>
    <s v="Gadus morhua"/>
    <n v="0"/>
    <n v="0"/>
    <n v="0"/>
    <n v="0"/>
    <n v="0"/>
    <n v="0"/>
    <n v="0"/>
    <n v="0"/>
    <n v="0"/>
    <n v="0"/>
    <n v="0"/>
    <n v="20180423"/>
    <n v="0"/>
  </r>
  <r>
    <s v="BITS"/>
    <x v="1"/>
    <n v="1"/>
    <x v="0"/>
    <x v="0"/>
    <n v="126436"/>
    <s v="Gadus morhua"/>
    <n v="0"/>
    <n v="4.8406000000000002"/>
    <n v="7.2022000000000004"/>
    <n v="10.9849"/>
    <n v="0.68889999999999996"/>
    <n v="0"/>
    <n v="0"/>
    <n v="0"/>
    <n v="0"/>
    <n v="0"/>
    <n v="0"/>
    <n v="20190408"/>
    <n v="23.7166"/>
  </r>
  <r>
    <s v="BITS"/>
    <x v="1"/>
    <n v="1"/>
    <x v="0"/>
    <x v="1"/>
    <n v="126436"/>
    <s v="Gadus morhua"/>
    <n v="0"/>
    <n v="10.617100000000001"/>
    <n v="16.671700000000001"/>
    <n v="31.602799999999998"/>
    <n v="1.8083"/>
    <n v="0"/>
    <n v="0"/>
    <n v="0"/>
    <n v="0"/>
    <n v="0"/>
    <n v="0"/>
    <n v="20190408"/>
    <n v="60.6999"/>
  </r>
  <r>
    <s v="BITS"/>
    <x v="1"/>
    <n v="1"/>
    <x v="0"/>
    <x v="2"/>
    <n v="126436"/>
    <s v="Gadus morhua"/>
    <n v="0"/>
    <n v="49.6145"/>
    <n v="20.313700000000001"/>
    <n v="16.0793"/>
    <n v="2.2545000000000002"/>
    <n v="0.28179999999999999"/>
    <n v="0"/>
    <n v="0"/>
    <n v="0"/>
    <n v="0"/>
    <n v="0.38329999999999997"/>
    <n v="20190408"/>
    <n v="88.92710000000001"/>
  </r>
  <r>
    <s v="BITS"/>
    <x v="1"/>
    <n v="1"/>
    <x v="1"/>
    <x v="3"/>
    <n v="126436"/>
    <s v="Gadus morhua"/>
    <n v="0"/>
    <n v="13.276400000000001"/>
    <n v="51.0961"/>
    <n v="13.631500000000001"/>
    <n v="2.8363999999999998"/>
    <n v="2.0667"/>
    <n v="0.22140000000000001"/>
    <n v="0"/>
    <n v="0"/>
    <n v="0"/>
    <n v="0"/>
    <n v="20190408"/>
    <n v="83.128500000000003"/>
  </r>
  <r>
    <s v="BITS"/>
    <x v="1"/>
    <n v="1"/>
    <x v="1"/>
    <x v="2"/>
    <n v="126436"/>
    <s v="Gadus morhua"/>
    <n v="0"/>
    <n v="49.972900000000003"/>
    <n v="107.30889999999999"/>
    <n v="52.110900000000001"/>
    <n v="2.7061000000000002"/>
    <n v="0.86109999999999998"/>
    <n v="0"/>
    <n v="0"/>
    <n v="0"/>
    <n v="0"/>
    <n v="0"/>
    <n v="20190408"/>
    <n v="212.95989999999998"/>
  </r>
  <r>
    <s v="BITS"/>
    <x v="1"/>
    <n v="1"/>
    <x v="2"/>
    <x v="3"/>
    <n v="126436"/>
    <s v="Gadus morhua"/>
    <n v="0"/>
    <n v="533.33280000000002"/>
    <n v="1496.3154999999999"/>
    <n v="647.45870000000002"/>
    <n v="23.1235"/>
    <n v="0"/>
    <n v="0"/>
    <n v="0"/>
    <n v="0"/>
    <n v="0"/>
    <n v="0"/>
    <n v="20190408"/>
    <n v="2700.2305000000001"/>
  </r>
  <r>
    <s v="BITS"/>
    <x v="1"/>
    <n v="1"/>
    <x v="2"/>
    <x v="2"/>
    <n v="126436"/>
    <s v="Gadus morhua"/>
    <n v="0"/>
    <n v="59.103000000000002"/>
    <n v="718.74570000000006"/>
    <n v="588.96510000000001"/>
    <n v="6.3696999999999999"/>
    <n v="3.2132000000000001"/>
    <n v="0"/>
    <n v="0"/>
    <n v="0"/>
    <n v="0"/>
    <n v="0"/>
    <n v="20190408"/>
    <n v="1376.3966999999998"/>
  </r>
  <r>
    <s v="BITS"/>
    <x v="1"/>
    <n v="1"/>
    <x v="3"/>
    <x v="0"/>
    <n v="126436"/>
    <s v="Gadus morhua"/>
    <n v="0"/>
    <n v="190.60759999999999"/>
    <n v="1368.3439000000001"/>
    <n v="481.39269999999999"/>
    <n v="37.947200000000002"/>
    <n v="0.54149999999999998"/>
    <n v="1.0024999999999999"/>
    <n v="0.62919999999999998"/>
    <n v="0.8861"/>
    <n v="0"/>
    <n v="0"/>
    <n v="20190408"/>
    <n v="2081.3507"/>
  </r>
  <r>
    <s v="BITS"/>
    <x v="1"/>
    <n v="1"/>
    <x v="3"/>
    <x v="3"/>
    <n v="126436"/>
    <s v="Gadus morhua"/>
    <n v="0"/>
    <n v="20.4222"/>
    <n v="68.544399999999996"/>
    <n v="23.2957"/>
    <n v="2.3369"/>
    <n v="3.5200000000000002E-2"/>
    <n v="3.3700000000000001E-2"/>
    <n v="1.61E-2"/>
    <n v="3.3799999999999997E-2"/>
    <n v="0"/>
    <n v="0"/>
    <n v="20190408"/>
    <n v="114.71799999999999"/>
  </r>
  <r>
    <s v="BITS"/>
    <x v="1"/>
    <n v="1"/>
    <x v="3"/>
    <x v="2"/>
    <n v="126436"/>
    <s v="Gadus morhua"/>
    <n v="0"/>
    <n v="16.854700000000001"/>
    <n v="155"/>
    <n v="56.7042"/>
    <n v="4.9557000000000002"/>
    <n v="3.8800000000000001E-2"/>
    <n v="7.1900000000000006E-2"/>
    <n v="4.3099999999999999E-2"/>
    <n v="0.1464"/>
    <n v="0"/>
    <n v="0"/>
    <n v="20190408"/>
    <n v="233.81480000000002"/>
  </r>
  <r>
    <s v="BITS"/>
    <x v="1"/>
    <n v="1"/>
    <x v="4"/>
    <x v="0"/>
    <n v="126436"/>
    <s v="Gadus morhua"/>
    <n v="0"/>
    <n v="7.3840000000000003"/>
    <n v="457.92059999999998"/>
    <n v="705.32759999999996"/>
    <n v="175.63730000000001"/>
    <n v="19.660399999999999"/>
    <n v="3.4514999999999998"/>
    <n v="0.24529999999999999"/>
    <n v="0"/>
    <n v="3.6900000000000002E-2"/>
    <n v="0"/>
    <n v="20190408"/>
    <n v="1369.6636000000001"/>
  </r>
  <r>
    <s v="BITS"/>
    <x v="1"/>
    <n v="1"/>
    <x v="4"/>
    <x v="1"/>
    <n v="126436"/>
    <s v="Gadus morhua"/>
    <n v="0"/>
    <n v="5.0511999999999997"/>
    <n v="291.58499999999998"/>
    <n v="963.89750000000004"/>
    <n v="257.20089999999999"/>
    <n v="28.783100000000001"/>
    <n v="5.2507000000000001"/>
    <n v="0.3992"/>
    <n v="0"/>
    <n v="7.3700000000000002E-2"/>
    <n v="0"/>
    <n v="20190408"/>
    <n v="1552.2413000000001"/>
  </r>
  <r>
    <s v="BITS"/>
    <x v="1"/>
    <n v="1"/>
    <x v="4"/>
    <x v="4"/>
    <n v="126436"/>
    <s v="Gadus morhua"/>
    <n v="0"/>
    <n v="2.1696"/>
    <n v="167.54849999999999"/>
    <n v="1315.5862"/>
    <n v="523.35209999999995"/>
    <n v="60.651800000000001"/>
    <n v="11.006399999999999"/>
    <n v="0.74470000000000003"/>
    <n v="0"/>
    <n v="8.6400000000000005E-2"/>
    <n v="0"/>
    <n v="20190408"/>
    <n v="2081.1457000000005"/>
  </r>
  <r>
    <s v="BITS"/>
    <x v="1"/>
    <n v="1"/>
    <x v="4"/>
    <x v="2"/>
    <n v="126436"/>
    <s v="Gadus morhua"/>
    <n v="0"/>
    <n v="0.26669999999999999"/>
    <n v="27.854900000000001"/>
    <n v="444.97579999999999"/>
    <n v="143.4769"/>
    <n v="11.801299999999999"/>
    <n v="1.7272000000000001"/>
    <n v="0.1638"/>
    <n v="0"/>
    <n v="0"/>
    <n v="0"/>
    <n v="20190408"/>
    <n v="630.26660000000004"/>
  </r>
  <r>
    <s v="BITS"/>
    <x v="1"/>
    <n v="1"/>
    <x v="5"/>
    <x v="0"/>
    <n v="126436"/>
    <s v="Gadus morhua"/>
    <n v="0"/>
    <n v="9.0599000000000007"/>
    <n v="120.7118"/>
    <n v="384.8682"/>
    <n v="212.82929999999999"/>
    <n v="80.514200000000002"/>
    <n v="12.724600000000001"/>
    <n v="3.3319000000000001"/>
    <n v="0.74399999999999999"/>
    <n v="0"/>
    <n v="0"/>
    <n v="20190408"/>
    <n v="824.78390000000002"/>
  </r>
  <r>
    <s v="BITS"/>
    <x v="1"/>
    <n v="1"/>
    <x v="5"/>
    <x v="1"/>
    <n v="126436"/>
    <s v="Gadus morhua"/>
    <n v="0"/>
    <n v="4.5923999999999996"/>
    <n v="84.491399999999999"/>
    <n v="185.47900000000001"/>
    <n v="103.0467"/>
    <n v="36.942399999999999"/>
    <n v="5.7817999999999996"/>
    <n v="1.9133"/>
    <n v="0.29409999999999997"/>
    <n v="0"/>
    <n v="0"/>
    <n v="20190408"/>
    <n v="422.54110000000003"/>
  </r>
  <r>
    <s v="BITS"/>
    <x v="1"/>
    <n v="1"/>
    <x v="5"/>
    <x v="4"/>
    <n v="126436"/>
    <s v="Gadus morhua"/>
    <n v="0"/>
    <n v="1.0545"/>
    <n v="59.8919"/>
    <n v="187.09700000000001"/>
    <n v="109.0159"/>
    <n v="38.962899999999998"/>
    <n v="6.3720999999999997"/>
    <n v="1.6055999999999999"/>
    <n v="0.1"/>
    <n v="0.1"/>
    <n v="0"/>
    <n v="20190408"/>
    <n v="404.19990000000001"/>
  </r>
  <r>
    <s v="BITS"/>
    <x v="1"/>
    <n v="1"/>
    <x v="5"/>
    <x v="5"/>
    <n v="126436"/>
    <s v="Gadus morhua"/>
    <n v="0"/>
    <n v="0.71430000000000005"/>
    <n v="22.894200000000001"/>
    <n v="140.69829999999999"/>
    <n v="78.5261"/>
    <n v="33.675899999999999"/>
    <n v="4.9329999999999998"/>
    <n v="1.3915"/>
    <n v="0.33329999999999999"/>
    <n v="0.16669999999999999"/>
    <n v="0"/>
    <n v="20190408"/>
    <n v="283.33330000000001"/>
  </r>
  <r>
    <s v="BITS"/>
    <x v="1"/>
    <n v="1"/>
    <x v="5"/>
    <x v="6"/>
    <n v="126436"/>
    <s v="Gadus morhua"/>
    <n v="0"/>
    <n v="3.5"/>
    <n v="29.214400000000001"/>
    <n v="179.65520000000001"/>
    <n v="118.23220000000001"/>
    <n v="59.0488"/>
    <n v="13.455299999999999"/>
    <n v="2.8940000000000001"/>
    <n v="0"/>
    <n v="0"/>
    <n v="0"/>
    <n v="20190408"/>
    <n v="405.99990000000008"/>
  </r>
  <r>
    <s v="BITS"/>
    <x v="1"/>
    <n v="1"/>
    <x v="5"/>
    <x v="2"/>
    <n v="126436"/>
    <s v="Gadus morhua"/>
    <n v="0"/>
    <n v="14.6778"/>
    <n v="31.812899999999999"/>
    <n v="73.534400000000005"/>
    <n v="41.125700000000002"/>
    <n v="14.273899999999999"/>
    <n v="2.2382"/>
    <n v="0.75919999999999999"/>
    <n v="0"/>
    <n v="0"/>
    <n v="0"/>
    <n v="20190408"/>
    <n v="178.4221"/>
  </r>
  <r>
    <s v="BITS"/>
    <x v="1"/>
    <n v="1"/>
    <x v="6"/>
    <x v="1"/>
    <n v="126436"/>
    <s v="Gadus morhua"/>
    <n v="0"/>
    <n v="0"/>
    <n v="0.8"/>
    <n v="0.2"/>
    <n v="0"/>
    <n v="0.5"/>
    <n v="0"/>
    <n v="0"/>
    <n v="0"/>
    <n v="0"/>
    <n v="0"/>
    <n v="20190408"/>
    <n v="1.5"/>
  </r>
  <r>
    <s v="BITS"/>
    <x v="1"/>
    <n v="1"/>
    <x v="6"/>
    <x v="4"/>
    <n v="126436"/>
    <s v="Gadus morhua"/>
    <n v="0"/>
    <n v="0"/>
    <n v="0"/>
    <n v="0"/>
    <n v="0"/>
    <n v="0"/>
    <n v="0"/>
    <n v="0"/>
    <n v="0"/>
    <n v="0"/>
    <n v="0"/>
    <n v="20190408"/>
    <n v="0"/>
  </r>
  <r>
    <s v="BITS"/>
    <x v="1"/>
    <n v="1"/>
    <x v="6"/>
    <x v="5"/>
    <n v="126436"/>
    <s v="Gadus morhua"/>
    <n v="0"/>
    <n v="0"/>
    <n v="0"/>
    <n v="0"/>
    <n v="0"/>
    <n v="0"/>
    <n v="0"/>
    <n v="0"/>
    <n v="0"/>
    <n v="0"/>
    <n v="0"/>
    <n v="20190408"/>
    <n v="0"/>
  </r>
  <r>
    <s v="BITS"/>
    <x v="1"/>
    <n v="1"/>
    <x v="7"/>
    <x v="0"/>
    <n v="126436"/>
    <s v="Gadus morhua"/>
    <n v="0"/>
    <n v="2"/>
    <n v="15.977600000000001"/>
    <n v="25.257200000000001"/>
    <n v="9.4143000000000008"/>
    <n v="1.7476"/>
    <n v="0.23810000000000001"/>
    <n v="0.22220000000000001"/>
    <n v="0"/>
    <n v="0"/>
    <n v="0"/>
    <n v="20190408"/>
    <n v="54.857000000000006"/>
  </r>
  <r>
    <s v="BITS"/>
    <x v="1"/>
    <n v="1"/>
    <x v="7"/>
    <x v="1"/>
    <n v="126436"/>
    <s v="Gadus morhua"/>
    <n v="0"/>
    <n v="0.36359999999999998"/>
    <n v="18.884799999999998"/>
    <n v="30.355599999999999"/>
    <n v="14.0657"/>
    <n v="3.7368000000000001"/>
    <n v="0.73480000000000001"/>
    <n v="0.40400000000000003"/>
    <n v="0"/>
    <n v="0"/>
    <n v="0"/>
    <n v="20190408"/>
    <n v="68.545299999999997"/>
  </r>
  <r>
    <s v="BITS"/>
    <x v="1"/>
    <n v="1"/>
    <x v="7"/>
    <x v="4"/>
    <n v="126436"/>
    <s v="Gadus morhua"/>
    <n v="0"/>
    <n v="0"/>
    <n v="0.42920000000000003"/>
    <n v="1.7442"/>
    <n v="1.0093000000000001"/>
    <n v="0.65059999999999996"/>
    <n v="0.25"/>
    <n v="0.16669999999999999"/>
    <n v="0"/>
    <n v="0"/>
    <n v="0"/>
    <n v="20190408"/>
    <n v="4.2499999999999991"/>
  </r>
  <r>
    <s v="BITS"/>
    <x v="1"/>
    <n v="1"/>
    <x v="7"/>
    <x v="2"/>
    <n v="126436"/>
    <s v="Gadus morhua"/>
    <n v="0"/>
    <n v="0"/>
    <n v="0.1111"/>
    <n v="1.8889"/>
    <n v="2"/>
    <n v="1"/>
    <n v="0.33329999999999999"/>
    <n v="0"/>
    <n v="0"/>
    <n v="0"/>
    <n v="0"/>
    <n v="20190408"/>
    <n v="5.3333000000000004"/>
  </r>
  <r>
    <s v="BITS"/>
    <x v="2"/>
    <n v="1"/>
    <x v="0"/>
    <x v="0"/>
    <n v="126436"/>
    <s v="Gadus morhua"/>
    <n v="0"/>
    <n v="5.5E-2"/>
    <n v="0.58069999999999999"/>
    <n v="1.0543"/>
    <n v="7.7100000000000002E-2"/>
    <n v="0.10290000000000001"/>
    <n v="0"/>
    <n v="0"/>
    <n v="0"/>
    <n v="0"/>
    <n v="0"/>
    <n v="20190103"/>
    <n v="1.8699999999999999"/>
  </r>
  <r>
    <s v="BITS"/>
    <x v="2"/>
    <n v="1"/>
    <x v="0"/>
    <x v="1"/>
    <n v="126436"/>
    <s v="Gadus morhua"/>
    <n v="0"/>
    <n v="0"/>
    <n v="4.18"/>
    <n v="0"/>
    <n v="0"/>
    <n v="0"/>
    <n v="0"/>
    <n v="0"/>
    <n v="0"/>
    <n v="0"/>
    <n v="0"/>
    <n v="20190103"/>
    <n v="4.18"/>
  </r>
  <r>
    <s v="BITS"/>
    <x v="2"/>
    <n v="1"/>
    <x v="0"/>
    <x v="2"/>
    <n v="126436"/>
    <s v="Gadus morhua"/>
    <n v="0"/>
    <n v="1.5024"/>
    <n v="5.9086999999999996"/>
    <n v="1.3263"/>
    <n v="3.9020000000000001"/>
    <n v="2.3565"/>
    <n v="9.7900000000000001E-2"/>
    <n v="5.0799999999999998E-2"/>
    <n v="0"/>
    <n v="0"/>
    <n v="0"/>
    <n v="20190103"/>
    <n v="15.144599999999999"/>
  </r>
  <r>
    <s v="BITS"/>
    <x v="2"/>
    <n v="1"/>
    <x v="1"/>
    <x v="3"/>
    <n v="126436"/>
    <s v="Gadus morhua"/>
    <n v="0"/>
    <n v="0.3831"/>
    <n v="1.1472"/>
    <n v="0.22509999999999999"/>
    <n v="1.2217"/>
    <n v="0.40660000000000002"/>
    <n v="0.20349999999999999"/>
    <n v="0"/>
    <n v="0"/>
    <n v="0"/>
    <n v="0"/>
    <n v="20190103"/>
    <n v="3.5872000000000002"/>
  </r>
  <r>
    <s v="BITS"/>
    <x v="2"/>
    <n v="1"/>
    <x v="1"/>
    <x v="2"/>
    <n v="126436"/>
    <s v="Gadus morhua"/>
    <n v="0"/>
    <n v="0.43219999999999997"/>
    <n v="8.3065999999999995"/>
    <n v="16.882200000000001"/>
    <n v="4.3868999999999998"/>
    <n v="1.0607"/>
    <n v="0.26640000000000003"/>
    <n v="2.75E-2"/>
    <n v="0"/>
    <n v="0"/>
    <n v="0"/>
    <n v="20190103"/>
    <n v="31.362500000000004"/>
  </r>
  <r>
    <s v="BITS"/>
    <x v="2"/>
    <n v="1"/>
    <x v="2"/>
    <x v="3"/>
    <n v="126436"/>
    <s v="Gadus morhua"/>
    <n v="0"/>
    <n v="0"/>
    <n v="107.9218"/>
    <n v="89.459800000000001"/>
    <n v="45.296799999999998"/>
    <n v="3.9308000000000001"/>
    <n v="0"/>
    <n v="0"/>
    <n v="0"/>
    <n v="0"/>
    <n v="0"/>
    <n v="20190103"/>
    <n v="246.60919999999999"/>
  </r>
  <r>
    <s v="BITS"/>
    <x v="2"/>
    <n v="1"/>
    <x v="2"/>
    <x v="2"/>
    <n v="126436"/>
    <s v="Gadus morhua"/>
    <n v="0"/>
    <n v="0"/>
    <n v="1.5732999999999999"/>
    <n v="1.4"/>
    <n v="5.9226999999999999"/>
    <n v="3.3239999999999998"/>
    <n v="0"/>
    <n v="0"/>
    <n v="0"/>
    <n v="0"/>
    <n v="0"/>
    <n v="20190103"/>
    <n v="12.22"/>
  </r>
  <r>
    <s v="BITS"/>
    <x v="2"/>
    <n v="1"/>
    <x v="3"/>
    <x v="0"/>
    <n v="126436"/>
    <s v="Gadus morhua"/>
    <n v="0"/>
    <n v="4.1344000000000003"/>
    <n v="0"/>
    <n v="742.44100000000003"/>
    <n v="469.57499999999999"/>
    <n v="0"/>
    <n v="0"/>
    <n v="0"/>
    <n v="0"/>
    <n v="0"/>
    <n v="0"/>
    <n v="20190103"/>
    <n v="1216.1504"/>
  </r>
  <r>
    <s v="BITS"/>
    <x v="2"/>
    <n v="1"/>
    <x v="3"/>
    <x v="3"/>
    <n v="126436"/>
    <s v="Gadus morhua"/>
    <n v="0"/>
    <n v="0"/>
    <n v="0"/>
    <n v="18.312000000000001"/>
    <n v="26.16"/>
    <n v="0"/>
    <n v="0"/>
    <n v="0"/>
    <n v="0"/>
    <n v="0"/>
    <n v="0"/>
    <n v="20190103"/>
    <n v="44.472000000000001"/>
  </r>
  <r>
    <s v="BITS"/>
    <x v="2"/>
    <n v="1"/>
    <x v="3"/>
    <x v="2"/>
    <n v="126436"/>
    <s v="Gadus morhua"/>
    <n v="0"/>
    <n v="0.73329999999999995"/>
    <n v="0"/>
    <n v="211.8587"/>
    <n v="116.2617"/>
    <n v="0"/>
    <n v="0"/>
    <n v="0"/>
    <n v="0"/>
    <n v="0"/>
    <n v="0"/>
    <n v="20190103"/>
    <n v="328.8537"/>
  </r>
  <r>
    <s v="BITS"/>
    <x v="2"/>
    <n v="1"/>
    <x v="4"/>
    <x v="0"/>
    <n v="126436"/>
    <s v="Gadus morhua"/>
    <n v="0"/>
    <n v="14.610099999999999"/>
    <n v="812.86019999999996"/>
    <n v="1006.7113000000001"/>
    <n v="409.51100000000002"/>
    <n v="44.914200000000001"/>
    <n v="3.1815000000000002"/>
    <n v="0.83560000000000001"/>
    <n v="0.41049999999999998"/>
    <n v="0"/>
    <n v="0"/>
    <n v="20190103"/>
    <n v="2293.0344"/>
  </r>
  <r>
    <s v="BITS"/>
    <x v="2"/>
    <n v="1"/>
    <x v="4"/>
    <x v="1"/>
    <n v="126436"/>
    <s v="Gadus morhua"/>
    <n v="0"/>
    <n v="2.4045000000000001"/>
    <n v="471.30650000000003"/>
    <n v="741.42529999999999"/>
    <n v="337.77870000000001"/>
    <n v="31.090299999999999"/>
    <n v="1.7542"/>
    <n v="0.63129999999999997"/>
    <n v="0.16089999999999999"/>
    <n v="0"/>
    <n v="0"/>
    <n v="20190103"/>
    <n v="1586.5517000000004"/>
  </r>
  <r>
    <s v="BITS"/>
    <x v="2"/>
    <n v="1"/>
    <x v="4"/>
    <x v="4"/>
    <n v="126436"/>
    <s v="Gadus morhua"/>
    <n v="0"/>
    <n v="0.13070000000000001"/>
    <n v="102.55110000000001"/>
    <n v="559.52139999999997"/>
    <n v="372.16989999999998"/>
    <n v="37.121099999999998"/>
    <n v="2.1522000000000001"/>
    <n v="0.94920000000000004"/>
    <n v="0.4103"/>
    <n v="0"/>
    <n v="0"/>
    <n v="20190103"/>
    <n v="1075.0058999999999"/>
  </r>
  <r>
    <s v="BITS"/>
    <x v="2"/>
    <n v="1"/>
    <x v="4"/>
    <x v="2"/>
    <n v="126436"/>
    <s v="Gadus morhua"/>
    <n v="0"/>
    <n v="0.33329999999999999"/>
    <n v="7.6231"/>
    <n v="169.2835"/>
    <n v="149.62690000000001"/>
    <n v="13.964700000000001"/>
    <n v="0.74009999999999998"/>
    <n v="0.20619999999999999"/>
    <n v="5.5599999999999997E-2"/>
    <n v="0"/>
    <n v="0"/>
    <n v="20190103"/>
    <n v="341.83340000000004"/>
  </r>
  <r>
    <s v="BITS"/>
    <x v="2"/>
    <n v="1"/>
    <x v="5"/>
    <x v="0"/>
    <n v="126436"/>
    <s v="Gadus morhua"/>
    <n v="0"/>
    <n v="13.537699999999999"/>
    <n v="54.408099999999997"/>
    <n v="102.5322"/>
    <n v="75.475399999999993"/>
    <n v="40.125399999999999"/>
    <n v="10.2691"/>
    <n v="0.92120000000000002"/>
    <n v="0.1"/>
    <n v="9.0899999999999995E-2"/>
    <n v="0"/>
    <n v="20190103"/>
    <n v="297.45999999999998"/>
  </r>
  <r>
    <s v="BITS"/>
    <x v="2"/>
    <n v="1"/>
    <x v="5"/>
    <x v="1"/>
    <n v="126436"/>
    <s v="Gadus morhua"/>
    <n v="0"/>
    <n v="2.8618999999999999"/>
    <n v="327.18650000000002"/>
    <n v="233.5667"/>
    <n v="117.6147"/>
    <n v="64.657200000000003"/>
    <n v="13.1927"/>
    <n v="0.62929999999999997"/>
    <n v="0"/>
    <n v="0.1885"/>
    <n v="0"/>
    <n v="20190103"/>
    <n v="759.89749999999981"/>
  </r>
  <r>
    <s v="BITS"/>
    <x v="2"/>
    <n v="1"/>
    <x v="5"/>
    <x v="4"/>
    <n v="126436"/>
    <s v="Gadus morhua"/>
    <n v="0"/>
    <n v="1.6783999999999999"/>
    <n v="198.06880000000001"/>
    <n v="443.61759999999998"/>
    <n v="251.4913"/>
    <n v="145.65379999999999"/>
    <n v="28.7454"/>
    <n v="1.4291"/>
    <n v="0"/>
    <n v="0.25669999999999998"/>
    <n v="0"/>
    <n v="20190103"/>
    <n v="1070.9411"/>
  </r>
  <r>
    <s v="BITS"/>
    <x v="2"/>
    <n v="1"/>
    <x v="5"/>
    <x v="5"/>
    <n v="126436"/>
    <s v="Gadus morhua"/>
    <n v="0"/>
    <n v="0"/>
    <n v="18.069299999999998"/>
    <n v="138.49160000000001"/>
    <n v="98.906099999999995"/>
    <n v="65.174599999999998"/>
    <n v="13.7912"/>
    <n v="2.4763000000000002"/>
    <n v="0.25"/>
    <n v="9.0899999999999995E-2"/>
    <n v="0"/>
    <n v="20190103"/>
    <n v="337.24999999999994"/>
  </r>
  <r>
    <s v="BITS"/>
    <x v="2"/>
    <n v="1"/>
    <x v="5"/>
    <x v="6"/>
    <n v="126436"/>
    <s v="Gadus morhua"/>
    <n v="0"/>
    <n v="0"/>
    <n v="109.0431"/>
    <n v="602.68769999999995"/>
    <n v="503.12009999999998"/>
    <n v="297.65710000000001"/>
    <n v="80.775700000000001"/>
    <n v="8.3526000000000007"/>
    <n v="0"/>
    <n v="2.3635999999999999"/>
    <n v="0"/>
    <n v="20190103"/>
    <n v="1603.9998999999996"/>
  </r>
  <r>
    <s v="BITS"/>
    <x v="2"/>
    <n v="1"/>
    <x v="5"/>
    <x v="2"/>
    <n v="126436"/>
    <s v="Gadus morhua"/>
    <n v="0"/>
    <n v="2.5295999999999998"/>
    <n v="44.688200000000002"/>
    <n v="54.451700000000002"/>
    <n v="28.580500000000001"/>
    <n v="13.0739"/>
    <n v="3.5303"/>
    <n v="0.23860000000000001"/>
    <n v="0"/>
    <n v="4.0399999999999998E-2"/>
    <n v="0"/>
    <n v="20190103"/>
    <n v="147.13320000000002"/>
  </r>
  <r>
    <s v="BITS"/>
    <x v="2"/>
    <n v="1"/>
    <x v="6"/>
    <x v="1"/>
    <n v="126436"/>
    <s v="Gadus morhua"/>
    <n v="0"/>
    <n v="0"/>
    <n v="18.083300000000001"/>
    <n v="15.333299999999999"/>
    <n v="5.5833000000000004"/>
    <n v="1"/>
    <n v="0"/>
    <n v="0"/>
    <n v="0"/>
    <n v="0"/>
    <n v="0"/>
    <n v="20190103"/>
    <n v="39.999900000000004"/>
  </r>
  <r>
    <s v="BITS"/>
    <x v="2"/>
    <n v="1"/>
    <x v="6"/>
    <x v="4"/>
    <n v="126436"/>
    <s v="Gadus morhua"/>
    <n v="0"/>
    <n v="0"/>
    <n v="0"/>
    <n v="0"/>
    <n v="0"/>
    <n v="0"/>
    <n v="0"/>
    <n v="0"/>
    <n v="0"/>
    <n v="0"/>
    <n v="0"/>
    <n v="20190103"/>
    <n v="0"/>
  </r>
  <r>
    <s v="BITS"/>
    <x v="2"/>
    <n v="1"/>
    <x v="6"/>
    <x v="5"/>
    <n v="126436"/>
    <s v="Gadus morhua"/>
    <n v="0"/>
    <n v="0"/>
    <n v="0"/>
    <n v="0"/>
    <n v="0"/>
    <n v="0"/>
    <n v="0"/>
    <n v="0"/>
    <n v="0"/>
    <n v="0"/>
    <n v="0"/>
    <n v="20190103"/>
    <n v="0"/>
  </r>
  <r>
    <s v="BITS"/>
    <x v="2"/>
    <n v="1"/>
    <x v="7"/>
    <x v="0"/>
    <n v="126436"/>
    <s v="Gadus morhua"/>
    <n v="0"/>
    <n v="1"/>
    <n v="4.1666999999999996"/>
    <n v="3"/>
    <n v="0.83330000000000004"/>
    <n v="0"/>
    <n v="0"/>
    <n v="0"/>
    <n v="0"/>
    <n v="0"/>
    <n v="0"/>
    <n v="20190103"/>
    <n v="8.9999999999999982"/>
  </r>
  <r>
    <s v="BITS"/>
    <x v="2"/>
    <n v="1"/>
    <x v="7"/>
    <x v="1"/>
    <n v="126436"/>
    <s v="Gadus morhua"/>
    <n v="0"/>
    <n v="0.44440000000000002"/>
    <n v="18.555499999999999"/>
    <n v="7.0369999999999999"/>
    <n v="3.6295999999999999"/>
    <n v="2.2222"/>
    <n v="1"/>
    <n v="0"/>
    <n v="0"/>
    <n v="0"/>
    <n v="0"/>
    <n v="20190103"/>
    <n v="32.8887"/>
  </r>
  <r>
    <s v="BITS"/>
    <x v="2"/>
    <n v="1"/>
    <x v="7"/>
    <x v="4"/>
    <n v="126436"/>
    <s v="Gadus morhua"/>
    <n v="0"/>
    <n v="0"/>
    <n v="0.57140000000000002"/>
    <n v="1.6667000000000001"/>
    <n v="0.85709999999999997"/>
    <n v="0"/>
    <n v="0.33329999999999999"/>
    <n v="0"/>
    <n v="0"/>
    <n v="0"/>
    <n v="0"/>
    <n v="20190103"/>
    <n v="3.4285000000000001"/>
  </r>
  <r>
    <s v="BITS"/>
    <x v="2"/>
    <n v="1"/>
    <x v="7"/>
    <x v="2"/>
    <n v="126436"/>
    <s v="Gadus morhua"/>
    <n v="0"/>
    <n v="0.33329999999999999"/>
    <n v="0.58330000000000004"/>
    <n v="0.91669999999999996"/>
    <n v="0.38890000000000002"/>
    <n v="0.55559999999999998"/>
    <n v="0.22220000000000001"/>
    <n v="0"/>
    <n v="0"/>
    <n v="0"/>
    <n v="0"/>
    <n v="20190103"/>
    <n v="3"/>
  </r>
  <r>
    <s v="BITS"/>
    <x v="3"/>
    <n v="1"/>
    <x v="0"/>
    <x v="0"/>
    <n v="126436"/>
    <s v="Gadus morhua"/>
    <n v="0"/>
    <n v="13.4221"/>
    <n v="0.76449999999999996"/>
    <n v="0"/>
    <n v="0.40949999999999998"/>
    <n v="7.0499999999999993E-2"/>
    <n v="0"/>
    <n v="0"/>
    <n v="0"/>
    <n v="0"/>
    <n v="0"/>
    <n v="20180408"/>
    <n v="14.666599999999999"/>
  </r>
  <r>
    <s v="BITS"/>
    <x v="3"/>
    <n v="1"/>
    <x v="0"/>
    <x v="1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3"/>
    <n v="1"/>
    <x v="0"/>
    <x v="4"/>
    <n v="126436"/>
    <s v="Gadus morhua"/>
    <n v="0"/>
    <n v="174.059"/>
    <n v="4.681"/>
    <n v="0"/>
    <n v="0.88"/>
    <n v="0"/>
    <n v="0"/>
    <n v="0"/>
    <n v="0"/>
    <n v="0"/>
    <n v="0"/>
    <n v="20180408"/>
    <n v="179.62"/>
  </r>
  <r>
    <s v="BITS"/>
    <x v="3"/>
    <n v="1"/>
    <x v="0"/>
    <x v="2"/>
    <n v="126436"/>
    <s v="Gadus morhua"/>
    <n v="0"/>
    <n v="57.772100000000002"/>
    <n v="2.3443000000000001"/>
    <n v="1.9028"/>
    <n v="4.4630000000000001"/>
    <n v="2.2658999999999998"/>
    <n v="0.48709999999999998"/>
    <n v="0"/>
    <n v="0"/>
    <n v="0"/>
    <n v="0"/>
    <n v="20180408"/>
    <n v="69.235199999999992"/>
  </r>
  <r>
    <s v="BITS"/>
    <x v="3"/>
    <n v="1"/>
    <x v="1"/>
    <x v="3"/>
    <n v="126436"/>
    <s v="Gadus morhua"/>
    <n v="0"/>
    <n v="68.134100000000004"/>
    <n v="2.1372"/>
    <n v="6.7210999999999999"/>
    <n v="1.0707"/>
    <n v="0.33210000000000001"/>
    <n v="0"/>
    <n v="0"/>
    <n v="0"/>
    <n v="0"/>
    <n v="0"/>
    <n v="20180408"/>
    <n v="78.395200000000003"/>
  </r>
  <r>
    <s v="BITS"/>
    <x v="3"/>
    <n v="1"/>
    <x v="1"/>
    <x v="2"/>
    <n v="126436"/>
    <s v="Gadus morhua"/>
    <n v="0"/>
    <n v="135.79679999999999"/>
    <n v="6.0438999999999998"/>
    <n v="22.678599999999999"/>
    <n v="8.7973999999999997"/>
    <n v="4.6131000000000002"/>
    <n v="0.56899999999999995"/>
    <n v="0.39369999999999999"/>
    <n v="0.32669999999999999"/>
    <n v="0"/>
    <n v="0"/>
    <n v="20180408"/>
    <n v="179.21919999999997"/>
  </r>
  <r>
    <s v="BITS"/>
    <x v="3"/>
    <n v="1"/>
    <x v="2"/>
    <x v="3"/>
    <n v="126436"/>
    <s v="Gadus morhua"/>
    <n v="0"/>
    <n v="131.1062"/>
    <n v="110.14449999999999"/>
    <n v="291.92360000000002"/>
    <n v="42.302100000000003"/>
    <n v="3.0196000000000001"/>
    <n v="0"/>
    <n v="0"/>
    <n v="0"/>
    <n v="0"/>
    <n v="0"/>
    <n v="20180408"/>
    <n v="578.49599999999998"/>
  </r>
  <r>
    <s v="BITS"/>
    <x v="3"/>
    <n v="1"/>
    <x v="2"/>
    <x v="2"/>
    <n v="126436"/>
    <s v="Gadus morhua"/>
    <n v="0"/>
    <n v="35.948900000000002"/>
    <n v="29.102799999999998"/>
    <n v="108.0309"/>
    <n v="10.6774"/>
    <n v="1.94"/>
    <n v="0.22"/>
    <n v="0"/>
    <n v="0"/>
    <n v="0"/>
    <n v="0"/>
    <n v="20180408"/>
    <n v="185.92000000000002"/>
  </r>
  <r>
    <s v="BITS"/>
    <x v="3"/>
    <n v="1"/>
    <x v="3"/>
    <x v="0"/>
    <n v="126436"/>
    <s v="Gadus morhua"/>
    <n v="0"/>
    <n v="23.805599999999998"/>
    <n v="380.62869999999998"/>
    <n v="428.47399999999999"/>
    <n v="253.33359999999999"/>
    <n v="102.0153"/>
    <n v="11.2552"/>
    <n v="3.5167999999999999"/>
    <n v="0"/>
    <n v="0"/>
    <n v="0"/>
    <n v="20180408"/>
    <n v="1203.0292000000002"/>
  </r>
  <r>
    <s v="BITS"/>
    <x v="3"/>
    <n v="1"/>
    <x v="3"/>
    <x v="3"/>
    <n v="126436"/>
    <s v="Gadus morhua"/>
    <n v="0"/>
    <n v="53.046199999999999"/>
    <n v="53.099499999999999"/>
    <n v="11.5084"/>
    <n v="10.421900000000001"/>
    <n v="10.348100000000001"/>
    <n v="1.2068000000000001"/>
    <n v="0.36899999999999999"/>
    <n v="0"/>
    <n v="0"/>
    <n v="0"/>
    <n v="20180408"/>
    <n v="139.99989999999997"/>
  </r>
  <r>
    <s v="BITS"/>
    <x v="3"/>
    <n v="1"/>
    <x v="3"/>
    <x v="2"/>
    <n v="126436"/>
    <s v="Gadus morhua"/>
    <n v="0"/>
    <n v="50.02"/>
    <n v="172.2311"/>
    <n v="126.18989999999999"/>
    <n v="85.375799999999998"/>
    <n v="30.677199999999999"/>
    <n v="2.7296"/>
    <n v="0.8911"/>
    <n v="0"/>
    <n v="0"/>
    <n v="0"/>
    <n v="20180408"/>
    <n v="468.11470000000003"/>
  </r>
  <r>
    <s v="BITS"/>
    <x v="3"/>
    <n v="1"/>
    <x v="4"/>
    <x v="0"/>
    <n v="126436"/>
    <s v="Gadus morhua"/>
    <n v="0"/>
    <n v="37.144599999999997"/>
    <n v="254.0686"/>
    <n v="294.06970000000001"/>
    <n v="110.0476"/>
    <n v="25.7605"/>
    <n v="4.1820000000000004"/>
    <n v="0.45040000000000002"/>
    <n v="6.0299999999999999E-2"/>
    <n v="0"/>
    <n v="0"/>
    <n v="20180408"/>
    <n v="725.78369999999995"/>
  </r>
  <r>
    <s v="BITS"/>
    <x v="3"/>
    <n v="1"/>
    <x v="4"/>
    <x v="1"/>
    <n v="126436"/>
    <s v="Gadus morhua"/>
    <n v="0"/>
    <n v="17.157800000000002"/>
    <n v="201.4282"/>
    <n v="416.49130000000002"/>
    <n v="220.46019999999999"/>
    <n v="51.317900000000002"/>
    <n v="8.2119"/>
    <n v="0.50670000000000004"/>
    <n v="5.2299999999999999E-2"/>
    <n v="0"/>
    <n v="0"/>
    <n v="20180408"/>
    <n v="915.62630000000001"/>
  </r>
  <r>
    <s v="BITS"/>
    <x v="3"/>
    <n v="1"/>
    <x v="4"/>
    <x v="4"/>
    <n v="126436"/>
    <s v="Gadus morhua"/>
    <n v="0"/>
    <n v="0.71809999999999996"/>
    <n v="49.7209"/>
    <n v="276.5514"/>
    <n v="236.6474"/>
    <n v="69.703800000000001"/>
    <n v="12.2803"/>
    <n v="0.97399999999999998"/>
    <n v="0.27750000000000002"/>
    <n v="0"/>
    <n v="0"/>
    <n v="20180408"/>
    <n v="646.87340000000006"/>
  </r>
  <r>
    <s v="BITS"/>
    <x v="3"/>
    <n v="1"/>
    <x v="4"/>
    <x v="2"/>
    <n v="126436"/>
    <s v="Gadus morhua"/>
    <n v="0"/>
    <n v="6.9603999999999999"/>
    <n v="12.3203"/>
    <n v="84.109700000000004"/>
    <n v="59.264800000000001"/>
    <n v="11.2986"/>
    <n v="1.6085"/>
    <n v="4.7600000000000003E-2"/>
    <n v="3.3000000000000002E-2"/>
    <n v="0"/>
    <n v="0"/>
    <n v="20180408"/>
    <n v="175.64289999999997"/>
  </r>
  <r>
    <s v="BITS"/>
    <x v="3"/>
    <n v="1"/>
    <x v="5"/>
    <x v="0"/>
    <n v="126436"/>
    <s v="Gadus morhua"/>
    <n v="0"/>
    <n v="27.425899999999999"/>
    <n v="14.7864"/>
    <n v="11.2788"/>
    <n v="10.477"/>
    <n v="8.1727000000000007"/>
    <n v="4.0989000000000004"/>
    <n v="0.85919999999999996"/>
    <n v="0.1915"/>
    <n v="5.9499999999999997E-2"/>
    <n v="0"/>
    <n v="20180408"/>
    <n v="77.349900000000019"/>
  </r>
  <r>
    <s v="BITS"/>
    <x v="3"/>
    <n v="1"/>
    <x v="5"/>
    <x v="1"/>
    <n v="126436"/>
    <s v="Gadus morhua"/>
    <n v="0"/>
    <n v="10.585699999999999"/>
    <n v="54.021000000000001"/>
    <n v="141.5856"/>
    <n v="97.475999999999999"/>
    <n v="58.2913"/>
    <n v="25.4283"/>
    <n v="4.7241999999999997"/>
    <n v="0.61439999999999995"/>
    <n v="0.1333"/>
    <n v="0"/>
    <n v="20180408"/>
    <n v="392.85979999999995"/>
  </r>
  <r>
    <s v="BITS"/>
    <x v="3"/>
    <n v="1"/>
    <x v="5"/>
    <x v="4"/>
    <n v="126436"/>
    <s v="Gadus morhua"/>
    <n v="0"/>
    <n v="2.3313000000000001"/>
    <n v="27.597100000000001"/>
    <n v="166.80529999999999"/>
    <n v="132.39959999999999"/>
    <n v="81.6661"/>
    <n v="35.6935"/>
    <n v="5.2789000000000001"/>
    <n v="0.67679999999999996"/>
    <n v="0.14019999999999999"/>
    <n v="0"/>
    <n v="20180408"/>
    <n v="452.58879999999999"/>
  </r>
  <r>
    <s v="BITS"/>
    <x v="3"/>
    <n v="1"/>
    <x v="5"/>
    <x v="5"/>
    <n v="126436"/>
    <s v="Gadus morhua"/>
    <n v="0"/>
    <n v="6.2778"/>
    <n v="17.716899999999999"/>
    <n v="174.69149999999999"/>
    <n v="171.9461"/>
    <n v="126.551"/>
    <n v="52.028399999999998"/>
    <n v="10.0229"/>
    <n v="1.8369"/>
    <n v="0.17860000000000001"/>
    <n v="0"/>
    <n v="20180408"/>
    <n v="561.25009999999997"/>
  </r>
  <r>
    <s v="BITS"/>
    <x v="3"/>
    <n v="1"/>
    <x v="5"/>
    <x v="2"/>
    <n v="126436"/>
    <s v="Gadus morhua"/>
    <n v="0"/>
    <n v="13.7265"/>
    <n v="4.1921999999999997"/>
    <n v="6.4756999999999998"/>
    <n v="8.5493000000000006"/>
    <n v="7.7798999999999996"/>
    <n v="4.9507000000000003"/>
    <n v="0.9526"/>
    <n v="0.2762"/>
    <n v="9.6799999999999997E-2"/>
    <n v="0"/>
    <n v="20180408"/>
    <n v="46.999899999999997"/>
  </r>
  <r>
    <s v="BITS"/>
    <x v="3"/>
    <n v="1"/>
    <x v="6"/>
    <x v="0"/>
    <n v="126436"/>
    <s v="Gadus morhua"/>
    <n v="0"/>
    <n v="0"/>
    <n v="0"/>
    <n v="1"/>
    <n v="0"/>
    <n v="0"/>
    <n v="0"/>
    <n v="0"/>
    <n v="0"/>
    <n v="0"/>
    <n v="0"/>
    <n v="20180408"/>
    <n v="1"/>
  </r>
  <r>
    <s v="BITS"/>
    <x v="3"/>
    <n v="1"/>
    <x v="6"/>
    <x v="1"/>
    <n v="126436"/>
    <s v="Gadus morhua"/>
    <n v="0"/>
    <n v="0"/>
    <n v="0.16669999999999999"/>
    <n v="6.1238000000000001"/>
    <n v="2.2094999999999998"/>
    <n v="0.5"/>
    <n v="0"/>
    <n v="0"/>
    <n v="0"/>
    <n v="0"/>
    <n v="0"/>
    <n v="20180408"/>
    <n v="9"/>
  </r>
  <r>
    <s v="BITS"/>
    <x v="3"/>
    <n v="1"/>
    <x v="6"/>
    <x v="4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3"/>
    <n v="1"/>
    <x v="6"/>
    <x v="5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3"/>
    <n v="1"/>
    <x v="7"/>
    <x v="0"/>
    <n v="126436"/>
    <s v="Gadus morhua"/>
    <n v="0"/>
    <n v="3.6"/>
    <n v="1.2796000000000001"/>
    <n v="4.0728999999999997"/>
    <n v="3.6452"/>
    <n v="2.6675"/>
    <n v="0.80100000000000005"/>
    <n v="0.1157"/>
    <n v="0"/>
    <n v="1.8200000000000001E-2"/>
    <n v="0"/>
    <n v="20180408"/>
    <n v="16.200099999999999"/>
  </r>
  <r>
    <s v="BITS"/>
    <x v="3"/>
    <n v="1"/>
    <x v="7"/>
    <x v="1"/>
    <n v="126436"/>
    <s v="Gadus morhua"/>
    <n v="0"/>
    <n v="0"/>
    <n v="1.3229"/>
    <n v="5.3677000000000001"/>
    <n v="4.1722000000000001"/>
    <n v="2.92"/>
    <n v="1.2347999999999999"/>
    <n v="0.1641"/>
    <n v="0"/>
    <n v="1.8200000000000001E-2"/>
    <n v="0"/>
    <n v="20180408"/>
    <n v="15.1999"/>
  </r>
  <r>
    <s v="BITS"/>
    <x v="3"/>
    <n v="1"/>
    <x v="7"/>
    <x v="4"/>
    <n v="126436"/>
    <s v="Gadus morhua"/>
    <n v="0"/>
    <n v="0"/>
    <n v="48.4726"/>
    <n v="286.1026"/>
    <n v="155.45769999999999"/>
    <n v="117.0508"/>
    <n v="34.126300000000001"/>
    <n v="7.0080999999999998"/>
    <n v="0.8"/>
    <n v="0.58179999999999998"/>
    <n v="0"/>
    <n v="20180408"/>
    <n v="649.59990000000005"/>
  </r>
  <r>
    <s v="BITS"/>
    <x v="3"/>
    <n v="1"/>
    <x v="7"/>
    <x v="5"/>
    <n v="126436"/>
    <s v="Gadus morhua"/>
    <n v="0"/>
    <n v="0"/>
    <n v="7.3578999999999999"/>
    <n v="50.912100000000002"/>
    <n v="34.494199999999999"/>
    <n v="25.611000000000001"/>
    <n v="8.5338999999999992"/>
    <n v="0.72729999999999995"/>
    <n v="0"/>
    <n v="0.36359999999999998"/>
    <n v="0"/>
    <n v="20180408"/>
    <n v="128"/>
  </r>
  <r>
    <s v="BITS"/>
    <x v="3"/>
    <n v="1"/>
    <x v="7"/>
    <x v="2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4"/>
    <n v="1"/>
    <x v="0"/>
    <x v="0"/>
    <n v="126436"/>
    <s v="Gadus morhua"/>
    <n v="0"/>
    <n v="2.9155000000000002"/>
    <n v="5.4574999999999996"/>
    <n v="0.32700000000000001"/>
    <n v="0.19500000000000001"/>
    <n v="0"/>
    <n v="0"/>
    <n v="0"/>
    <n v="0"/>
    <n v="0"/>
    <n v="0"/>
    <n v="20190305"/>
    <n v="8.8949999999999996"/>
  </r>
  <r>
    <s v="BITS"/>
    <x v="4"/>
    <n v="1"/>
    <x v="0"/>
    <x v="1"/>
    <n v="126436"/>
    <s v="Gadus morhua"/>
    <n v="0"/>
    <n v="0.85399999999999998"/>
    <n v="2.8460000000000001"/>
    <n v="0.87"/>
    <n v="0"/>
    <n v="0"/>
    <n v="0"/>
    <n v="0"/>
    <n v="0"/>
    <n v="0"/>
    <n v="0"/>
    <n v="20190305"/>
    <n v="4.57"/>
  </r>
  <r>
    <s v="BITS"/>
    <x v="4"/>
    <n v="1"/>
    <x v="0"/>
    <x v="2"/>
    <n v="126436"/>
    <s v="Gadus morhua"/>
    <n v="0"/>
    <n v="2.0874999999999999"/>
    <n v="10.0411"/>
    <n v="0.82979999999999998"/>
    <n v="6.8585000000000003"/>
    <n v="2.7608000000000001"/>
    <n v="0.88690000000000002"/>
    <n v="0"/>
    <n v="0"/>
    <n v="0"/>
    <n v="0"/>
    <n v="20190305"/>
    <n v="23.464600000000001"/>
  </r>
  <r>
    <s v="BITS"/>
    <x v="4"/>
    <n v="1"/>
    <x v="1"/>
    <x v="3"/>
    <n v="126436"/>
    <s v="Gadus morhua"/>
    <n v="0"/>
    <n v="0.83279999999999998"/>
    <n v="11.4072"/>
    <n v="0"/>
    <n v="0"/>
    <n v="0"/>
    <n v="0.13200000000000001"/>
    <n v="0"/>
    <n v="0"/>
    <n v="0"/>
    <n v="0"/>
    <n v="20190305"/>
    <n v="12.372"/>
  </r>
  <r>
    <s v="BITS"/>
    <x v="4"/>
    <n v="1"/>
    <x v="1"/>
    <x v="2"/>
    <n v="126436"/>
    <s v="Gadus morhua"/>
    <n v="0"/>
    <n v="3.0366"/>
    <n v="702.12599999999998"/>
    <n v="31.166499999999999"/>
    <n v="15.6785"/>
    <n v="4.7049000000000003"/>
    <n v="0.2107"/>
    <n v="7.6600000000000001E-2"/>
    <n v="4.9399999999999999E-2"/>
    <n v="0"/>
    <n v="0"/>
    <n v="20190305"/>
    <n v="757.04919999999993"/>
  </r>
  <r>
    <s v="BITS"/>
    <x v="4"/>
    <n v="1"/>
    <x v="2"/>
    <x v="3"/>
    <n v="126436"/>
    <s v="Gadus morhua"/>
    <n v="0"/>
    <n v="4.3067000000000002"/>
    <n v="343.86059999999998"/>
    <n v="111.18389999999999"/>
    <n v="59.268900000000002"/>
    <n v="17.100000000000001"/>
    <n v="1.1133"/>
    <n v="0.22670000000000001"/>
    <n v="0"/>
    <n v="0"/>
    <n v="0"/>
    <n v="20190305"/>
    <n v="537.06010000000003"/>
  </r>
  <r>
    <s v="BITS"/>
    <x v="4"/>
    <n v="1"/>
    <x v="2"/>
    <x v="2"/>
    <n v="126436"/>
    <s v="Gadus morhua"/>
    <n v="0"/>
    <n v="1.1313"/>
    <n v="1105.9294"/>
    <n v="137.7585"/>
    <n v="23.317"/>
    <n v="0"/>
    <n v="0"/>
    <n v="0"/>
    <n v="0"/>
    <n v="0"/>
    <n v="0"/>
    <n v="20190305"/>
    <n v="1268.1361999999999"/>
  </r>
  <r>
    <s v="BITS"/>
    <x v="4"/>
    <n v="1"/>
    <x v="3"/>
    <x v="0"/>
    <n v="126436"/>
    <s v="Gadus morhua"/>
    <n v="0"/>
    <n v="1.2846"/>
    <n v="900.98829999999998"/>
    <n v="633.46559999999999"/>
    <n v="147.1951"/>
    <n v="46.958399999999997"/>
    <n v="24.410399999999999"/>
    <n v="0"/>
    <n v="0"/>
    <n v="0"/>
    <n v="0"/>
    <n v="20190305"/>
    <n v="1754.3023999999998"/>
  </r>
  <r>
    <s v="BITS"/>
    <x v="4"/>
    <n v="1"/>
    <x v="3"/>
    <x v="1"/>
    <n v="126436"/>
    <s v="Gadus morhua"/>
    <n v="0"/>
    <n v="6"/>
    <n v="612.85239999999999"/>
    <n v="237.9119"/>
    <n v="26.835699999999999"/>
    <n v="4"/>
    <n v="0.4"/>
    <n v="0"/>
    <n v="0"/>
    <n v="0"/>
    <n v="0"/>
    <n v="20190305"/>
    <n v="888"/>
  </r>
  <r>
    <s v="BITS"/>
    <x v="4"/>
    <n v="1"/>
    <x v="3"/>
    <x v="3"/>
    <n v="126436"/>
    <s v="Gadus morhua"/>
    <n v="0"/>
    <n v="0"/>
    <n v="169.15960000000001"/>
    <n v="91.927300000000002"/>
    <n v="11.6426"/>
    <n v="2.6833999999999998"/>
    <n v="0.51400000000000001"/>
    <n v="0"/>
    <n v="0"/>
    <n v="0"/>
    <n v="0"/>
    <n v="20190305"/>
    <n v="275.92690000000005"/>
  </r>
  <r>
    <s v="BITS"/>
    <x v="4"/>
    <n v="1"/>
    <x v="3"/>
    <x v="2"/>
    <n v="126436"/>
    <s v="Gadus morhua"/>
    <n v="0"/>
    <n v="1.4564999999999999"/>
    <n v="578.54510000000005"/>
    <n v="397.03100000000001"/>
    <n v="57.665799999999997"/>
    <n v="9.7164999999999999"/>
    <n v="2.4409000000000001"/>
    <n v="0"/>
    <n v="0"/>
    <n v="0"/>
    <n v="0"/>
    <n v="20190305"/>
    <n v="1046.8558"/>
  </r>
  <r>
    <s v="BITS"/>
    <x v="4"/>
    <n v="1"/>
    <x v="4"/>
    <x v="0"/>
    <n v="126436"/>
    <s v="Gadus morhua"/>
    <n v="0"/>
    <n v="9.5351999999999997"/>
    <n v="447.28530000000001"/>
    <n v="316.42230000000001"/>
    <n v="127.8312"/>
    <n v="30.630299999999998"/>
    <n v="9.8268000000000004"/>
    <n v="0.59160000000000001"/>
    <n v="0.55049999999999999"/>
    <n v="0"/>
    <n v="0"/>
    <n v="20190305"/>
    <n v="942.67320000000007"/>
  </r>
  <r>
    <s v="BITS"/>
    <x v="4"/>
    <n v="1"/>
    <x v="4"/>
    <x v="1"/>
    <n v="126436"/>
    <s v="Gadus morhua"/>
    <n v="0"/>
    <n v="2.3816000000000002"/>
    <n v="183.44810000000001"/>
    <n v="204.4306"/>
    <n v="149.5301"/>
    <n v="37.7517"/>
    <n v="11.374000000000001"/>
    <n v="0.55600000000000005"/>
    <n v="0.56669999999999998"/>
    <n v="0"/>
    <n v="0"/>
    <n v="20190305"/>
    <n v="590.03880000000015"/>
  </r>
  <r>
    <s v="BITS"/>
    <x v="4"/>
    <n v="1"/>
    <x v="4"/>
    <x v="4"/>
    <n v="126436"/>
    <s v="Gadus morhua"/>
    <n v="0"/>
    <n v="0.4"/>
    <n v="5.3224"/>
    <n v="24.5792"/>
    <n v="41.188299999999998"/>
    <n v="15.286300000000001"/>
    <n v="5.7248000000000001"/>
    <n v="0.36559999999999998"/>
    <n v="0.33329999999999999"/>
    <n v="0"/>
    <n v="0"/>
    <n v="20190305"/>
    <n v="93.1999"/>
  </r>
  <r>
    <s v="BITS"/>
    <x v="4"/>
    <n v="1"/>
    <x v="4"/>
    <x v="2"/>
    <n v="126436"/>
    <s v="Gadus morhua"/>
    <n v="0"/>
    <n v="1.8125"/>
    <n v="12.184900000000001"/>
    <n v="67.873800000000003"/>
    <n v="74.9846"/>
    <n v="16.140899999999998"/>
    <n v="4.6177999999999999"/>
    <n v="0.27829999999999999"/>
    <n v="0.1071"/>
    <n v="0"/>
    <n v="0"/>
    <n v="20190305"/>
    <n v="177.99989999999997"/>
  </r>
  <r>
    <s v="BITS"/>
    <x v="4"/>
    <n v="1"/>
    <x v="5"/>
    <x v="0"/>
    <n v="126436"/>
    <s v="Gadus morhua"/>
    <n v="0"/>
    <n v="17.328499999999998"/>
    <n v="348.00360000000001"/>
    <n v="90.428700000000006"/>
    <n v="53.033700000000003"/>
    <n v="42.098999999999997"/>
    <n v="13.1731"/>
    <n v="4.9690000000000003"/>
    <n v="1.3137000000000001"/>
    <n v="0.23230000000000001"/>
    <n v="0"/>
    <n v="20190305"/>
    <n v="570.58160000000009"/>
  </r>
  <r>
    <s v="BITS"/>
    <x v="4"/>
    <n v="1"/>
    <x v="5"/>
    <x v="1"/>
    <n v="126436"/>
    <s v="Gadus morhua"/>
    <n v="0"/>
    <n v="136.74889999999999"/>
    <n v="780.34990000000005"/>
    <n v="138.809"/>
    <n v="96.480999999999995"/>
    <n v="87.689800000000005"/>
    <n v="29.976400000000002"/>
    <n v="14.345499999999999"/>
    <n v="9.6768000000000001"/>
    <n v="2.6951999999999998"/>
    <n v="0.2273"/>
    <n v="20190305"/>
    <n v="1296.9998000000001"/>
  </r>
  <r>
    <s v="BITS"/>
    <x v="4"/>
    <n v="1"/>
    <x v="5"/>
    <x v="4"/>
    <n v="126436"/>
    <s v="Gadus morhua"/>
    <n v="0"/>
    <n v="6.5799999999999997E-2"/>
    <n v="4.9983000000000004"/>
    <n v="5.5263"/>
    <n v="5.6334999999999997"/>
    <n v="4.6298000000000004"/>
    <n v="1.1456"/>
    <n v="0.36159999999999998"/>
    <n v="2.4199999999999999E-2"/>
    <n v="1.4800000000000001E-2"/>
    <n v="0"/>
    <n v="20190305"/>
    <n v="22.399899999999999"/>
  </r>
  <r>
    <s v="BITS"/>
    <x v="4"/>
    <n v="1"/>
    <x v="5"/>
    <x v="5"/>
    <n v="126436"/>
    <s v="Gadus morhua"/>
    <n v="0"/>
    <n v="0.25"/>
    <n v="0"/>
    <n v="0.16489999999999999"/>
    <n v="0.30430000000000001"/>
    <n v="0.27410000000000001"/>
    <n v="6.7999999999999996E-3"/>
    <n v="0"/>
    <n v="0"/>
    <n v="0"/>
    <n v="0"/>
    <n v="20190305"/>
    <n v="1.0001"/>
  </r>
  <r>
    <s v="BITS"/>
    <x v="4"/>
    <n v="1"/>
    <x v="5"/>
    <x v="6"/>
    <n v="126436"/>
    <s v="Gadus morhua"/>
    <n v="0"/>
    <n v="0"/>
    <n v="0"/>
    <n v="0"/>
    <n v="0"/>
    <n v="0"/>
    <n v="0"/>
    <n v="0"/>
    <n v="0"/>
    <n v="0"/>
    <n v="0"/>
    <n v="20190305"/>
    <n v="0"/>
  </r>
  <r>
    <s v="BITS"/>
    <x v="4"/>
    <n v="1"/>
    <x v="5"/>
    <x v="2"/>
    <n v="126436"/>
    <s v="Gadus morhua"/>
    <n v="0"/>
    <n v="1.4879"/>
    <n v="9.9525000000000006"/>
    <n v="11.1286"/>
    <n v="11.677099999999999"/>
    <n v="10.0014"/>
    <n v="2.4544999999999999"/>
    <n v="0.53139999999999998"/>
    <n v="2.5600000000000001E-2"/>
    <n v="7.4099999999999999E-2"/>
    <n v="0"/>
    <n v="20190305"/>
    <n v="47.333100000000002"/>
  </r>
  <r>
    <s v="BITS"/>
    <x v="4"/>
    <n v="1"/>
    <x v="6"/>
    <x v="1"/>
    <n v="126436"/>
    <s v="Gadus morhua"/>
    <n v="0"/>
    <n v="0.5"/>
    <n v="12"/>
    <n v="5.75"/>
    <n v="4.25"/>
    <n v="0.5"/>
    <n v="0"/>
    <n v="0"/>
    <n v="0"/>
    <n v="0"/>
    <n v="0"/>
    <n v="20190305"/>
    <n v="23"/>
  </r>
  <r>
    <s v="BITS"/>
    <x v="4"/>
    <n v="1"/>
    <x v="6"/>
    <x v="4"/>
    <n v="126436"/>
    <s v="Gadus morhua"/>
    <n v="0"/>
    <n v="0"/>
    <n v="36"/>
    <n v="18"/>
    <n v="0"/>
    <n v="0"/>
    <n v="0"/>
    <n v="0"/>
    <n v="0"/>
    <n v="0"/>
    <n v="0"/>
    <n v="20190305"/>
    <n v="54"/>
  </r>
  <r>
    <s v="BITS"/>
    <x v="4"/>
    <n v="1"/>
    <x v="7"/>
    <x v="0"/>
    <n v="126436"/>
    <s v="Gadus morhua"/>
    <n v="0"/>
    <n v="2.0832999999999999"/>
    <n v="6.9081000000000001"/>
    <n v="2.5163000000000002"/>
    <n v="2.3624999999999998"/>
    <n v="1.7464"/>
    <n v="0.25829999999999997"/>
    <n v="0"/>
    <n v="0"/>
    <n v="0"/>
    <n v="0"/>
    <n v="20190305"/>
    <n v="15.8749"/>
  </r>
  <r>
    <s v="BITS"/>
    <x v="4"/>
    <n v="1"/>
    <x v="7"/>
    <x v="1"/>
    <n v="126436"/>
    <s v="Gadus morhua"/>
    <n v="0"/>
    <n v="2.7732999999999999"/>
    <n v="30.173500000000001"/>
    <n v="8.0876999999999999"/>
    <n v="4.8343999999999996"/>
    <n v="2.0975999999999999"/>
    <n v="0.43330000000000002"/>
    <n v="0"/>
    <n v="0"/>
    <n v="0"/>
    <n v="0"/>
    <n v="20190305"/>
    <n v="48.399800000000006"/>
  </r>
  <r>
    <s v="BITS"/>
    <x v="4"/>
    <n v="1"/>
    <x v="7"/>
    <x v="4"/>
    <n v="126436"/>
    <s v="Gadus morhua"/>
    <n v="0"/>
    <n v="0.2"/>
    <n v="18.8446"/>
    <n v="3.0626000000000002"/>
    <n v="0.5"/>
    <n v="0.39290000000000003"/>
    <n v="0"/>
    <n v="0"/>
    <n v="0"/>
    <n v="0"/>
    <n v="0"/>
    <n v="20190305"/>
    <n v="23.0001"/>
  </r>
  <r>
    <s v="BITS"/>
    <x v="4"/>
    <n v="1"/>
    <x v="7"/>
    <x v="2"/>
    <n v="126436"/>
    <s v="Gadus morhua"/>
    <n v="0"/>
    <n v="0"/>
    <n v="0"/>
    <n v="0"/>
    <n v="0"/>
    <n v="0"/>
    <n v="0"/>
    <n v="0"/>
    <n v="0"/>
    <n v="0"/>
    <n v="0"/>
    <n v="20190305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6">
  <r>
    <s v="BITS"/>
    <x v="0"/>
    <n v="1"/>
    <x v="0"/>
    <n v="10"/>
    <n v="126436"/>
    <s v="Gadus morhua"/>
    <n v="0"/>
    <n v="20.758600000000001"/>
    <n v="19.101400000000002"/>
    <n v="1.86"/>
    <n v="1.24"/>
    <n v="0"/>
    <n v="0"/>
    <n v="0"/>
    <n v="0"/>
    <n v="0"/>
    <n v="0"/>
    <n v="20180423"/>
    <n v="42.96"/>
  </r>
  <r>
    <s v="BITS"/>
    <x v="0"/>
    <n v="1"/>
    <x v="0"/>
    <n v="11"/>
    <n v="126436"/>
    <s v="Gadus morhua"/>
    <n v="0"/>
    <n v="13.346299999999999"/>
    <n v="11.053699999999999"/>
    <n v="12.4"/>
    <n v="0"/>
    <n v="0"/>
    <n v="0"/>
    <n v="0"/>
    <n v="0"/>
    <n v="0"/>
    <n v="0"/>
    <n v="20180423"/>
    <n v="36.799999999999997"/>
  </r>
  <r>
    <s v="BITS"/>
    <x v="0"/>
    <n v="1"/>
    <x v="0"/>
    <n v="9"/>
    <n v="126436"/>
    <s v="Gadus morhua"/>
    <n v="0"/>
    <n v="130.423"/>
    <n v="1086.1355000000001"/>
    <n v="15.7742"/>
    <n v="1.0730999999999999"/>
    <n v="0"/>
    <n v="0.23849999999999999"/>
    <n v="0"/>
    <n v="0"/>
    <n v="0"/>
    <n v="0.23849999999999999"/>
    <n v="20180423"/>
    <n v="1233.8828000000001"/>
  </r>
  <r>
    <s v="BITS"/>
    <x v="0"/>
    <n v="1"/>
    <x v="1"/>
    <n v="8"/>
    <n v="126436"/>
    <s v="Gadus morhua"/>
    <n v="0"/>
    <n v="11.1952"/>
    <n v="11.286899999999999"/>
    <n v="1.1236999999999999"/>
    <n v="0.871"/>
    <n v="0.25829999999999997"/>
    <n v="0.46500000000000002"/>
    <n v="0"/>
    <n v="0.31"/>
    <n v="0"/>
    <n v="0"/>
    <n v="20180423"/>
    <n v="25.510099999999994"/>
  </r>
  <r>
    <s v="BITS"/>
    <x v="0"/>
    <n v="1"/>
    <x v="1"/>
    <n v="9"/>
    <n v="126436"/>
    <s v="Gadus morhua"/>
    <n v="0"/>
    <n v="37.585299999999997"/>
    <n v="40.135599999999997"/>
    <n v="8.6245999999999992"/>
    <n v="2.91"/>
    <n v="0.25829999999999997"/>
    <n v="0.51670000000000005"/>
    <n v="0"/>
    <n v="0"/>
    <n v="0"/>
    <n v="0"/>
    <n v="20180423"/>
    <n v="90.030500000000004"/>
  </r>
  <r>
    <s v="BITS"/>
    <x v="0"/>
    <n v="1"/>
    <x v="2"/>
    <n v="8"/>
    <n v="126436"/>
    <s v="Gadus morhua"/>
    <n v="0"/>
    <n v="38.484000000000002"/>
    <n v="988.39739999999995"/>
    <n v="79.533600000000007"/>
    <n v="0"/>
    <n v="0"/>
    <n v="0"/>
    <n v="0"/>
    <n v="0"/>
    <n v="0"/>
    <n v="0"/>
    <n v="20180423"/>
    <n v="1106.415"/>
  </r>
  <r>
    <s v="BITS"/>
    <x v="0"/>
    <n v="1"/>
    <x v="2"/>
    <n v="9"/>
    <n v="126436"/>
    <s v="Gadus morhua"/>
    <n v="0"/>
    <n v="10.980399999999999"/>
    <n v="411.84269999999998"/>
    <n v="103.9624"/>
    <n v="5.6707000000000001"/>
    <n v="0"/>
    <n v="0"/>
    <n v="0"/>
    <n v="0"/>
    <n v="0"/>
    <n v="0"/>
    <n v="20180423"/>
    <n v="532.45619999999997"/>
  </r>
  <r>
    <s v="BITS"/>
    <x v="0"/>
    <n v="1"/>
    <x v="3"/>
    <n v="10"/>
    <n v="126436"/>
    <s v="Gadus morhua"/>
    <n v="0"/>
    <n v="1005.7243999999999"/>
    <n v="881.56179999999995"/>
    <n v="60.529000000000003"/>
    <n v="25.138500000000001"/>
    <n v="2.9218000000000002"/>
    <n v="0.98499999999999999"/>
    <n v="0.16489999999999999"/>
    <n v="0"/>
    <n v="0"/>
    <n v="0"/>
    <n v="20180423"/>
    <n v="1977.0254"/>
  </r>
  <r>
    <s v="BITS"/>
    <x v="0"/>
    <n v="1"/>
    <x v="3"/>
    <n v="8"/>
    <n v="126436"/>
    <s v="Gadus morhua"/>
    <n v="0"/>
    <n v="22.2194"/>
    <n v="103.5401"/>
    <n v="15.410500000000001"/>
    <n v="11.214399999999999"/>
    <n v="1.2747999999999999"/>
    <n v="0.39279999999999998"/>
    <n v="8.3500000000000005E-2"/>
    <n v="0"/>
    <n v="0"/>
    <n v="0"/>
    <n v="20180423"/>
    <n v="154.13550000000001"/>
  </r>
  <r>
    <s v="BITS"/>
    <x v="0"/>
    <n v="1"/>
    <x v="3"/>
    <n v="9"/>
    <n v="126436"/>
    <s v="Gadus morhua"/>
    <n v="0"/>
    <n v="447.41980000000001"/>
    <n v="253.517"/>
    <n v="16.0808"/>
    <n v="6.6162000000000001"/>
    <n v="0.71120000000000005"/>
    <n v="0.1552"/>
    <n v="0"/>
    <n v="0"/>
    <n v="0"/>
    <n v="0"/>
    <n v="20180423"/>
    <n v="724.50019999999995"/>
  </r>
  <r>
    <s v="BITS"/>
    <x v="0"/>
    <n v="1"/>
    <x v="4"/>
    <n v="10"/>
    <n v="126436"/>
    <s v="Gadus morhua"/>
    <n v="0"/>
    <n v="63.417099999999998"/>
    <n v="804.09019999999998"/>
    <n v="802.03989999999999"/>
    <n v="824.57360000000006"/>
    <n v="374.91230000000002"/>
    <n v="85.188500000000005"/>
    <n v="15.007199999999999"/>
    <n v="4.2531999999999996"/>
    <n v="1.3418000000000001"/>
    <n v="0.1789"/>
    <n v="20180423"/>
    <n v="2975.0027000000005"/>
  </r>
  <r>
    <s v="BITS"/>
    <x v="0"/>
    <n v="1"/>
    <x v="4"/>
    <n v="11"/>
    <n v="126436"/>
    <s v="Gadus morhua"/>
    <n v="0"/>
    <n v="44.234200000000001"/>
    <n v="566.81179999999995"/>
    <n v="615.48739999999998"/>
    <n v="633.12530000000004"/>
    <n v="315.09780000000001"/>
    <n v="81.919899999999998"/>
    <n v="19.2973"/>
    <n v="5.6360999999999999"/>
    <n v="1.6400999999999999"/>
    <n v="0.32240000000000002"/>
    <n v="20180423"/>
    <n v="2283.5723000000003"/>
  </r>
  <r>
    <s v="BITS"/>
    <x v="0"/>
    <n v="1"/>
    <x v="4"/>
    <n v="12"/>
    <n v="126436"/>
    <s v="Gadus morhua"/>
    <n v="0"/>
    <n v="3.1476999999999999"/>
    <n v="33.635300000000001"/>
    <n v="72.574799999999996"/>
    <n v="88.803100000000001"/>
    <n v="62.713900000000002"/>
    <n v="20.941500000000001"/>
    <n v="6.6502999999999997"/>
    <n v="2.2740999999999998"/>
    <n v="0.43659999999999999"/>
    <n v="8.1000000000000003E-2"/>
    <n v="20180423"/>
    <n v="291.25830000000002"/>
  </r>
  <r>
    <s v="BITS"/>
    <x v="0"/>
    <n v="1"/>
    <x v="4"/>
    <n v="9"/>
    <n v="126436"/>
    <s v="Gadus morhua"/>
    <n v="0"/>
    <n v="0.69020000000000004"/>
    <n v="2.9866000000000001"/>
    <n v="14.5219"/>
    <n v="16.799099999999999"/>
    <n v="14.96"/>
    <n v="5.9317000000000002"/>
    <n v="1.8263"/>
    <n v="0.69820000000000004"/>
    <n v="0.187"/>
    <n v="1.4200000000000001E-2"/>
    <n v="20180423"/>
    <n v="58.615200000000002"/>
  </r>
  <r>
    <s v="BITS"/>
    <x v="0"/>
    <n v="1"/>
    <x v="5"/>
    <n v="10"/>
    <n v="126436"/>
    <s v="Gadus morhua"/>
    <n v="0"/>
    <n v="55.714300000000001"/>
    <n v="314.49619999999999"/>
    <n v="498.1694"/>
    <n v="250.60659999999999"/>
    <n v="64.352099999999993"/>
    <n v="8.6043000000000003"/>
    <n v="0"/>
    <n v="0"/>
    <n v="0"/>
    <n v="0"/>
    <n v="20180423"/>
    <n v="1191.9429"/>
  </r>
  <r>
    <s v="BITS"/>
    <x v="0"/>
    <n v="1"/>
    <x v="5"/>
    <n v="11"/>
    <n v="126436"/>
    <s v="Gadus morhua"/>
    <n v="0"/>
    <n v="2.2139000000000002"/>
    <n v="76.868799999999993"/>
    <n v="88.631600000000006"/>
    <n v="39.441600000000001"/>
    <n v="9.5394000000000005"/>
    <n v="1.1647000000000001"/>
    <n v="0"/>
    <n v="0"/>
    <n v="0"/>
    <n v="0"/>
    <n v="20180423"/>
    <n v="217.85999999999999"/>
  </r>
  <r>
    <s v="BITS"/>
    <x v="0"/>
    <n v="1"/>
    <x v="5"/>
    <n v="12"/>
    <n v="126436"/>
    <s v="Gadus morhua"/>
    <n v="0"/>
    <n v="2.8397999999999999"/>
    <n v="66.757900000000006"/>
    <n v="110.9632"/>
    <n v="56.334600000000002"/>
    <n v="13.9856"/>
    <n v="1.6902999999999999"/>
    <n v="0"/>
    <n v="0"/>
    <n v="0"/>
    <n v="0"/>
    <n v="20180423"/>
    <n v="252.57140000000001"/>
  </r>
  <r>
    <s v="BITS"/>
    <x v="0"/>
    <n v="1"/>
    <x v="5"/>
    <n v="13"/>
    <n v="126436"/>
    <s v="Gadus morhua"/>
    <n v="0"/>
    <n v="0"/>
    <n v="1.8906000000000001"/>
    <n v="6.7755999999999998"/>
    <n v="3.7624"/>
    <n v="1.4742"/>
    <n v="9.7199999999999995E-2"/>
    <n v="0"/>
    <n v="0"/>
    <n v="0"/>
    <n v="0"/>
    <n v="20180423"/>
    <n v="14"/>
  </r>
  <r>
    <s v="BITS"/>
    <x v="0"/>
    <n v="1"/>
    <x v="5"/>
    <n v="9"/>
    <n v="126436"/>
    <s v="Gadus morhua"/>
    <n v="0"/>
    <n v="18.485700000000001"/>
    <n v="60.956899999999997"/>
    <n v="77.756399999999999"/>
    <n v="32.886200000000002"/>
    <n v="10.023"/>
    <n v="1.0918000000000001"/>
    <n v="0"/>
    <n v="0"/>
    <n v="0"/>
    <n v="0"/>
    <n v="20180423"/>
    <n v="201.20000000000002"/>
  </r>
  <r>
    <s v="BITS"/>
    <x v="0"/>
    <n v="1"/>
    <x v="6"/>
    <n v="11"/>
    <n v="126436"/>
    <s v="Gadus morhua"/>
    <n v="0"/>
    <n v="0.5"/>
    <n v="446.39170000000001"/>
    <n v="242.75829999999999"/>
    <n v="9"/>
    <n v="1.6"/>
    <n v="0"/>
    <n v="0"/>
    <n v="0"/>
    <n v="0"/>
    <n v="0"/>
    <n v="20180423"/>
    <n v="700.25"/>
  </r>
  <r>
    <s v="BITS"/>
    <x v="0"/>
    <n v="1"/>
    <x v="6"/>
    <n v="12"/>
    <n v="126436"/>
    <s v="Gadus morhua"/>
    <n v="0"/>
    <n v="0"/>
    <n v="0"/>
    <n v="0"/>
    <n v="0"/>
    <n v="0"/>
    <n v="0"/>
    <n v="0"/>
    <n v="0"/>
    <n v="0"/>
    <n v="0"/>
    <n v="20180423"/>
    <n v="0"/>
  </r>
  <r>
    <s v="BITS"/>
    <x v="0"/>
    <n v="1"/>
    <x v="7"/>
    <n v="10"/>
    <n v="126436"/>
    <s v="Gadus morhua"/>
    <n v="0"/>
    <n v="2.5"/>
    <n v="12.3515"/>
    <n v="14.1153"/>
    <n v="8.5089000000000006"/>
    <n v="3.339"/>
    <n v="0.96299999999999997"/>
    <n v="0.22220000000000001"/>
    <n v="0"/>
    <n v="0"/>
    <n v="0"/>
    <n v="20180423"/>
    <n v="41.999900000000004"/>
  </r>
  <r>
    <s v="BITS"/>
    <x v="0"/>
    <n v="1"/>
    <x v="7"/>
    <n v="11"/>
    <n v="126436"/>
    <s v="Gadus morhua"/>
    <n v="0"/>
    <n v="0.45829999999999999"/>
    <n v="112.452"/>
    <n v="45.37"/>
    <n v="23.463999999999999"/>
    <n v="4.6074999999999999"/>
    <n v="0.89810000000000001"/>
    <n v="0.16669999999999999"/>
    <n v="0"/>
    <n v="0"/>
    <n v="0"/>
    <n v="20180423"/>
    <n v="187.41659999999996"/>
  </r>
  <r>
    <s v="BITS"/>
    <x v="0"/>
    <n v="1"/>
    <x v="7"/>
    <n v="12"/>
    <n v="126436"/>
    <s v="Gadus morhua"/>
    <n v="0"/>
    <n v="0"/>
    <n v="0"/>
    <n v="0"/>
    <n v="0"/>
    <n v="0"/>
    <n v="0"/>
    <n v="0"/>
    <n v="0"/>
    <n v="0"/>
    <n v="0"/>
    <n v="20180423"/>
    <n v="0"/>
  </r>
  <r>
    <s v="BITS"/>
    <x v="0"/>
    <n v="1"/>
    <x v="7"/>
    <n v="9"/>
    <n v="126436"/>
    <s v="Gadus morhua"/>
    <n v="0"/>
    <n v="0"/>
    <n v="0"/>
    <n v="0"/>
    <n v="0"/>
    <n v="0"/>
    <n v="0"/>
    <n v="0"/>
    <n v="0"/>
    <n v="0"/>
    <n v="0"/>
    <n v="20180423"/>
    <n v="0"/>
  </r>
  <r>
    <s v="BITS"/>
    <x v="1"/>
    <n v="1"/>
    <x v="0"/>
    <n v="10"/>
    <n v="126436"/>
    <s v="Gadus morhua"/>
    <n v="0"/>
    <n v="4.8406000000000002"/>
    <n v="7.2022000000000004"/>
    <n v="10.9849"/>
    <n v="0.68889999999999996"/>
    <n v="0"/>
    <n v="0"/>
    <n v="0"/>
    <n v="0"/>
    <n v="0"/>
    <n v="0"/>
    <n v="20190408"/>
    <n v="23.7166"/>
  </r>
  <r>
    <s v="BITS"/>
    <x v="1"/>
    <n v="1"/>
    <x v="0"/>
    <n v="11"/>
    <n v="126436"/>
    <s v="Gadus morhua"/>
    <n v="0"/>
    <n v="10.617100000000001"/>
    <n v="16.671700000000001"/>
    <n v="31.602799999999998"/>
    <n v="1.8083"/>
    <n v="0"/>
    <n v="0"/>
    <n v="0"/>
    <n v="0"/>
    <n v="0"/>
    <n v="0"/>
    <n v="20190408"/>
    <n v="60.6999"/>
  </r>
  <r>
    <s v="BITS"/>
    <x v="1"/>
    <n v="1"/>
    <x v="0"/>
    <n v="9"/>
    <n v="126436"/>
    <s v="Gadus morhua"/>
    <n v="0"/>
    <n v="49.6145"/>
    <n v="20.313700000000001"/>
    <n v="16.0793"/>
    <n v="2.2545000000000002"/>
    <n v="0.28179999999999999"/>
    <n v="0"/>
    <n v="0"/>
    <n v="0"/>
    <n v="0"/>
    <n v="0.38329999999999997"/>
    <n v="20190408"/>
    <n v="88.92710000000001"/>
  </r>
  <r>
    <s v="BITS"/>
    <x v="1"/>
    <n v="1"/>
    <x v="1"/>
    <n v="8"/>
    <n v="126436"/>
    <s v="Gadus morhua"/>
    <n v="0"/>
    <n v="13.276400000000001"/>
    <n v="51.0961"/>
    <n v="13.631500000000001"/>
    <n v="2.8363999999999998"/>
    <n v="2.0667"/>
    <n v="0.22140000000000001"/>
    <n v="0"/>
    <n v="0"/>
    <n v="0"/>
    <n v="0"/>
    <n v="20190408"/>
    <n v="83.128500000000003"/>
  </r>
  <r>
    <s v="BITS"/>
    <x v="1"/>
    <n v="1"/>
    <x v="1"/>
    <n v="9"/>
    <n v="126436"/>
    <s v="Gadus morhua"/>
    <n v="0"/>
    <n v="49.972900000000003"/>
    <n v="107.30889999999999"/>
    <n v="52.110900000000001"/>
    <n v="2.7061000000000002"/>
    <n v="0.86109999999999998"/>
    <n v="0"/>
    <n v="0"/>
    <n v="0"/>
    <n v="0"/>
    <n v="0"/>
    <n v="20190408"/>
    <n v="212.95989999999998"/>
  </r>
  <r>
    <s v="BITS"/>
    <x v="1"/>
    <n v="1"/>
    <x v="2"/>
    <n v="8"/>
    <n v="126436"/>
    <s v="Gadus morhua"/>
    <n v="0"/>
    <n v="533.33280000000002"/>
    <n v="1496.3154999999999"/>
    <n v="647.45870000000002"/>
    <n v="23.1235"/>
    <n v="0"/>
    <n v="0"/>
    <n v="0"/>
    <n v="0"/>
    <n v="0"/>
    <n v="0"/>
    <n v="20190408"/>
    <n v="2700.2305000000001"/>
  </r>
  <r>
    <s v="BITS"/>
    <x v="1"/>
    <n v="1"/>
    <x v="2"/>
    <n v="9"/>
    <n v="126436"/>
    <s v="Gadus morhua"/>
    <n v="0"/>
    <n v="59.103000000000002"/>
    <n v="718.74570000000006"/>
    <n v="588.96510000000001"/>
    <n v="6.3696999999999999"/>
    <n v="3.2132000000000001"/>
    <n v="0"/>
    <n v="0"/>
    <n v="0"/>
    <n v="0"/>
    <n v="0"/>
    <n v="20190408"/>
    <n v="1376.3966999999998"/>
  </r>
  <r>
    <s v="BITS"/>
    <x v="1"/>
    <n v="1"/>
    <x v="3"/>
    <n v="10"/>
    <n v="126436"/>
    <s v="Gadus morhua"/>
    <n v="0"/>
    <n v="190.60759999999999"/>
    <n v="1368.3439000000001"/>
    <n v="481.39269999999999"/>
    <n v="37.947200000000002"/>
    <n v="0.54149999999999998"/>
    <n v="1.0024999999999999"/>
    <n v="0.62919999999999998"/>
    <n v="0.8861"/>
    <n v="0"/>
    <n v="0"/>
    <n v="20190408"/>
    <n v="2081.3507"/>
  </r>
  <r>
    <s v="BITS"/>
    <x v="1"/>
    <n v="1"/>
    <x v="3"/>
    <n v="8"/>
    <n v="126436"/>
    <s v="Gadus morhua"/>
    <n v="0"/>
    <n v="20.4222"/>
    <n v="68.544399999999996"/>
    <n v="23.2957"/>
    <n v="2.3369"/>
    <n v="3.5200000000000002E-2"/>
    <n v="3.3700000000000001E-2"/>
    <n v="1.61E-2"/>
    <n v="3.3799999999999997E-2"/>
    <n v="0"/>
    <n v="0"/>
    <n v="20190408"/>
    <n v="114.71799999999999"/>
  </r>
  <r>
    <s v="BITS"/>
    <x v="1"/>
    <n v="1"/>
    <x v="3"/>
    <n v="9"/>
    <n v="126436"/>
    <s v="Gadus morhua"/>
    <n v="0"/>
    <n v="16.854700000000001"/>
    <n v="155"/>
    <n v="56.7042"/>
    <n v="4.9557000000000002"/>
    <n v="3.8800000000000001E-2"/>
    <n v="7.1900000000000006E-2"/>
    <n v="4.3099999999999999E-2"/>
    <n v="0.1464"/>
    <n v="0"/>
    <n v="0"/>
    <n v="20190408"/>
    <n v="233.81480000000002"/>
  </r>
  <r>
    <s v="BITS"/>
    <x v="1"/>
    <n v="1"/>
    <x v="4"/>
    <n v="10"/>
    <n v="126436"/>
    <s v="Gadus morhua"/>
    <n v="0"/>
    <n v="7.3840000000000003"/>
    <n v="457.92059999999998"/>
    <n v="705.32759999999996"/>
    <n v="175.63730000000001"/>
    <n v="19.660399999999999"/>
    <n v="3.4514999999999998"/>
    <n v="0.24529999999999999"/>
    <n v="0"/>
    <n v="3.6900000000000002E-2"/>
    <n v="0"/>
    <n v="20190408"/>
    <n v="1369.6636000000001"/>
  </r>
  <r>
    <s v="BITS"/>
    <x v="1"/>
    <n v="1"/>
    <x v="4"/>
    <n v="11"/>
    <n v="126436"/>
    <s v="Gadus morhua"/>
    <n v="0"/>
    <n v="5.0511999999999997"/>
    <n v="291.58499999999998"/>
    <n v="963.89750000000004"/>
    <n v="257.20089999999999"/>
    <n v="28.783100000000001"/>
    <n v="5.2507000000000001"/>
    <n v="0.3992"/>
    <n v="0"/>
    <n v="7.3700000000000002E-2"/>
    <n v="0"/>
    <n v="20190408"/>
    <n v="1552.2413000000001"/>
  </r>
  <r>
    <s v="BITS"/>
    <x v="1"/>
    <n v="1"/>
    <x v="4"/>
    <n v="12"/>
    <n v="126436"/>
    <s v="Gadus morhua"/>
    <n v="0"/>
    <n v="2.1696"/>
    <n v="167.54849999999999"/>
    <n v="1315.5862"/>
    <n v="523.35209999999995"/>
    <n v="60.651800000000001"/>
    <n v="11.006399999999999"/>
    <n v="0.74470000000000003"/>
    <n v="0"/>
    <n v="8.6400000000000005E-2"/>
    <n v="0"/>
    <n v="20190408"/>
    <n v="2081.1457000000005"/>
  </r>
  <r>
    <s v="BITS"/>
    <x v="1"/>
    <n v="1"/>
    <x v="4"/>
    <n v="9"/>
    <n v="126436"/>
    <s v="Gadus morhua"/>
    <n v="0"/>
    <n v="0.26669999999999999"/>
    <n v="27.854900000000001"/>
    <n v="444.97579999999999"/>
    <n v="143.4769"/>
    <n v="11.801299999999999"/>
    <n v="1.7272000000000001"/>
    <n v="0.1638"/>
    <n v="0"/>
    <n v="0"/>
    <n v="0"/>
    <n v="20190408"/>
    <n v="630.26660000000004"/>
  </r>
  <r>
    <s v="BITS"/>
    <x v="1"/>
    <n v="1"/>
    <x v="5"/>
    <n v="10"/>
    <n v="126436"/>
    <s v="Gadus morhua"/>
    <n v="0"/>
    <n v="9.0599000000000007"/>
    <n v="120.7118"/>
    <n v="384.8682"/>
    <n v="212.82929999999999"/>
    <n v="80.514200000000002"/>
    <n v="12.724600000000001"/>
    <n v="3.3319000000000001"/>
    <n v="0.74399999999999999"/>
    <n v="0"/>
    <n v="0"/>
    <n v="20190408"/>
    <n v="824.78390000000002"/>
  </r>
  <r>
    <s v="BITS"/>
    <x v="1"/>
    <n v="1"/>
    <x v="5"/>
    <n v="11"/>
    <n v="126436"/>
    <s v="Gadus morhua"/>
    <n v="0"/>
    <n v="4.5923999999999996"/>
    <n v="84.491399999999999"/>
    <n v="185.47900000000001"/>
    <n v="103.0467"/>
    <n v="36.942399999999999"/>
    <n v="5.7817999999999996"/>
    <n v="1.9133"/>
    <n v="0.29409999999999997"/>
    <n v="0"/>
    <n v="0"/>
    <n v="20190408"/>
    <n v="422.54110000000003"/>
  </r>
  <r>
    <s v="BITS"/>
    <x v="1"/>
    <n v="1"/>
    <x v="5"/>
    <n v="12"/>
    <n v="126436"/>
    <s v="Gadus morhua"/>
    <n v="0"/>
    <n v="1.0545"/>
    <n v="59.8919"/>
    <n v="187.09700000000001"/>
    <n v="109.0159"/>
    <n v="38.962899999999998"/>
    <n v="6.3720999999999997"/>
    <n v="1.6055999999999999"/>
    <n v="0.1"/>
    <n v="0.1"/>
    <n v="0"/>
    <n v="20190408"/>
    <n v="404.19990000000001"/>
  </r>
  <r>
    <s v="BITS"/>
    <x v="1"/>
    <n v="1"/>
    <x v="5"/>
    <n v="13"/>
    <n v="126436"/>
    <s v="Gadus morhua"/>
    <n v="0"/>
    <n v="0.71430000000000005"/>
    <n v="22.894200000000001"/>
    <n v="140.69829999999999"/>
    <n v="78.5261"/>
    <n v="33.675899999999999"/>
    <n v="4.9329999999999998"/>
    <n v="1.3915"/>
    <n v="0.33329999999999999"/>
    <n v="0.16669999999999999"/>
    <n v="0"/>
    <n v="20190408"/>
    <n v="283.33330000000001"/>
  </r>
  <r>
    <s v="BITS"/>
    <x v="1"/>
    <n v="1"/>
    <x v="5"/>
    <n v="14"/>
    <n v="126436"/>
    <s v="Gadus morhua"/>
    <n v="0"/>
    <n v="3.5"/>
    <n v="29.214400000000001"/>
    <n v="179.65520000000001"/>
    <n v="118.23220000000001"/>
    <n v="59.0488"/>
    <n v="13.455299999999999"/>
    <n v="2.8940000000000001"/>
    <n v="0"/>
    <n v="0"/>
    <n v="0"/>
    <n v="20190408"/>
    <n v="405.99990000000008"/>
  </r>
  <r>
    <s v="BITS"/>
    <x v="1"/>
    <n v="1"/>
    <x v="5"/>
    <n v="9"/>
    <n v="126436"/>
    <s v="Gadus morhua"/>
    <n v="0"/>
    <n v="14.6778"/>
    <n v="31.812899999999999"/>
    <n v="73.534400000000005"/>
    <n v="41.125700000000002"/>
    <n v="14.273899999999999"/>
    <n v="2.2382"/>
    <n v="0.75919999999999999"/>
    <n v="0"/>
    <n v="0"/>
    <n v="0"/>
    <n v="20190408"/>
    <n v="178.4221"/>
  </r>
  <r>
    <s v="BITS"/>
    <x v="1"/>
    <n v="1"/>
    <x v="6"/>
    <n v="11"/>
    <n v="126436"/>
    <s v="Gadus morhua"/>
    <n v="0"/>
    <n v="0"/>
    <n v="0.8"/>
    <n v="0.2"/>
    <n v="0"/>
    <n v="0.5"/>
    <n v="0"/>
    <n v="0"/>
    <n v="0"/>
    <n v="0"/>
    <n v="0"/>
    <n v="20190408"/>
    <n v="1.5"/>
  </r>
  <r>
    <s v="BITS"/>
    <x v="1"/>
    <n v="1"/>
    <x v="6"/>
    <n v="12"/>
    <n v="126436"/>
    <s v="Gadus morhua"/>
    <n v="0"/>
    <n v="0"/>
    <n v="0"/>
    <n v="0"/>
    <n v="0"/>
    <n v="0"/>
    <n v="0"/>
    <n v="0"/>
    <n v="0"/>
    <n v="0"/>
    <n v="0"/>
    <n v="20190408"/>
    <n v="0"/>
  </r>
  <r>
    <s v="BITS"/>
    <x v="1"/>
    <n v="1"/>
    <x v="6"/>
    <n v="13"/>
    <n v="126436"/>
    <s v="Gadus morhua"/>
    <n v="0"/>
    <n v="0"/>
    <n v="0"/>
    <n v="0"/>
    <n v="0"/>
    <n v="0"/>
    <n v="0"/>
    <n v="0"/>
    <n v="0"/>
    <n v="0"/>
    <n v="0"/>
    <n v="20190408"/>
    <n v="0"/>
  </r>
  <r>
    <s v="BITS"/>
    <x v="1"/>
    <n v="1"/>
    <x v="7"/>
    <n v="10"/>
    <n v="126436"/>
    <s v="Gadus morhua"/>
    <n v="0"/>
    <n v="2"/>
    <n v="15.977600000000001"/>
    <n v="25.257200000000001"/>
    <n v="9.4143000000000008"/>
    <n v="1.7476"/>
    <n v="0.23810000000000001"/>
    <n v="0.22220000000000001"/>
    <n v="0"/>
    <n v="0"/>
    <n v="0"/>
    <n v="20190408"/>
    <n v="54.857000000000006"/>
  </r>
  <r>
    <s v="BITS"/>
    <x v="1"/>
    <n v="1"/>
    <x v="7"/>
    <n v="11"/>
    <n v="126436"/>
    <s v="Gadus morhua"/>
    <n v="0"/>
    <n v="0.36359999999999998"/>
    <n v="18.884799999999998"/>
    <n v="30.355599999999999"/>
    <n v="14.0657"/>
    <n v="3.7368000000000001"/>
    <n v="0.73480000000000001"/>
    <n v="0.40400000000000003"/>
    <n v="0"/>
    <n v="0"/>
    <n v="0"/>
    <n v="20190408"/>
    <n v="68.545299999999997"/>
  </r>
  <r>
    <s v="BITS"/>
    <x v="1"/>
    <n v="1"/>
    <x v="7"/>
    <n v="12"/>
    <n v="126436"/>
    <s v="Gadus morhua"/>
    <n v="0"/>
    <n v="0"/>
    <n v="0.42920000000000003"/>
    <n v="1.7442"/>
    <n v="1.0093000000000001"/>
    <n v="0.65059999999999996"/>
    <n v="0.25"/>
    <n v="0.16669999999999999"/>
    <n v="0"/>
    <n v="0"/>
    <n v="0"/>
    <n v="20190408"/>
    <n v="4.2499999999999991"/>
  </r>
  <r>
    <s v="BITS"/>
    <x v="1"/>
    <n v="1"/>
    <x v="7"/>
    <n v="9"/>
    <n v="126436"/>
    <s v="Gadus morhua"/>
    <n v="0"/>
    <n v="0"/>
    <n v="0.1111"/>
    <n v="1.8889"/>
    <n v="2"/>
    <n v="1"/>
    <n v="0.33329999999999999"/>
    <n v="0"/>
    <n v="0"/>
    <n v="0"/>
    <n v="0"/>
    <n v="20190408"/>
    <n v="5.3333000000000004"/>
  </r>
  <r>
    <s v="BITS"/>
    <x v="2"/>
    <n v="1"/>
    <x v="0"/>
    <n v="10"/>
    <n v="126436"/>
    <s v="Gadus morhua"/>
    <n v="0"/>
    <n v="5.5E-2"/>
    <n v="0.58069999999999999"/>
    <n v="1.0543"/>
    <n v="7.7100000000000002E-2"/>
    <n v="0.10290000000000001"/>
    <n v="0"/>
    <n v="0"/>
    <n v="0"/>
    <n v="0"/>
    <n v="0"/>
    <n v="20190103"/>
    <n v="1.8699999999999999"/>
  </r>
  <r>
    <s v="BITS"/>
    <x v="2"/>
    <n v="1"/>
    <x v="0"/>
    <n v="11"/>
    <n v="126436"/>
    <s v="Gadus morhua"/>
    <n v="0"/>
    <n v="0"/>
    <n v="4.18"/>
    <n v="0"/>
    <n v="0"/>
    <n v="0"/>
    <n v="0"/>
    <n v="0"/>
    <n v="0"/>
    <n v="0"/>
    <n v="0"/>
    <n v="20190103"/>
    <n v="4.18"/>
  </r>
  <r>
    <s v="BITS"/>
    <x v="2"/>
    <n v="1"/>
    <x v="0"/>
    <n v="9"/>
    <n v="126436"/>
    <s v="Gadus morhua"/>
    <n v="0"/>
    <n v="1.5024"/>
    <n v="5.9086999999999996"/>
    <n v="1.3263"/>
    <n v="3.9020000000000001"/>
    <n v="2.3565"/>
    <n v="9.7900000000000001E-2"/>
    <n v="5.0799999999999998E-2"/>
    <n v="0"/>
    <n v="0"/>
    <n v="0"/>
    <n v="20190103"/>
    <n v="15.144599999999999"/>
  </r>
  <r>
    <s v="BITS"/>
    <x v="2"/>
    <n v="1"/>
    <x v="1"/>
    <n v="8"/>
    <n v="126436"/>
    <s v="Gadus morhua"/>
    <n v="0"/>
    <n v="0.3831"/>
    <n v="1.1472"/>
    <n v="0.22509999999999999"/>
    <n v="1.2217"/>
    <n v="0.40660000000000002"/>
    <n v="0.20349999999999999"/>
    <n v="0"/>
    <n v="0"/>
    <n v="0"/>
    <n v="0"/>
    <n v="20190103"/>
    <n v="3.5872000000000002"/>
  </r>
  <r>
    <s v="BITS"/>
    <x v="2"/>
    <n v="1"/>
    <x v="1"/>
    <n v="9"/>
    <n v="126436"/>
    <s v="Gadus morhua"/>
    <n v="0"/>
    <n v="0.43219999999999997"/>
    <n v="8.3065999999999995"/>
    <n v="16.882200000000001"/>
    <n v="4.3868999999999998"/>
    <n v="1.0607"/>
    <n v="0.26640000000000003"/>
    <n v="2.75E-2"/>
    <n v="0"/>
    <n v="0"/>
    <n v="0"/>
    <n v="20190103"/>
    <n v="31.362500000000004"/>
  </r>
  <r>
    <s v="BITS"/>
    <x v="2"/>
    <n v="1"/>
    <x v="2"/>
    <n v="8"/>
    <n v="126436"/>
    <s v="Gadus morhua"/>
    <n v="0"/>
    <n v="0"/>
    <n v="107.9218"/>
    <n v="89.459800000000001"/>
    <n v="45.296799999999998"/>
    <n v="3.9308000000000001"/>
    <n v="0"/>
    <n v="0"/>
    <n v="0"/>
    <n v="0"/>
    <n v="0"/>
    <n v="20190103"/>
    <n v="246.60919999999999"/>
  </r>
  <r>
    <s v="BITS"/>
    <x v="2"/>
    <n v="1"/>
    <x v="2"/>
    <n v="9"/>
    <n v="126436"/>
    <s v="Gadus morhua"/>
    <n v="0"/>
    <n v="0"/>
    <n v="1.5732999999999999"/>
    <n v="1.4"/>
    <n v="5.9226999999999999"/>
    <n v="3.3239999999999998"/>
    <n v="0"/>
    <n v="0"/>
    <n v="0"/>
    <n v="0"/>
    <n v="0"/>
    <n v="20190103"/>
    <n v="12.22"/>
  </r>
  <r>
    <s v="BITS"/>
    <x v="2"/>
    <n v="1"/>
    <x v="3"/>
    <n v="10"/>
    <n v="126436"/>
    <s v="Gadus morhua"/>
    <n v="0"/>
    <n v="4.1344000000000003"/>
    <n v="0"/>
    <n v="742.44100000000003"/>
    <n v="469.57499999999999"/>
    <n v="0"/>
    <n v="0"/>
    <n v="0"/>
    <n v="0"/>
    <n v="0"/>
    <n v="0"/>
    <n v="20190103"/>
    <n v="1216.1504"/>
  </r>
  <r>
    <s v="BITS"/>
    <x v="2"/>
    <n v="1"/>
    <x v="3"/>
    <n v="8"/>
    <n v="126436"/>
    <s v="Gadus morhua"/>
    <n v="0"/>
    <n v="0"/>
    <n v="0"/>
    <n v="18.312000000000001"/>
    <n v="26.16"/>
    <n v="0"/>
    <n v="0"/>
    <n v="0"/>
    <n v="0"/>
    <n v="0"/>
    <n v="0"/>
    <n v="20190103"/>
    <n v="44.472000000000001"/>
  </r>
  <r>
    <s v="BITS"/>
    <x v="2"/>
    <n v="1"/>
    <x v="3"/>
    <n v="9"/>
    <n v="126436"/>
    <s v="Gadus morhua"/>
    <n v="0"/>
    <n v="0.73329999999999995"/>
    <n v="0"/>
    <n v="211.8587"/>
    <n v="116.2617"/>
    <n v="0"/>
    <n v="0"/>
    <n v="0"/>
    <n v="0"/>
    <n v="0"/>
    <n v="0"/>
    <n v="20190103"/>
    <n v="328.8537"/>
  </r>
  <r>
    <s v="BITS"/>
    <x v="2"/>
    <n v="1"/>
    <x v="4"/>
    <n v="10"/>
    <n v="126436"/>
    <s v="Gadus morhua"/>
    <n v="0"/>
    <n v="14.610099999999999"/>
    <n v="812.86019999999996"/>
    <n v="1006.7113000000001"/>
    <n v="409.51100000000002"/>
    <n v="44.914200000000001"/>
    <n v="3.1815000000000002"/>
    <n v="0.83560000000000001"/>
    <n v="0.41049999999999998"/>
    <n v="0"/>
    <n v="0"/>
    <n v="20190103"/>
    <n v="2293.0344"/>
  </r>
  <r>
    <s v="BITS"/>
    <x v="2"/>
    <n v="1"/>
    <x v="4"/>
    <n v="11"/>
    <n v="126436"/>
    <s v="Gadus morhua"/>
    <n v="0"/>
    <n v="2.4045000000000001"/>
    <n v="471.30650000000003"/>
    <n v="741.42529999999999"/>
    <n v="337.77870000000001"/>
    <n v="31.090299999999999"/>
    <n v="1.7542"/>
    <n v="0.63129999999999997"/>
    <n v="0.16089999999999999"/>
    <n v="0"/>
    <n v="0"/>
    <n v="20190103"/>
    <n v="1586.5517000000004"/>
  </r>
  <r>
    <s v="BITS"/>
    <x v="2"/>
    <n v="1"/>
    <x v="4"/>
    <n v="12"/>
    <n v="126436"/>
    <s v="Gadus morhua"/>
    <n v="0"/>
    <n v="0.13070000000000001"/>
    <n v="102.55110000000001"/>
    <n v="559.52139999999997"/>
    <n v="372.16989999999998"/>
    <n v="37.121099999999998"/>
    <n v="2.1522000000000001"/>
    <n v="0.94920000000000004"/>
    <n v="0.4103"/>
    <n v="0"/>
    <n v="0"/>
    <n v="20190103"/>
    <n v="1075.0058999999999"/>
  </r>
  <r>
    <s v="BITS"/>
    <x v="2"/>
    <n v="1"/>
    <x v="4"/>
    <n v="9"/>
    <n v="126436"/>
    <s v="Gadus morhua"/>
    <n v="0"/>
    <n v="0.33329999999999999"/>
    <n v="7.6231"/>
    <n v="169.2835"/>
    <n v="149.62690000000001"/>
    <n v="13.964700000000001"/>
    <n v="0.74009999999999998"/>
    <n v="0.20619999999999999"/>
    <n v="5.5599999999999997E-2"/>
    <n v="0"/>
    <n v="0"/>
    <n v="20190103"/>
    <n v="341.83340000000004"/>
  </r>
  <r>
    <s v="BITS"/>
    <x v="2"/>
    <n v="1"/>
    <x v="5"/>
    <n v="10"/>
    <n v="126436"/>
    <s v="Gadus morhua"/>
    <n v="0"/>
    <n v="13.537699999999999"/>
    <n v="54.408099999999997"/>
    <n v="102.5322"/>
    <n v="75.475399999999993"/>
    <n v="40.125399999999999"/>
    <n v="10.2691"/>
    <n v="0.92120000000000002"/>
    <n v="0.1"/>
    <n v="9.0899999999999995E-2"/>
    <n v="0"/>
    <n v="20190103"/>
    <n v="297.45999999999998"/>
  </r>
  <r>
    <s v="BITS"/>
    <x v="2"/>
    <n v="1"/>
    <x v="5"/>
    <n v="11"/>
    <n v="126436"/>
    <s v="Gadus morhua"/>
    <n v="0"/>
    <n v="2.8618999999999999"/>
    <n v="327.18650000000002"/>
    <n v="233.5667"/>
    <n v="117.6147"/>
    <n v="64.657200000000003"/>
    <n v="13.1927"/>
    <n v="0.62929999999999997"/>
    <n v="0"/>
    <n v="0.1885"/>
    <n v="0"/>
    <n v="20190103"/>
    <n v="759.89749999999981"/>
  </r>
  <r>
    <s v="BITS"/>
    <x v="2"/>
    <n v="1"/>
    <x v="5"/>
    <n v="12"/>
    <n v="126436"/>
    <s v="Gadus morhua"/>
    <n v="0"/>
    <n v="1.6783999999999999"/>
    <n v="198.06880000000001"/>
    <n v="443.61759999999998"/>
    <n v="251.4913"/>
    <n v="145.65379999999999"/>
    <n v="28.7454"/>
    <n v="1.4291"/>
    <n v="0"/>
    <n v="0.25669999999999998"/>
    <n v="0"/>
    <n v="20190103"/>
    <n v="1070.9411"/>
  </r>
  <r>
    <s v="BITS"/>
    <x v="2"/>
    <n v="1"/>
    <x v="5"/>
    <n v="13"/>
    <n v="126436"/>
    <s v="Gadus morhua"/>
    <n v="0"/>
    <n v="0"/>
    <n v="18.069299999999998"/>
    <n v="138.49160000000001"/>
    <n v="98.906099999999995"/>
    <n v="65.174599999999998"/>
    <n v="13.7912"/>
    <n v="2.4763000000000002"/>
    <n v="0.25"/>
    <n v="9.0899999999999995E-2"/>
    <n v="0"/>
    <n v="20190103"/>
    <n v="337.24999999999994"/>
  </r>
  <r>
    <s v="BITS"/>
    <x v="2"/>
    <n v="1"/>
    <x v="5"/>
    <n v="14"/>
    <n v="126436"/>
    <s v="Gadus morhua"/>
    <n v="0"/>
    <n v="0"/>
    <n v="109.0431"/>
    <n v="602.68769999999995"/>
    <n v="503.12009999999998"/>
    <n v="297.65710000000001"/>
    <n v="80.775700000000001"/>
    <n v="8.3526000000000007"/>
    <n v="0"/>
    <n v="2.3635999999999999"/>
    <n v="0"/>
    <n v="20190103"/>
    <n v="1603.9998999999996"/>
  </r>
  <r>
    <s v="BITS"/>
    <x v="2"/>
    <n v="1"/>
    <x v="5"/>
    <n v="9"/>
    <n v="126436"/>
    <s v="Gadus morhua"/>
    <n v="0"/>
    <n v="2.5295999999999998"/>
    <n v="44.688200000000002"/>
    <n v="54.451700000000002"/>
    <n v="28.580500000000001"/>
    <n v="13.0739"/>
    <n v="3.5303"/>
    <n v="0.23860000000000001"/>
    <n v="0"/>
    <n v="4.0399999999999998E-2"/>
    <n v="0"/>
    <n v="20190103"/>
    <n v="147.13320000000002"/>
  </r>
  <r>
    <s v="BITS"/>
    <x v="2"/>
    <n v="1"/>
    <x v="6"/>
    <n v="11"/>
    <n v="126436"/>
    <s v="Gadus morhua"/>
    <n v="0"/>
    <n v="0"/>
    <n v="18.083300000000001"/>
    <n v="15.333299999999999"/>
    <n v="5.5833000000000004"/>
    <n v="1"/>
    <n v="0"/>
    <n v="0"/>
    <n v="0"/>
    <n v="0"/>
    <n v="0"/>
    <n v="20190103"/>
    <n v="39.999900000000004"/>
  </r>
  <r>
    <s v="BITS"/>
    <x v="2"/>
    <n v="1"/>
    <x v="6"/>
    <n v="12"/>
    <n v="126436"/>
    <s v="Gadus morhua"/>
    <n v="0"/>
    <n v="0"/>
    <n v="0"/>
    <n v="0"/>
    <n v="0"/>
    <n v="0"/>
    <n v="0"/>
    <n v="0"/>
    <n v="0"/>
    <n v="0"/>
    <n v="0"/>
    <n v="20190103"/>
    <n v="0"/>
  </r>
  <r>
    <s v="BITS"/>
    <x v="2"/>
    <n v="1"/>
    <x v="6"/>
    <n v="13"/>
    <n v="126436"/>
    <s v="Gadus morhua"/>
    <n v="0"/>
    <n v="0"/>
    <n v="0"/>
    <n v="0"/>
    <n v="0"/>
    <n v="0"/>
    <n v="0"/>
    <n v="0"/>
    <n v="0"/>
    <n v="0"/>
    <n v="0"/>
    <n v="20190103"/>
    <n v="0"/>
  </r>
  <r>
    <s v="BITS"/>
    <x v="2"/>
    <n v="1"/>
    <x v="7"/>
    <n v="10"/>
    <n v="126436"/>
    <s v="Gadus morhua"/>
    <n v="0"/>
    <n v="1"/>
    <n v="4.1666999999999996"/>
    <n v="3"/>
    <n v="0.83330000000000004"/>
    <n v="0"/>
    <n v="0"/>
    <n v="0"/>
    <n v="0"/>
    <n v="0"/>
    <n v="0"/>
    <n v="20190103"/>
    <n v="8.9999999999999982"/>
  </r>
  <r>
    <s v="BITS"/>
    <x v="2"/>
    <n v="1"/>
    <x v="7"/>
    <n v="11"/>
    <n v="126436"/>
    <s v="Gadus morhua"/>
    <n v="0"/>
    <n v="0.44440000000000002"/>
    <n v="18.555499999999999"/>
    <n v="7.0369999999999999"/>
    <n v="3.6295999999999999"/>
    <n v="2.2222"/>
    <n v="1"/>
    <n v="0"/>
    <n v="0"/>
    <n v="0"/>
    <n v="0"/>
    <n v="20190103"/>
    <n v="32.8887"/>
  </r>
  <r>
    <s v="BITS"/>
    <x v="2"/>
    <n v="1"/>
    <x v="7"/>
    <n v="12"/>
    <n v="126436"/>
    <s v="Gadus morhua"/>
    <n v="0"/>
    <n v="0"/>
    <n v="0.57140000000000002"/>
    <n v="1.6667000000000001"/>
    <n v="0.85709999999999997"/>
    <n v="0"/>
    <n v="0.33329999999999999"/>
    <n v="0"/>
    <n v="0"/>
    <n v="0"/>
    <n v="0"/>
    <n v="20190103"/>
    <n v="3.4285000000000001"/>
  </r>
  <r>
    <s v="BITS"/>
    <x v="2"/>
    <n v="1"/>
    <x v="7"/>
    <n v="9"/>
    <n v="126436"/>
    <s v="Gadus morhua"/>
    <n v="0"/>
    <n v="0.33329999999999999"/>
    <n v="0.58330000000000004"/>
    <n v="0.91669999999999996"/>
    <n v="0.38890000000000002"/>
    <n v="0.55559999999999998"/>
    <n v="0.22220000000000001"/>
    <n v="0"/>
    <n v="0"/>
    <n v="0"/>
    <n v="0"/>
    <n v="20190103"/>
    <n v="3"/>
  </r>
  <r>
    <s v="BITS"/>
    <x v="3"/>
    <n v="1"/>
    <x v="0"/>
    <n v="10"/>
    <n v="126436"/>
    <s v="Gadus morhua"/>
    <n v="0"/>
    <n v="13.4221"/>
    <n v="0.76449999999999996"/>
    <n v="0"/>
    <n v="0.40949999999999998"/>
    <n v="7.0499999999999993E-2"/>
    <n v="0"/>
    <n v="0"/>
    <n v="0"/>
    <n v="0"/>
    <n v="0"/>
    <n v="20180408"/>
    <n v="14.666599999999999"/>
  </r>
  <r>
    <s v="BITS"/>
    <x v="3"/>
    <n v="1"/>
    <x v="0"/>
    <n v="11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3"/>
    <n v="1"/>
    <x v="0"/>
    <n v="12"/>
    <n v="126436"/>
    <s v="Gadus morhua"/>
    <n v="0"/>
    <n v="174.059"/>
    <n v="4.681"/>
    <n v="0"/>
    <n v="0.88"/>
    <n v="0"/>
    <n v="0"/>
    <n v="0"/>
    <n v="0"/>
    <n v="0"/>
    <n v="0"/>
    <n v="20180408"/>
    <n v="179.62"/>
  </r>
  <r>
    <s v="BITS"/>
    <x v="3"/>
    <n v="1"/>
    <x v="0"/>
    <n v="9"/>
    <n v="126436"/>
    <s v="Gadus morhua"/>
    <n v="0"/>
    <n v="57.772100000000002"/>
    <n v="2.3443000000000001"/>
    <n v="1.9028"/>
    <n v="4.4630000000000001"/>
    <n v="2.2658999999999998"/>
    <n v="0.48709999999999998"/>
    <n v="0"/>
    <n v="0"/>
    <n v="0"/>
    <n v="0"/>
    <n v="20180408"/>
    <n v="69.235199999999992"/>
  </r>
  <r>
    <s v="BITS"/>
    <x v="3"/>
    <n v="1"/>
    <x v="1"/>
    <n v="8"/>
    <n v="126436"/>
    <s v="Gadus morhua"/>
    <n v="0"/>
    <n v="68.134100000000004"/>
    <n v="2.1372"/>
    <n v="6.7210999999999999"/>
    <n v="1.0707"/>
    <n v="0.33210000000000001"/>
    <n v="0"/>
    <n v="0"/>
    <n v="0"/>
    <n v="0"/>
    <n v="0"/>
    <n v="20180408"/>
    <n v="78.395200000000003"/>
  </r>
  <r>
    <s v="BITS"/>
    <x v="3"/>
    <n v="1"/>
    <x v="1"/>
    <n v="9"/>
    <n v="126436"/>
    <s v="Gadus morhua"/>
    <n v="0"/>
    <n v="135.79679999999999"/>
    <n v="6.0438999999999998"/>
    <n v="22.678599999999999"/>
    <n v="8.7973999999999997"/>
    <n v="4.6131000000000002"/>
    <n v="0.56899999999999995"/>
    <n v="0.39369999999999999"/>
    <n v="0.32669999999999999"/>
    <n v="0"/>
    <n v="0"/>
    <n v="20180408"/>
    <n v="179.21919999999997"/>
  </r>
  <r>
    <s v="BITS"/>
    <x v="3"/>
    <n v="1"/>
    <x v="2"/>
    <n v="8"/>
    <n v="126436"/>
    <s v="Gadus morhua"/>
    <n v="0"/>
    <n v="131.1062"/>
    <n v="110.14449999999999"/>
    <n v="291.92360000000002"/>
    <n v="42.302100000000003"/>
    <n v="3.0196000000000001"/>
    <n v="0"/>
    <n v="0"/>
    <n v="0"/>
    <n v="0"/>
    <n v="0"/>
    <n v="20180408"/>
    <n v="578.49599999999998"/>
  </r>
  <r>
    <s v="BITS"/>
    <x v="3"/>
    <n v="1"/>
    <x v="2"/>
    <n v="9"/>
    <n v="126436"/>
    <s v="Gadus morhua"/>
    <n v="0"/>
    <n v="35.948900000000002"/>
    <n v="29.102799999999998"/>
    <n v="108.0309"/>
    <n v="10.6774"/>
    <n v="1.94"/>
    <n v="0.22"/>
    <n v="0"/>
    <n v="0"/>
    <n v="0"/>
    <n v="0"/>
    <n v="20180408"/>
    <n v="185.92000000000002"/>
  </r>
  <r>
    <s v="BITS"/>
    <x v="3"/>
    <n v="1"/>
    <x v="3"/>
    <n v="10"/>
    <n v="126436"/>
    <s v="Gadus morhua"/>
    <n v="0"/>
    <n v="23.805599999999998"/>
    <n v="380.62869999999998"/>
    <n v="428.47399999999999"/>
    <n v="253.33359999999999"/>
    <n v="102.0153"/>
    <n v="11.2552"/>
    <n v="3.5167999999999999"/>
    <n v="0"/>
    <n v="0"/>
    <n v="0"/>
    <n v="20180408"/>
    <n v="1203.0292000000002"/>
  </r>
  <r>
    <s v="BITS"/>
    <x v="3"/>
    <n v="1"/>
    <x v="3"/>
    <n v="8"/>
    <n v="126436"/>
    <s v="Gadus morhua"/>
    <n v="0"/>
    <n v="53.046199999999999"/>
    <n v="53.099499999999999"/>
    <n v="11.5084"/>
    <n v="10.421900000000001"/>
    <n v="10.348100000000001"/>
    <n v="1.2068000000000001"/>
    <n v="0.36899999999999999"/>
    <n v="0"/>
    <n v="0"/>
    <n v="0"/>
    <n v="20180408"/>
    <n v="139.99989999999997"/>
  </r>
  <r>
    <s v="BITS"/>
    <x v="3"/>
    <n v="1"/>
    <x v="3"/>
    <n v="9"/>
    <n v="126436"/>
    <s v="Gadus morhua"/>
    <n v="0"/>
    <n v="50.02"/>
    <n v="172.2311"/>
    <n v="126.18989999999999"/>
    <n v="85.375799999999998"/>
    <n v="30.677199999999999"/>
    <n v="2.7296"/>
    <n v="0.8911"/>
    <n v="0"/>
    <n v="0"/>
    <n v="0"/>
    <n v="20180408"/>
    <n v="468.11470000000003"/>
  </r>
  <r>
    <s v="BITS"/>
    <x v="3"/>
    <n v="1"/>
    <x v="4"/>
    <n v="10"/>
    <n v="126436"/>
    <s v="Gadus morhua"/>
    <n v="0"/>
    <n v="37.144599999999997"/>
    <n v="254.0686"/>
    <n v="294.06970000000001"/>
    <n v="110.0476"/>
    <n v="25.7605"/>
    <n v="4.1820000000000004"/>
    <n v="0.45040000000000002"/>
    <n v="6.0299999999999999E-2"/>
    <n v="0"/>
    <n v="0"/>
    <n v="20180408"/>
    <n v="725.78369999999995"/>
  </r>
  <r>
    <s v="BITS"/>
    <x v="3"/>
    <n v="1"/>
    <x v="4"/>
    <n v="11"/>
    <n v="126436"/>
    <s v="Gadus morhua"/>
    <n v="0"/>
    <n v="17.157800000000002"/>
    <n v="201.4282"/>
    <n v="416.49130000000002"/>
    <n v="220.46019999999999"/>
    <n v="51.317900000000002"/>
    <n v="8.2119"/>
    <n v="0.50670000000000004"/>
    <n v="5.2299999999999999E-2"/>
    <n v="0"/>
    <n v="0"/>
    <n v="20180408"/>
    <n v="915.62630000000001"/>
  </r>
  <r>
    <s v="BITS"/>
    <x v="3"/>
    <n v="1"/>
    <x v="4"/>
    <n v="12"/>
    <n v="126436"/>
    <s v="Gadus morhua"/>
    <n v="0"/>
    <n v="0.71809999999999996"/>
    <n v="49.7209"/>
    <n v="276.5514"/>
    <n v="236.6474"/>
    <n v="69.703800000000001"/>
    <n v="12.2803"/>
    <n v="0.97399999999999998"/>
    <n v="0.27750000000000002"/>
    <n v="0"/>
    <n v="0"/>
    <n v="20180408"/>
    <n v="646.87340000000006"/>
  </r>
  <r>
    <s v="BITS"/>
    <x v="3"/>
    <n v="1"/>
    <x v="4"/>
    <n v="9"/>
    <n v="126436"/>
    <s v="Gadus morhua"/>
    <n v="0"/>
    <n v="6.9603999999999999"/>
    <n v="12.3203"/>
    <n v="84.109700000000004"/>
    <n v="59.264800000000001"/>
    <n v="11.2986"/>
    <n v="1.6085"/>
    <n v="4.7600000000000003E-2"/>
    <n v="3.3000000000000002E-2"/>
    <n v="0"/>
    <n v="0"/>
    <n v="20180408"/>
    <n v="175.64289999999997"/>
  </r>
  <r>
    <s v="BITS"/>
    <x v="3"/>
    <n v="1"/>
    <x v="5"/>
    <n v="10"/>
    <n v="126436"/>
    <s v="Gadus morhua"/>
    <n v="0"/>
    <n v="27.425899999999999"/>
    <n v="14.7864"/>
    <n v="11.2788"/>
    <n v="10.477"/>
    <n v="8.1727000000000007"/>
    <n v="4.0989000000000004"/>
    <n v="0.85919999999999996"/>
    <n v="0.1915"/>
    <n v="5.9499999999999997E-2"/>
    <n v="0"/>
    <n v="20180408"/>
    <n v="77.349900000000019"/>
  </r>
  <r>
    <s v="BITS"/>
    <x v="3"/>
    <n v="1"/>
    <x v="5"/>
    <n v="11"/>
    <n v="126436"/>
    <s v="Gadus morhua"/>
    <n v="0"/>
    <n v="10.585699999999999"/>
    <n v="54.021000000000001"/>
    <n v="141.5856"/>
    <n v="97.475999999999999"/>
    <n v="58.2913"/>
    <n v="25.4283"/>
    <n v="4.7241999999999997"/>
    <n v="0.61439999999999995"/>
    <n v="0.1333"/>
    <n v="0"/>
    <n v="20180408"/>
    <n v="392.85979999999995"/>
  </r>
  <r>
    <s v="BITS"/>
    <x v="3"/>
    <n v="1"/>
    <x v="5"/>
    <n v="12"/>
    <n v="126436"/>
    <s v="Gadus morhua"/>
    <n v="0"/>
    <n v="2.3313000000000001"/>
    <n v="27.597100000000001"/>
    <n v="166.80529999999999"/>
    <n v="132.39959999999999"/>
    <n v="81.6661"/>
    <n v="35.6935"/>
    <n v="5.2789000000000001"/>
    <n v="0.67679999999999996"/>
    <n v="0.14019999999999999"/>
    <n v="0"/>
    <n v="20180408"/>
    <n v="452.58879999999999"/>
  </r>
  <r>
    <s v="BITS"/>
    <x v="3"/>
    <n v="1"/>
    <x v="5"/>
    <n v="13"/>
    <n v="126436"/>
    <s v="Gadus morhua"/>
    <n v="0"/>
    <n v="6.2778"/>
    <n v="17.716899999999999"/>
    <n v="174.69149999999999"/>
    <n v="171.9461"/>
    <n v="126.551"/>
    <n v="52.028399999999998"/>
    <n v="10.0229"/>
    <n v="1.8369"/>
    <n v="0.17860000000000001"/>
    <n v="0"/>
    <n v="20180408"/>
    <n v="561.25009999999997"/>
  </r>
  <r>
    <s v="BITS"/>
    <x v="3"/>
    <n v="1"/>
    <x v="5"/>
    <n v="9"/>
    <n v="126436"/>
    <s v="Gadus morhua"/>
    <n v="0"/>
    <n v="13.7265"/>
    <n v="4.1921999999999997"/>
    <n v="6.4756999999999998"/>
    <n v="8.5493000000000006"/>
    <n v="7.7798999999999996"/>
    <n v="4.9507000000000003"/>
    <n v="0.9526"/>
    <n v="0.2762"/>
    <n v="9.6799999999999997E-2"/>
    <n v="0"/>
    <n v="20180408"/>
    <n v="46.999899999999997"/>
  </r>
  <r>
    <s v="BITS"/>
    <x v="3"/>
    <n v="1"/>
    <x v="6"/>
    <n v="10"/>
    <n v="126436"/>
    <s v="Gadus morhua"/>
    <n v="0"/>
    <n v="0"/>
    <n v="0"/>
    <n v="1"/>
    <n v="0"/>
    <n v="0"/>
    <n v="0"/>
    <n v="0"/>
    <n v="0"/>
    <n v="0"/>
    <n v="0"/>
    <n v="20180408"/>
    <n v="1"/>
  </r>
  <r>
    <s v="BITS"/>
    <x v="3"/>
    <n v="1"/>
    <x v="6"/>
    <n v="11"/>
    <n v="126436"/>
    <s v="Gadus morhua"/>
    <n v="0"/>
    <n v="0"/>
    <n v="0.16669999999999999"/>
    <n v="6.1238000000000001"/>
    <n v="2.2094999999999998"/>
    <n v="0.5"/>
    <n v="0"/>
    <n v="0"/>
    <n v="0"/>
    <n v="0"/>
    <n v="0"/>
    <n v="20180408"/>
    <n v="9"/>
  </r>
  <r>
    <s v="BITS"/>
    <x v="3"/>
    <n v="1"/>
    <x v="6"/>
    <n v="12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3"/>
    <n v="1"/>
    <x v="6"/>
    <n v="13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3"/>
    <n v="1"/>
    <x v="7"/>
    <n v="10"/>
    <n v="126436"/>
    <s v="Gadus morhua"/>
    <n v="0"/>
    <n v="3.6"/>
    <n v="1.2796000000000001"/>
    <n v="4.0728999999999997"/>
    <n v="3.6452"/>
    <n v="2.6675"/>
    <n v="0.80100000000000005"/>
    <n v="0.1157"/>
    <n v="0"/>
    <n v="1.8200000000000001E-2"/>
    <n v="0"/>
    <n v="20180408"/>
    <n v="16.200099999999999"/>
  </r>
  <r>
    <s v="BITS"/>
    <x v="3"/>
    <n v="1"/>
    <x v="7"/>
    <n v="11"/>
    <n v="126436"/>
    <s v="Gadus morhua"/>
    <n v="0"/>
    <n v="0"/>
    <n v="1.3229"/>
    <n v="5.3677000000000001"/>
    <n v="4.1722000000000001"/>
    <n v="2.92"/>
    <n v="1.2347999999999999"/>
    <n v="0.1641"/>
    <n v="0"/>
    <n v="1.8200000000000001E-2"/>
    <n v="0"/>
    <n v="20180408"/>
    <n v="15.1999"/>
  </r>
  <r>
    <s v="BITS"/>
    <x v="3"/>
    <n v="1"/>
    <x v="7"/>
    <n v="12"/>
    <n v="126436"/>
    <s v="Gadus morhua"/>
    <n v="0"/>
    <n v="0"/>
    <n v="48.4726"/>
    <n v="286.1026"/>
    <n v="155.45769999999999"/>
    <n v="117.0508"/>
    <n v="34.126300000000001"/>
    <n v="7.0080999999999998"/>
    <n v="0.8"/>
    <n v="0.58179999999999998"/>
    <n v="0"/>
    <n v="20180408"/>
    <n v="649.59990000000005"/>
  </r>
  <r>
    <s v="BITS"/>
    <x v="3"/>
    <n v="1"/>
    <x v="7"/>
    <n v="13"/>
    <n v="126436"/>
    <s v="Gadus morhua"/>
    <n v="0"/>
    <n v="0"/>
    <n v="7.3578999999999999"/>
    <n v="50.912100000000002"/>
    <n v="34.494199999999999"/>
    <n v="25.611000000000001"/>
    <n v="8.5338999999999992"/>
    <n v="0.72729999999999995"/>
    <n v="0"/>
    <n v="0.36359999999999998"/>
    <n v="0"/>
    <n v="20180408"/>
    <n v="128"/>
  </r>
  <r>
    <s v="BITS"/>
    <x v="3"/>
    <n v="1"/>
    <x v="7"/>
    <n v="9"/>
    <n v="126436"/>
    <s v="Gadus morhua"/>
    <n v="0"/>
    <n v="0"/>
    <n v="0"/>
    <n v="0"/>
    <n v="0"/>
    <n v="0"/>
    <n v="0"/>
    <n v="0"/>
    <n v="0"/>
    <n v="0"/>
    <n v="0"/>
    <n v="20180408"/>
    <n v="0"/>
  </r>
  <r>
    <s v="BITS"/>
    <x v="4"/>
    <n v="1"/>
    <x v="0"/>
    <n v="10"/>
    <n v="126436"/>
    <s v="Gadus morhua"/>
    <n v="0"/>
    <n v="2.9155000000000002"/>
    <n v="5.4574999999999996"/>
    <n v="0.32700000000000001"/>
    <n v="0.19500000000000001"/>
    <n v="0"/>
    <n v="0"/>
    <n v="0"/>
    <n v="0"/>
    <n v="0"/>
    <n v="0"/>
    <n v="20190305"/>
    <n v="8.8949999999999996"/>
  </r>
  <r>
    <s v="BITS"/>
    <x v="4"/>
    <n v="1"/>
    <x v="0"/>
    <n v="11"/>
    <n v="126436"/>
    <s v="Gadus morhua"/>
    <n v="0"/>
    <n v="0.85399999999999998"/>
    <n v="2.8460000000000001"/>
    <n v="0.87"/>
    <n v="0"/>
    <n v="0"/>
    <n v="0"/>
    <n v="0"/>
    <n v="0"/>
    <n v="0"/>
    <n v="0"/>
    <n v="20190305"/>
    <n v="4.57"/>
  </r>
  <r>
    <s v="BITS"/>
    <x v="4"/>
    <n v="1"/>
    <x v="0"/>
    <n v="9"/>
    <n v="126436"/>
    <s v="Gadus morhua"/>
    <n v="0"/>
    <n v="2.0874999999999999"/>
    <n v="10.0411"/>
    <n v="0.82979999999999998"/>
    <n v="6.8585000000000003"/>
    <n v="2.7608000000000001"/>
    <n v="0.88690000000000002"/>
    <n v="0"/>
    <n v="0"/>
    <n v="0"/>
    <n v="0"/>
    <n v="20190305"/>
    <n v="23.464600000000001"/>
  </r>
  <r>
    <s v="BITS"/>
    <x v="4"/>
    <n v="1"/>
    <x v="1"/>
    <n v="8"/>
    <n v="126436"/>
    <s v="Gadus morhua"/>
    <n v="0"/>
    <n v="0.83279999999999998"/>
    <n v="11.4072"/>
    <n v="0"/>
    <n v="0"/>
    <n v="0"/>
    <n v="0.13200000000000001"/>
    <n v="0"/>
    <n v="0"/>
    <n v="0"/>
    <n v="0"/>
    <n v="20190305"/>
    <n v="12.372"/>
  </r>
  <r>
    <s v="BITS"/>
    <x v="4"/>
    <n v="1"/>
    <x v="1"/>
    <n v="9"/>
    <n v="126436"/>
    <s v="Gadus morhua"/>
    <n v="0"/>
    <n v="3.0366"/>
    <n v="702.12599999999998"/>
    <n v="31.166499999999999"/>
    <n v="15.6785"/>
    <n v="4.7049000000000003"/>
    <n v="0.2107"/>
    <n v="7.6600000000000001E-2"/>
    <n v="4.9399999999999999E-2"/>
    <n v="0"/>
    <n v="0"/>
    <n v="20190305"/>
    <n v="757.04919999999993"/>
  </r>
  <r>
    <s v="BITS"/>
    <x v="4"/>
    <n v="1"/>
    <x v="2"/>
    <n v="8"/>
    <n v="126436"/>
    <s v="Gadus morhua"/>
    <n v="0"/>
    <n v="4.3067000000000002"/>
    <n v="343.86059999999998"/>
    <n v="111.18389999999999"/>
    <n v="59.268900000000002"/>
    <n v="17.100000000000001"/>
    <n v="1.1133"/>
    <n v="0.22670000000000001"/>
    <n v="0"/>
    <n v="0"/>
    <n v="0"/>
    <n v="20190305"/>
    <n v="537.06010000000003"/>
  </r>
  <r>
    <s v="BITS"/>
    <x v="4"/>
    <n v="1"/>
    <x v="2"/>
    <n v="9"/>
    <n v="126436"/>
    <s v="Gadus morhua"/>
    <n v="0"/>
    <n v="1.1313"/>
    <n v="1105.9294"/>
    <n v="137.7585"/>
    <n v="23.317"/>
    <n v="0"/>
    <n v="0"/>
    <n v="0"/>
    <n v="0"/>
    <n v="0"/>
    <n v="0"/>
    <n v="20190305"/>
    <n v="1268.1361999999999"/>
  </r>
  <r>
    <s v="BITS"/>
    <x v="4"/>
    <n v="1"/>
    <x v="3"/>
    <n v="10"/>
    <n v="126436"/>
    <s v="Gadus morhua"/>
    <n v="0"/>
    <n v="1.2846"/>
    <n v="900.98829999999998"/>
    <n v="633.46559999999999"/>
    <n v="147.1951"/>
    <n v="46.958399999999997"/>
    <n v="24.410399999999999"/>
    <n v="0"/>
    <n v="0"/>
    <n v="0"/>
    <n v="0"/>
    <n v="20190305"/>
    <n v="1754.3023999999998"/>
  </r>
  <r>
    <s v="BITS"/>
    <x v="4"/>
    <n v="1"/>
    <x v="3"/>
    <n v="11"/>
    <n v="126436"/>
    <s v="Gadus morhua"/>
    <n v="0"/>
    <n v="6"/>
    <n v="612.85239999999999"/>
    <n v="237.9119"/>
    <n v="26.835699999999999"/>
    <n v="4"/>
    <n v="0.4"/>
    <n v="0"/>
    <n v="0"/>
    <n v="0"/>
    <n v="0"/>
    <n v="20190305"/>
    <n v="888"/>
  </r>
  <r>
    <s v="BITS"/>
    <x v="4"/>
    <n v="1"/>
    <x v="3"/>
    <n v="8"/>
    <n v="126436"/>
    <s v="Gadus morhua"/>
    <n v="0"/>
    <n v="0"/>
    <n v="169.15960000000001"/>
    <n v="91.927300000000002"/>
    <n v="11.6426"/>
    <n v="2.6833999999999998"/>
    <n v="0.51400000000000001"/>
    <n v="0"/>
    <n v="0"/>
    <n v="0"/>
    <n v="0"/>
    <n v="20190305"/>
    <n v="275.92690000000005"/>
  </r>
  <r>
    <s v="BITS"/>
    <x v="4"/>
    <n v="1"/>
    <x v="3"/>
    <n v="9"/>
    <n v="126436"/>
    <s v="Gadus morhua"/>
    <n v="0"/>
    <n v="1.4564999999999999"/>
    <n v="578.54510000000005"/>
    <n v="397.03100000000001"/>
    <n v="57.665799999999997"/>
    <n v="9.7164999999999999"/>
    <n v="2.4409000000000001"/>
    <n v="0"/>
    <n v="0"/>
    <n v="0"/>
    <n v="0"/>
    <n v="20190305"/>
    <n v="1046.8558"/>
  </r>
  <r>
    <s v="BITS"/>
    <x v="4"/>
    <n v="1"/>
    <x v="4"/>
    <n v="10"/>
    <n v="126436"/>
    <s v="Gadus morhua"/>
    <n v="0"/>
    <n v="9.5351999999999997"/>
    <n v="447.28530000000001"/>
    <n v="316.42230000000001"/>
    <n v="127.8312"/>
    <n v="30.630299999999998"/>
    <n v="9.8268000000000004"/>
    <n v="0.59160000000000001"/>
    <n v="0.55049999999999999"/>
    <n v="0"/>
    <n v="0"/>
    <n v="20190305"/>
    <n v="942.67320000000007"/>
  </r>
  <r>
    <s v="BITS"/>
    <x v="4"/>
    <n v="1"/>
    <x v="4"/>
    <n v="11"/>
    <n v="126436"/>
    <s v="Gadus morhua"/>
    <n v="0"/>
    <n v="2.3816000000000002"/>
    <n v="183.44810000000001"/>
    <n v="204.4306"/>
    <n v="149.5301"/>
    <n v="37.7517"/>
    <n v="11.374000000000001"/>
    <n v="0.55600000000000005"/>
    <n v="0.56669999999999998"/>
    <n v="0"/>
    <n v="0"/>
    <n v="20190305"/>
    <n v="590.03880000000015"/>
  </r>
  <r>
    <s v="BITS"/>
    <x v="4"/>
    <n v="1"/>
    <x v="4"/>
    <n v="12"/>
    <n v="126436"/>
    <s v="Gadus morhua"/>
    <n v="0"/>
    <n v="0.4"/>
    <n v="5.3224"/>
    <n v="24.5792"/>
    <n v="41.188299999999998"/>
    <n v="15.286300000000001"/>
    <n v="5.7248000000000001"/>
    <n v="0.36559999999999998"/>
    <n v="0.33329999999999999"/>
    <n v="0"/>
    <n v="0"/>
    <n v="20190305"/>
    <n v="93.1999"/>
  </r>
  <r>
    <s v="BITS"/>
    <x v="4"/>
    <n v="1"/>
    <x v="4"/>
    <n v="9"/>
    <n v="126436"/>
    <s v="Gadus morhua"/>
    <n v="0"/>
    <n v="1.8125"/>
    <n v="12.184900000000001"/>
    <n v="67.873800000000003"/>
    <n v="74.9846"/>
    <n v="16.140899999999998"/>
    <n v="4.6177999999999999"/>
    <n v="0.27829999999999999"/>
    <n v="0.1071"/>
    <n v="0"/>
    <n v="0"/>
    <n v="20190305"/>
    <n v="177.99989999999997"/>
  </r>
  <r>
    <s v="BITS"/>
    <x v="4"/>
    <n v="1"/>
    <x v="5"/>
    <n v="10"/>
    <n v="126436"/>
    <s v="Gadus morhua"/>
    <n v="0"/>
    <n v="17.328499999999998"/>
    <n v="348.00360000000001"/>
    <n v="90.428700000000006"/>
    <n v="53.033700000000003"/>
    <n v="42.098999999999997"/>
    <n v="13.1731"/>
    <n v="4.9690000000000003"/>
    <n v="1.3137000000000001"/>
    <n v="0.23230000000000001"/>
    <n v="0"/>
    <n v="20190305"/>
    <n v="570.58160000000009"/>
  </r>
  <r>
    <s v="BITS"/>
    <x v="4"/>
    <n v="1"/>
    <x v="5"/>
    <n v="11"/>
    <n v="126436"/>
    <s v="Gadus morhua"/>
    <n v="0"/>
    <n v="136.74889999999999"/>
    <n v="780.34990000000005"/>
    <n v="138.809"/>
    <n v="96.480999999999995"/>
    <n v="87.689800000000005"/>
    <n v="29.976400000000002"/>
    <n v="14.345499999999999"/>
    <n v="9.6768000000000001"/>
    <n v="2.6951999999999998"/>
    <n v="0.2273"/>
    <n v="20190305"/>
    <n v="1296.9998000000001"/>
  </r>
  <r>
    <s v="BITS"/>
    <x v="4"/>
    <n v="1"/>
    <x v="5"/>
    <n v="12"/>
    <n v="126436"/>
    <s v="Gadus morhua"/>
    <n v="0"/>
    <n v="6.5799999999999997E-2"/>
    <n v="4.9983000000000004"/>
    <n v="5.5263"/>
    <n v="5.6334999999999997"/>
    <n v="4.6298000000000004"/>
    <n v="1.1456"/>
    <n v="0.36159999999999998"/>
    <n v="2.4199999999999999E-2"/>
    <n v="1.4800000000000001E-2"/>
    <n v="0"/>
    <n v="20190305"/>
    <n v="22.399899999999999"/>
  </r>
  <r>
    <s v="BITS"/>
    <x v="4"/>
    <n v="1"/>
    <x v="5"/>
    <n v="13"/>
    <n v="126436"/>
    <s v="Gadus morhua"/>
    <n v="0"/>
    <n v="0.25"/>
    <n v="0"/>
    <n v="0.16489999999999999"/>
    <n v="0.30430000000000001"/>
    <n v="0.27410000000000001"/>
    <n v="6.7999999999999996E-3"/>
    <n v="0"/>
    <n v="0"/>
    <n v="0"/>
    <n v="0"/>
    <n v="20190305"/>
    <n v="1.0001"/>
  </r>
  <r>
    <s v="BITS"/>
    <x v="4"/>
    <n v="1"/>
    <x v="5"/>
    <n v="14"/>
    <n v="126436"/>
    <s v="Gadus morhua"/>
    <n v="0"/>
    <n v="0"/>
    <n v="0"/>
    <n v="0"/>
    <n v="0"/>
    <n v="0"/>
    <n v="0"/>
    <n v="0"/>
    <n v="0"/>
    <n v="0"/>
    <n v="0"/>
    <n v="20190305"/>
    <n v="0"/>
  </r>
  <r>
    <s v="BITS"/>
    <x v="4"/>
    <n v="1"/>
    <x v="5"/>
    <n v="9"/>
    <n v="126436"/>
    <s v="Gadus morhua"/>
    <n v="0"/>
    <n v="1.4879"/>
    <n v="9.9525000000000006"/>
    <n v="11.1286"/>
    <n v="11.677099999999999"/>
    <n v="10.0014"/>
    <n v="2.4544999999999999"/>
    <n v="0.53139999999999998"/>
    <n v="2.5600000000000001E-2"/>
    <n v="7.4099999999999999E-2"/>
    <n v="0"/>
    <n v="20190305"/>
    <n v="47.333100000000002"/>
  </r>
  <r>
    <s v="BITS"/>
    <x v="4"/>
    <n v="1"/>
    <x v="6"/>
    <n v="11"/>
    <n v="126436"/>
    <s v="Gadus morhua"/>
    <n v="0"/>
    <n v="0.5"/>
    <n v="12"/>
    <n v="5.75"/>
    <n v="4.25"/>
    <n v="0.5"/>
    <n v="0"/>
    <n v="0"/>
    <n v="0"/>
    <n v="0"/>
    <n v="0"/>
    <n v="20190305"/>
    <n v="23"/>
  </r>
  <r>
    <s v="BITS"/>
    <x v="4"/>
    <n v="1"/>
    <x v="6"/>
    <n v="12"/>
    <n v="126436"/>
    <s v="Gadus morhua"/>
    <n v="0"/>
    <n v="0"/>
    <n v="36"/>
    <n v="18"/>
    <n v="0"/>
    <n v="0"/>
    <n v="0"/>
    <n v="0"/>
    <n v="0"/>
    <n v="0"/>
    <n v="0"/>
    <n v="20190305"/>
    <n v="54"/>
  </r>
  <r>
    <s v="BITS"/>
    <x v="4"/>
    <n v="1"/>
    <x v="7"/>
    <n v="10"/>
    <n v="126436"/>
    <s v="Gadus morhua"/>
    <n v="0"/>
    <n v="2.0832999999999999"/>
    <n v="6.9081000000000001"/>
    <n v="2.5163000000000002"/>
    <n v="2.3624999999999998"/>
    <n v="1.7464"/>
    <n v="0.25829999999999997"/>
    <n v="0"/>
    <n v="0"/>
    <n v="0"/>
    <n v="0"/>
    <n v="20190305"/>
    <n v="15.8749"/>
  </r>
  <r>
    <s v="BITS"/>
    <x v="4"/>
    <n v="1"/>
    <x v="7"/>
    <n v="11"/>
    <n v="126436"/>
    <s v="Gadus morhua"/>
    <n v="0"/>
    <n v="2.7732999999999999"/>
    <n v="30.173500000000001"/>
    <n v="8.0876999999999999"/>
    <n v="4.8343999999999996"/>
    <n v="2.0975999999999999"/>
    <n v="0.43330000000000002"/>
    <n v="0"/>
    <n v="0"/>
    <n v="0"/>
    <n v="0"/>
    <n v="20190305"/>
    <n v="48.399800000000006"/>
  </r>
  <r>
    <s v="BITS"/>
    <x v="4"/>
    <n v="1"/>
    <x v="7"/>
    <n v="12"/>
    <n v="126436"/>
    <s v="Gadus morhua"/>
    <n v="0"/>
    <n v="0.2"/>
    <n v="18.8446"/>
    <n v="3.0626000000000002"/>
    <n v="0.5"/>
    <n v="0.39290000000000003"/>
    <n v="0"/>
    <n v="0"/>
    <n v="0"/>
    <n v="0"/>
    <n v="0"/>
    <n v="20190305"/>
    <n v="23.0001"/>
  </r>
  <r>
    <s v="BITS"/>
    <x v="4"/>
    <n v="1"/>
    <x v="7"/>
    <n v="9"/>
    <n v="126436"/>
    <s v="Gadus morhua"/>
    <n v="0"/>
    <n v="0"/>
    <n v="0"/>
    <n v="0"/>
    <n v="0"/>
    <n v="0"/>
    <n v="0"/>
    <n v="0"/>
    <n v="0"/>
    <n v="0"/>
    <n v="0"/>
    <n v="20190305"/>
    <n v="0"/>
  </r>
  <r>
    <m/>
    <x v="5"/>
    <m/>
    <x v="8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>
  <location ref="A3:G13" firstHeaderRow="1" firstDataRow="2" firstDataCol="1"/>
  <pivotFields count="20">
    <pivotField showAll="0"/>
    <pivotField axis="axisCol" showAll="0">
      <items count="7">
        <item x="0"/>
        <item x="1"/>
        <item x="5"/>
        <item x="2"/>
        <item x="3"/>
        <item x="4"/>
        <item t="default"/>
      </items>
    </pivotField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3"/>
    </i>
    <i>
      <x v="4"/>
    </i>
    <i>
      <x v="5"/>
    </i>
    <i t="grand">
      <x/>
    </i>
  </colItems>
  <dataFields count="1">
    <dataField name="Average of Age_1+" fld="19" subtotal="average" baseField="3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compact="0" compactData="0" gridDropZones="1" multipleFieldFilters="0">
  <location ref="A3:H36" firstHeaderRow="1" firstDataRow="2" firstDataCol="2"/>
  <pivotFields count="20">
    <pivotField compact="0" outline="0" showAll="0"/>
    <pivotField axis="axisCol" compact="0" outline="0" showAll="0">
      <items count="9">
        <item m="1" x="5"/>
        <item m="1" x="6"/>
        <item m="1" x="7"/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8">
        <item x="3"/>
        <item x="2"/>
        <item x="0"/>
        <item x="1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3"/>
    <field x="4"/>
  </rowFields>
  <rowItems count="32">
    <i>
      <x/>
      <x v="1"/>
    </i>
    <i r="1">
      <x v="2"/>
    </i>
    <i r="1">
      <x v="3"/>
    </i>
    <i r="1">
      <x v="4"/>
    </i>
    <i>
      <x v="1"/>
      <x/>
    </i>
    <i r="1">
      <x v="1"/>
    </i>
    <i>
      <x v="2"/>
      <x/>
    </i>
    <i r="1">
      <x v="1"/>
    </i>
    <i>
      <x v="3"/>
      <x/>
    </i>
    <i r="1">
      <x v="1"/>
    </i>
    <i r="1">
      <x v="2"/>
    </i>
    <i r="1">
      <x v="3"/>
    </i>
    <i>
      <x v="4"/>
      <x v="1"/>
    </i>
    <i r="1">
      <x v="2"/>
    </i>
    <i r="1">
      <x v="3"/>
    </i>
    <i r="1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>
      <x v="6"/>
      <x v="2"/>
    </i>
    <i r="1">
      <x v="3"/>
    </i>
    <i r="1">
      <x v="4"/>
    </i>
    <i r="1">
      <x v="5"/>
    </i>
    <i>
      <x v="7"/>
      <x v="1"/>
    </i>
    <i r="1">
      <x v="2"/>
    </i>
    <i r="1">
      <x v="3"/>
    </i>
    <i r="1">
      <x v="4"/>
    </i>
    <i r="1">
      <x v="5"/>
    </i>
    <i t="grand">
      <x/>
    </i>
  </rowItems>
  <colFields count="1">
    <field x="1"/>
  </colFields>
  <colItems count="6"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Age_1+" fld="1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C4"/>
  <sheetViews>
    <sheetView workbookViewId="0">
      <selection activeCell="C16" sqref="C16"/>
    </sheetView>
  </sheetViews>
  <sheetFormatPr defaultRowHeight="14.5" x14ac:dyDescent="0.35"/>
  <sheetData>
    <row r="2" spans="1:3" x14ac:dyDescent="0.35">
      <c r="A2" s="4"/>
      <c r="C2" t="s">
        <v>31</v>
      </c>
    </row>
    <row r="4" spans="1:3" x14ac:dyDescent="0.35">
      <c r="A4" s="8"/>
      <c r="C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AB13"/>
  <sheetViews>
    <sheetView tabSelected="1" topLeftCell="L1" zoomScale="80" zoomScaleNormal="80" workbookViewId="0">
      <selection activeCell="L29" sqref="L29"/>
    </sheetView>
  </sheetViews>
  <sheetFormatPr defaultRowHeight="14.5" x14ac:dyDescent="0.35"/>
  <cols>
    <col min="1" max="1" width="16.6328125" bestFit="1" customWidth="1"/>
    <col min="2" max="2" width="15.81640625" bestFit="1" customWidth="1"/>
    <col min="3" max="7" width="12" customWidth="1"/>
    <col min="8" max="11" width="12.453125" customWidth="1"/>
    <col min="12" max="12" width="17.453125" bestFit="1" customWidth="1"/>
    <col min="13" max="13" width="17.453125" customWidth="1"/>
    <col min="14" max="14" width="12.453125" bestFit="1" customWidth="1"/>
    <col min="15" max="15" width="12.453125" customWidth="1"/>
    <col min="16" max="16" width="13.54296875" customWidth="1"/>
    <col min="17" max="17" width="17.453125" customWidth="1"/>
    <col min="18" max="18" width="17.453125" bestFit="1" customWidth="1"/>
    <col min="19" max="19" width="18.453125" customWidth="1"/>
    <col min="20" max="20" width="12.453125" bestFit="1" customWidth="1"/>
    <col min="21" max="21" width="13.54296875" customWidth="1"/>
    <col min="22" max="22" width="17.453125" customWidth="1"/>
    <col min="23" max="24" width="17.453125" bestFit="1" customWidth="1"/>
    <col min="25" max="25" width="18.453125" customWidth="1"/>
    <col min="26" max="26" width="13.54296875" bestFit="1" customWidth="1"/>
    <col min="27" max="27" width="17.453125" bestFit="1" customWidth="1"/>
    <col min="28" max="29" width="17.453125" customWidth="1"/>
    <col min="30" max="30" width="17.453125" bestFit="1" customWidth="1"/>
    <col min="31" max="31" width="18.453125" customWidth="1"/>
    <col min="32" max="32" width="17.453125" bestFit="1" customWidth="1"/>
    <col min="33" max="33" width="17.453125" customWidth="1"/>
    <col min="34" max="36" width="17.453125" bestFit="1" customWidth="1"/>
    <col min="37" max="37" width="18.453125" customWidth="1"/>
    <col min="38" max="40" width="17.453125" bestFit="1" customWidth="1"/>
    <col min="41" max="41" width="17.453125" customWidth="1"/>
    <col min="42" max="42" width="17.453125" bestFit="1" customWidth="1"/>
    <col min="43" max="43" width="18.453125" bestFit="1" customWidth="1"/>
    <col min="44" max="48" width="17.453125" bestFit="1" customWidth="1"/>
    <col min="49" max="49" width="18.453125" bestFit="1" customWidth="1"/>
    <col min="50" max="54" width="17.453125" bestFit="1" customWidth="1"/>
    <col min="55" max="55" width="18.453125" bestFit="1" customWidth="1"/>
    <col min="56" max="60" width="17.453125" bestFit="1" customWidth="1"/>
    <col min="61" max="61" width="18.453125" bestFit="1" customWidth="1"/>
    <col min="62" max="62" width="8" customWidth="1"/>
    <col min="63" max="63" width="7" customWidth="1"/>
    <col min="64" max="64" width="3" customWidth="1"/>
    <col min="65" max="65" width="7.26953125" customWidth="1"/>
    <col min="66" max="66" width="13.1796875" customWidth="1"/>
    <col min="67" max="71" width="7" customWidth="1"/>
    <col min="72" max="72" width="3" customWidth="1"/>
    <col min="73" max="73" width="7.26953125" customWidth="1"/>
    <col min="74" max="74" width="14.1796875" bestFit="1" customWidth="1"/>
    <col min="75" max="79" width="7" customWidth="1"/>
    <col min="80" max="80" width="3" customWidth="1"/>
    <col min="81" max="81" width="7.26953125" customWidth="1"/>
    <col min="82" max="90" width="18.1796875" bestFit="1" customWidth="1"/>
    <col min="91" max="91" width="19.1796875" bestFit="1" customWidth="1"/>
  </cols>
  <sheetData>
    <row r="2" spans="1:28" x14ac:dyDescent="0.35">
      <c r="J2" s="6" t="s">
        <v>27</v>
      </c>
      <c r="K2" s="6"/>
      <c r="L2" s="6"/>
      <c r="M2" s="6"/>
      <c r="N2" s="6"/>
      <c r="O2" s="6"/>
      <c r="P2" s="7"/>
      <c r="Q2" s="6" t="s">
        <v>26</v>
      </c>
      <c r="R2" s="6"/>
      <c r="S2" s="6"/>
      <c r="V2" s="7"/>
      <c r="W2" s="7"/>
      <c r="X2" s="7"/>
      <c r="Y2" s="7"/>
      <c r="Z2" s="7"/>
      <c r="AA2" s="7"/>
      <c r="AB2" s="5"/>
    </row>
    <row r="3" spans="1:28" x14ac:dyDescent="0.35">
      <c r="A3" s="1" t="s">
        <v>25</v>
      </c>
      <c r="B3" s="1" t="s">
        <v>21</v>
      </c>
    </row>
    <row r="4" spans="1:28" x14ac:dyDescent="0.35">
      <c r="A4" s="1" t="s">
        <v>23</v>
      </c>
      <c r="B4">
        <v>2014</v>
      </c>
      <c r="C4">
        <v>2015</v>
      </c>
      <c r="D4">
        <v>2016</v>
      </c>
      <c r="E4">
        <v>2017</v>
      </c>
      <c r="F4">
        <v>2018</v>
      </c>
      <c r="G4" t="s">
        <v>22</v>
      </c>
    </row>
    <row r="5" spans="1:28" x14ac:dyDescent="0.35">
      <c r="A5" s="2">
        <v>21</v>
      </c>
      <c r="B5" s="3">
        <v>437.88093333333336</v>
      </c>
      <c r="C5" s="3">
        <v>57.781200000000005</v>
      </c>
      <c r="D5" s="3">
        <v>7.0648666666666662</v>
      </c>
      <c r="E5" s="3">
        <v>65.880449999999996</v>
      </c>
      <c r="F5" s="3">
        <v>12.309866666666666</v>
      </c>
      <c r="G5" s="3">
        <v>113.03952500000003</v>
      </c>
      <c r="I5">
        <v>21</v>
      </c>
      <c r="J5">
        <v>437.88093333333336</v>
      </c>
      <c r="K5">
        <v>57.781200000000005</v>
      </c>
      <c r="L5">
        <v>7.0648666666666662</v>
      </c>
      <c r="M5">
        <v>65.880449999999996</v>
      </c>
      <c r="N5">
        <v>12.309866666666666</v>
      </c>
      <c r="O5">
        <v>113.03952500000003</v>
      </c>
      <c r="Q5" s="4" t="s">
        <v>28</v>
      </c>
      <c r="R5" s="4" t="s">
        <v>29</v>
      </c>
      <c r="S5" s="4" t="s">
        <v>30</v>
      </c>
    </row>
    <row r="6" spans="1:28" x14ac:dyDescent="0.35">
      <c r="A6" s="2">
        <v>22</v>
      </c>
      <c r="B6" s="3">
        <v>57.770299999999999</v>
      </c>
      <c r="C6" s="3">
        <v>148.04419999999999</v>
      </c>
      <c r="D6" s="3">
        <v>17.474850000000004</v>
      </c>
      <c r="E6" s="3">
        <v>128.80719999999999</v>
      </c>
      <c r="F6" s="3">
        <v>384.71059999999994</v>
      </c>
      <c r="G6" s="3">
        <v>147.36142999999998</v>
      </c>
      <c r="I6">
        <v>22</v>
      </c>
      <c r="J6">
        <v>57.770299999999999</v>
      </c>
      <c r="K6">
        <v>148.04419999999999</v>
      </c>
      <c r="L6">
        <v>17.474850000000004</v>
      </c>
      <c r="M6">
        <v>128.80719999999999</v>
      </c>
      <c r="N6">
        <v>384.71059999999994</v>
      </c>
      <c r="O6">
        <v>147.36142999999998</v>
      </c>
      <c r="Q6" s="4">
        <v>22</v>
      </c>
      <c r="R6" s="4">
        <v>2224</v>
      </c>
      <c r="S6" s="4">
        <f>GETPIVOTDATA("Age_1+",$A$3,"Area",22)</f>
        <v>147.36142999999998</v>
      </c>
    </row>
    <row r="7" spans="1:28" x14ac:dyDescent="0.35">
      <c r="A7" s="2">
        <v>23</v>
      </c>
      <c r="B7" s="3">
        <v>819.43560000000002</v>
      </c>
      <c r="C7" s="3">
        <v>2038.3136</v>
      </c>
      <c r="D7" s="3">
        <v>129.41460000000001</v>
      </c>
      <c r="E7" s="3">
        <v>382.20799999999997</v>
      </c>
      <c r="F7" s="3">
        <v>902.59815000000003</v>
      </c>
      <c r="G7" s="3">
        <v>854.39399000000014</v>
      </c>
      <c r="I7">
        <v>23</v>
      </c>
      <c r="J7">
        <v>819.43560000000002</v>
      </c>
      <c r="K7">
        <v>2038.3136</v>
      </c>
      <c r="L7">
        <v>129.41460000000001</v>
      </c>
      <c r="M7">
        <v>382.20799999999997</v>
      </c>
      <c r="N7">
        <v>902.59815000000003</v>
      </c>
      <c r="O7">
        <v>854.39399000000014</v>
      </c>
      <c r="Q7" s="4">
        <v>23</v>
      </c>
      <c r="R7" s="4">
        <v>2224</v>
      </c>
      <c r="S7" s="4">
        <f>GETPIVOTDATA("Age_1+",$A$3,"Area",23)</f>
        <v>854.39399000000014</v>
      </c>
    </row>
    <row r="8" spans="1:28" x14ac:dyDescent="0.35">
      <c r="A8" s="2">
        <v>24</v>
      </c>
      <c r="B8" s="3">
        <v>951.88703333333331</v>
      </c>
      <c r="C8" s="3">
        <v>809.9611666666666</v>
      </c>
      <c r="D8" s="3">
        <v>529.82536666666658</v>
      </c>
      <c r="E8" s="3">
        <v>603.71460000000013</v>
      </c>
      <c r="F8" s="3">
        <v>991.27127499999983</v>
      </c>
      <c r="G8" s="3">
        <v>790.70309999999995</v>
      </c>
      <c r="I8">
        <v>24</v>
      </c>
      <c r="J8">
        <v>951.88703333333331</v>
      </c>
      <c r="K8">
        <v>809.9611666666666</v>
      </c>
      <c r="L8">
        <v>529.82536666666658</v>
      </c>
      <c r="M8">
        <v>603.71460000000013</v>
      </c>
      <c r="N8">
        <v>991.27127499999983</v>
      </c>
      <c r="O8">
        <v>790.70309999999995</v>
      </c>
      <c r="Q8" s="4">
        <v>24</v>
      </c>
      <c r="R8" s="4">
        <v>2224</v>
      </c>
      <c r="S8" s="4">
        <f>GETPIVOTDATA("Age_1+",$A$3,"Area",24)</f>
        <v>790.70309999999995</v>
      </c>
    </row>
    <row r="9" spans="1:28" x14ac:dyDescent="0.35">
      <c r="A9" s="2">
        <v>25</v>
      </c>
      <c r="B9" s="3">
        <v>1402.1121250000003</v>
      </c>
      <c r="C9" s="3">
        <v>1408.3293000000001</v>
      </c>
      <c r="D9" s="3">
        <v>1324.1063500000002</v>
      </c>
      <c r="E9" s="3">
        <v>615.98157499999991</v>
      </c>
      <c r="F9" s="3">
        <v>450.97795000000008</v>
      </c>
      <c r="G9" s="3">
        <v>1040.3014600000001</v>
      </c>
      <c r="I9">
        <v>25</v>
      </c>
      <c r="J9">
        <v>1402.1121250000003</v>
      </c>
      <c r="K9">
        <v>1408.3293000000001</v>
      </c>
      <c r="L9">
        <v>1324.1063500000002</v>
      </c>
      <c r="M9">
        <v>615.98157499999991</v>
      </c>
      <c r="N9">
        <v>450.97795000000008</v>
      </c>
      <c r="O9">
        <v>1040.3014600000001</v>
      </c>
      <c r="Q9" s="4">
        <v>25</v>
      </c>
      <c r="R9" s="4">
        <v>2528</v>
      </c>
      <c r="S9" s="4">
        <f>GETPIVOTDATA("Age_1+",$A$3,"Area",26)</f>
        <v>431.53211428571416</v>
      </c>
    </row>
    <row r="10" spans="1:28" x14ac:dyDescent="0.35">
      <c r="A10" s="2">
        <v>26</v>
      </c>
      <c r="B10" s="3">
        <v>375.51486</v>
      </c>
      <c r="C10" s="3">
        <v>419.88003333333336</v>
      </c>
      <c r="D10" s="3">
        <v>702.78028333333339</v>
      </c>
      <c r="E10" s="3">
        <v>306.2097</v>
      </c>
      <c r="F10" s="3">
        <v>323.05241666666666</v>
      </c>
      <c r="G10" s="3">
        <v>431.53211428571416</v>
      </c>
      <c r="I10">
        <v>26</v>
      </c>
      <c r="J10">
        <v>375.51486</v>
      </c>
      <c r="K10">
        <v>419.88003333333336</v>
      </c>
      <c r="L10">
        <v>702.78028333333339</v>
      </c>
      <c r="M10">
        <v>306.2097</v>
      </c>
      <c r="N10">
        <v>323.05241666666666</v>
      </c>
      <c r="O10">
        <v>431.53211428571416</v>
      </c>
      <c r="Q10" s="4">
        <v>26</v>
      </c>
      <c r="R10" s="4">
        <v>2528</v>
      </c>
      <c r="S10" s="4">
        <v>473.27921179999998</v>
      </c>
    </row>
    <row r="11" spans="1:28" x14ac:dyDescent="0.35">
      <c r="A11" s="2">
        <v>27</v>
      </c>
      <c r="B11" s="3">
        <v>350.125</v>
      </c>
      <c r="C11" s="3">
        <v>0.5</v>
      </c>
      <c r="D11" s="3">
        <v>13.333300000000001</v>
      </c>
      <c r="E11" s="3">
        <v>2.5</v>
      </c>
      <c r="F11" s="3">
        <v>38.5</v>
      </c>
      <c r="G11" s="3">
        <v>59.196421428571433</v>
      </c>
      <c r="I11">
        <v>27</v>
      </c>
      <c r="J11">
        <v>350.125</v>
      </c>
      <c r="K11">
        <v>0.5</v>
      </c>
      <c r="L11">
        <v>13.333300000000001</v>
      </c>
      <c r="M11">
        <v>2.5</v>
      </c>
      <c r="N11">
        <v>38.5</v>
      </c>
      <c r="O11">
        <v>59.196421428571433</v>
      </c>
      <c r="Q11" s="4">
        <v>27</v>
      </c>
      <c r="R11" s="4">
        <v>2528</v>
      </c>
      <c r="S11" s="4">
        <f>GETPIVOTDATA("Age_1+",$A$3,"Area",27)</f>
        <v>59.196421428571433</v>
      </c>
    </row>
    <row r="12" spans="1:28" x14ac:dyDescent="0.35">
      <c r="A12" s="2">
        <v>28</v>
      </c>
      <c r="B12" s="3">
        <v>57.354124999999989</v>
      </c>
      <c r="C12" s="3">
        <v>33.246400000000001</v>
      </c>
      <c r="D12" s="3">
        <v>12.0793</v>
      </c>
      <c r="E12" s="3">
        <v>161.79998000000001</v>
      </c>
      <c r="F12" s="3">
        <v>21.818700000000003</v>
      </c>
      <c r="G12" s="3">
        <v>62.237809523809517</v>
      </c>
      <c r="I12">
        <v>28</v>
      </c>
      <c r="J12">
        <v>57.354124999999989</v>
      </c>
      <c r="K12">
        <v>33.246400000000001</v>
      </c>
      <c r="L12">
        <v>12.0793</v>
      </c>
      <c r="M12">
        <v>161.79998000000001</v>
      </c>
      <c r="N12">
        <v>21.818700000000003</v>
      </c>
      <c r="O12">
        <v>62.237809523809517</v>
      </c>
      <c r="Q12" s="4">
        <v>28</v>
      </c>
      <c r="R12" s="4">
        <v>2528</v>
      </c>
      <c r="S12" s="4">
        <f>GETPIVOTDATA("Age_1+",$A$3,"Area",28)</f>
        <v>62.237809523809517</v>
      </c>
    </row>
    <row r="13" spans="1:28" x14ac:dyDescent="0.35">
      <c r="A13" s="2" t="s">
        <v>22</v>
      </c>
      <c r="B13" s="3">
        <v>573.5762000000002</v>
      </c>
      <c r="C13" s="3">
        <v>565.29724814814824</v>
      </c>
      <c r="D13" s="3">
        <v>426.14347407407405</v>
      </c>
      <c r="E13" s="3">
        <v>272.78174827586207</v>
      </c>
      <c r="F13" s="3">
        <v>388.26419629629629</v>
      </c>
      <c r="G13" s="3">
        <v>440.75635925925928</v>
      </c>
    </row>
  </sheetData>
  <mergeCells count="2">
    <mergeCell ref="J2:O2"/>
    <mergeCell ref="Q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AB40"/>
  <sheetViews>
    <sheetView topLeftCell="H1" zoomScale="80" zoomScaleNormal="80" workbookViewId="0">
      <selection activeCell="K2" sqref="K2:AB2"/>
    </sheetView>
  </sheetViews>
  <sheetFormatPr defaultRowHeight="14.5" x14ac:dyDescent="0.35"/>
  <cols>
    <col min="1" max="1" width="16.36328125" bestFit="1" customWidth="1"/>
    <col min="2" max="2" width="10.08984375" bestFit="1" customWidth="1"/>
    <col min="3" max="8" width="11.81640625" bestFit="1" customWidth="1"/>
  </cols>
  <sheetData>
    <row r="2" spans="1:28" x14ac:dyDescent="0.35">
      <c r="K2" s="6" t="s">
        <v>27</v>
      </c>
      <c r="L2" s="6"/>
      <c r="M2" s="6"/>
      <c r="N2" s="6"/>
      <c r="O2" s="6"/>
      <c r="P2" s="6"/>
      <c r="Q2" s="6"/>
      <c r="V2" s="6" t="s">
        <v>26</v>
      </c>
      <c r="W2" s="6"/>
      <c r="X2" s="6"/>
      <c r="Y2" s="6"/>
      <c r="Z2" s="6"/>
      <c r="AA2" s="6"/>
      <c r="AB2" s="6"/>
    </row>
    <row r="3" spans="1:28" x14ac:dyDescent="0.35">
      <c r="A3" s="1" t="s">
        <v>25</v>
      </c>
      <c r="C3" s="1" t="s">
        <v>1</v>
      </c>
    </row>
    <row r="4" spans="1:28" x14ac:dyDescent="0.35">
      <c r="A4" s="1" t="s">
        <v>3</v>
      </c>
      <c r="B4" s="1" t="s">
        <v>4</v>
      </c>
      <c r="C4">
        <v>2014</v>
      </c>
      <c r="D4">
        <v>2015</v>
      </c>
      <c r="E4">
        <v>2016</v>
      </c>
      <c r="F4">
        <v>2017</v>
      </c>
      <c r="G4">
        <v>2018</v>
      </c>
      <c r="H4" t="s">
        <v>22</v>
      </c>
    </row>
    <row r="5" spans="1:28" x14ac:dyDescent="0.35">
      <c r="A5">
        <v>21</v>
      </c>
      <c r="B5">
        <v>9</v>
      </c>
      <c r="C5" s="3">
        <v>1233.8828000000001</v>
      </c>
      <c r="D5" s="3">
        <v>88.92710000000001</v>
      </c>
      <c r="E5" s="3">
        <v>15.144599999999999</v>
      </c>
      <c r="F5" s="3">
        <v>69.235199999999992</v>
      </c>
      <c r="G5" s="3">
        <v>23.464600000000001</v>
      </c>
      <c r="H5" s="3">
        <v>286.1308600000001</v>
      </c>
      <c r="J5">
        <v>21</v>
      </c>
      <c r="K5">
        <v>9</v>
      </c>
      <c r="L5" s="3">
        <v>1233.8828000000001</v>
      </c>
      <c r="M5" s="3">
        <v>88.92710000000001</v>
      </c>
      <c r="N5" s="3">
        <v>15.144599999999999</v>
      </c>
      <c r="O5" s="3">
        <v>69.235199999999992</v>
      </c>
      <c r="P5" s="3">
        <v>23.464600000000001</v>
      </c>
      <c r="Q5" s="3">
        <v>286.1308600000001</v>
      </c>
      <c r="X5" s="4">
        <f>J5</f>
        <v>21</v>
      </c>
      <c r="Y5" s="4">
        <f>IF(K5=8,1,IF(K5=9,2,IF(K5=10,3,IF(K5=11,4,IF(K5=12,5,IF(K5=13,6,IF(K5=14,7,"")))))))</f>
        <v>2</v>
      </c>
      <c r="Z5" s="4">
        <f>IF(AND(Y5=2,Y4=1),Q4+Q5,IF(Y5=1,0,IF(AND(Y5=6,Y6=7),Q5+Q6,IF(Y5=7,0,Q5))))</f>
        <v>286.1308600000001</v>
      </c>
    </row>
    <row r="6" spans="1:28" x14ac:dyDescent="0.35">
      <c r="A6">
        <v>21</v>
      </c>
      <c r="B6">
        <v>10</v>
      </c>
      <c r="C6" s="3">
        <v>42.96</v>
      </c>
      <c r="D6" s="3">
        <v>23.7166</v>
      </c>
      <c r="E6" s="3">
        <v>1.8699999999999999</v>
      </c>
      <c r="F6" s="3">
        <v>14.666599999999999</v>
      </c>
      <c r="G6" s="3">
        <v>8.8949999999999996</v>
      </c>
      <c r="H6" s="3">
        <v>18.421640000000004</v>
      </c>
      <c r="J6">
        <v>21</v>
      </c>
      <c r="K6">
        <v>10</v>
      </c>
      <c r="L6" s="3">
        <v>42.96</v>
      </c>
      <c r="M6" s="3">
        <v>23.7166</v>
      </c>
      <c r="N6" s="3">
        <v>1.8699999999999999</v>
      </c>
      <c r="O6" s="3">
        <v>14.666599999999999</v>
      </c>
      <c r="P6" s="3">
        <v>8.8949999999999996</v>
      </c>
      <c r="Q6" s="3">
        <v>18.421640000000004</v>
      </c>
      <c r="X6" s="4">
        <f>J6</f>
        <v>21</v>
      </c>
      <c r="Y6" s="4">
        <f t="shared" ref="Y6:Y35" si="0">IF(K6=8,1,IF(K6=9,2,IF(K6=10,3,IF(K6=11,4,IF(K6=12,5,IF(K6=13,6,IF(K6=14,7,"")))))))</f>
        <v>3</v>
      </c>
      <c r="Z6" s="4">
        <f t="shared" ref="Z6:Z35" si="1">IF(AND(Y6=2,Y5=1),Q5+Q6,IF(Y6=1,0,IF(AND(Y6=6,Y7=7),Q6+Q7,IF(Y6=7,0,Q6))))</f>
        <v>18.421640000000004</v>
      </c>
    </row>
    <row r="7" spans="1:28" x14ac:dyDescent="0.35">
      <c r="A7">
        <v>21</v>
      </c>
      <c r="B7">
        <v>11</v>
      </c>
      <c r="C7" s="3">
        <v>36.799999999999997</v>
      </c>
      <c r="D7" s="3">
        <v>60.6999</v>
      </c>
      <c r="E7" s="3">
        <v>4.18</v>
      </c>
      <c r="F7" s="3">
        <v>0</v>
      </c>
      <c r="G7" s="3">
        <v>4.57</v>
      </c>
      <c r="H7" s="3">
        <v>21.249980000000001</v>
      </c>
      <c r="J7">
        <v>21</v>
      </c>
      <c r="K7">
        <v>11</v>
      </c>
      <c r="L7" s="3">
        <v>36.799999999999997</v>
      </c>
      <c r="M7" s="3">
        <v>60.6999</v>
      </c>
      <c r="N7" s="3">
        <v>4.18</v>
      </c>
      <c r="O7" s="3">
        <v>0</v>
      </c>
      <c r="P7" s="3">
        <v>4.57</v>
      </c>
      <c r="Q7" s="3">
        <v>21.249980000000001</v>
      </c>
      <c r="X7" s="4">
        <f>J7</f>
        <v>21</v>
      </c>
      <c r="Y7" s="4">
        <f t="shared" si="0"/>
        <v>4</v>
      </c>
      <c r="Z7" s="4">
        <f t="shared" si="1"/>
        <v>21.249980000000001</v>
      </c>
    </row>
    <row r="8" spans="1:28" x14ac:dyDescent="0.35">
      <c r="A8">
        <v>21</v>
      </c>
      <c r="B8">
        <v>12</v>
      </c>
      <c r="C8" s="3"/>
      <c r="D8" s="3"/>
      <c r="E8" s="3"/>
      <c r="F8" s="3">
        <v>179.62</v>
      </c>
      <c r="G8" s="3"/>
      <c r="H8" s="3">
        <v>179.62</v>
      </c>
      <c r="J8">
        <v>21</v>
      </c>
      <c r="K8">
        <v>12</v>
      </c>
      <c r="L8" s="3"/>
      <c r="M8" s="3"/>
      <c r="N8" s="3"/>
      <c r="O8" s="3">
        <v>179.62</v>
      </c>
      <c r="P8" s="3"/>
      <c r="Q8" s="3">
        <v>179.62</v>
      </c>
      <c r="X8" s="4">
        <f>J8</f>
        <v>21</v>
      </c>
      <c r="Y8" s="4">
        <f t="shared" si="0"/>
        <v>5</v>
      </c>
      <c r="Z8" s="4">
        <f t="shared" si="1"/>
        <v>179.62</v>
      </c>
    </row>
    <row r="9" spans="1:28" x14ac:dyDescent="0.35">
      <c r="A9">
        <v>22</v>
      </c>
      <c r="B9">
        <v>8</v>
      </c>
      <c r="C9" s="3">
        <v>25.510099999999994</v>
      </c>
      <c r="D9" s="3">
        <v>83.128500000000003</v>
      </c>
      <c r="E9" s="3">
        <v>3.5872000000000002</v>
      </c>
      <c r="F9" s="3">
        <v>78.395200000000003</v>
      </c>
      <c r="G9" s="3">
        <v>12.372</v>
      </c>
      <c r="H9" s="3">
        <v>40.598599999999998</v>
      </c>
      <c r="J9">
        <v>22</v>
      </c>
      <c r="K9">
        <v>8</v>
      </c>
      <c r="L9" s="3">
        <v>25.510099999999994</v>
      </c>
      <c r="M9" s="3">
        <v>83.128500000000003</v>
      </c>
      <c r="N9" s="3">
        <v>3.5872000000000002</v>
      </c>
      <c r="O9" s="3">
        <v>78.395200000000003</v>
      </c>
      <c r="P9" s="3">
        <v>12.372</v>
      </c>
      <c r="Q9" s="3">
        <v>40.598599999999998</v>
      </c>
      <c r="X9" s="4">
        <f>J9</f>
        <v>22</v>
      </c>
      <c r="Y9" s="4">
        <f t="shared" si="0"/>
        <v>1</v>
      </c>
      <c r="Z9" s="4">
        <f t="shared" si="1"/>
        <v>0</v>
      </c>
    </row>
    <row r="10" spans="1:28" x14ac:dyDescent="0.35">
      <c r="A10">
        <v>22</v>
      </c>
      <c r="B10">
        <v>9</v>
      </c>
      <c r="C10" s="3">
        <v>90.030500000000004</v>
      </c>
      <c r="D10" s="3">
        <v>212.95989999999998</v>
      </c>
      <c r="E10" s="3">
        <v>31.362500000000004</v>
      </c>
      <c r="F10" s="3">
        <v>179.21919999999997</v>
      </c>
      <c r="G10" s="3">
        <v>757.04919999999993</v>
      </c>
      <c r="H10" s="3">
        <v>254.12425999999996</v>
      </c>
      <c r="J10">
        <v>22</v>
      </c>
      <c r="K10">
        <v>9</v>
      </c>
      <c r="L10" s="3">
        <v>90.030500000000004</v>
      </c>
      <c r="M10" s="3">
        <v>212.95989999999998</v>
      </c>
      <c r="N10" s="3">
        <v>31.362500000000004</v>
      </c>
      <c r="O10" s="3">
        <v>179.21919999999997</v>
      </c>
      <c r="P10" s="3">
        <v>757.04919999999993</v>
      </c>
      <c r="Q10" s="3">
        <v>254.12425999999996</v>
      </c>
      <c r="X10" s="4">
        <f>J10</f>
        <v>22</v>
      </c>
      <c r="Y10" s="4">
        <f t="shared" si="0"/>
        <v>2</v>
      </c>
      <c r="Z10" s="4">
        <f t="shared" si="1"/>
        <v>294.72285999999997</v>
      </c>
    </row>
    <row r="11" spans="1:28" x14ac:dyDescent="0.35">
      <c r="A11">
        <v>23</v>
      </c>
      <c r="B11">
        <v>8</v>
      </c>
      <c r="C11" s="3">
        <v>1106.415</v>
      </c>
      <c r="D11" s="3">
        <v>2700.2305000000001</v>
      </c>
      <c r="E11" s="3">
        <v>246.60919999999999</v>
      </c>
      <c r="F11" s="3">
        <v>578.49599999999998</v>
      </c>
      <c r="G11" s="3">
        <v>537.06010000000003</v>
      </c>
      <c r="H11" s="3">
        <v>1033.7621599999998</v>
      </c>
      <c r="J11">
        <v>23</v>
      </c>
      <c r="K11">
        <v>8</v>
      </c>
      <c r="L11" s="3">
        <v>1106.415</v>
      </c>
      <c r="M11" s="3">
        <v>2700.2305000000001</v>
      </c>
      <c r="N11" s="3">
        <v>246.60919999999999</v>
      </c>
      <c r="O11" s="3">
        <v>578.49599999999998</v>
      </c>
      <c r="P11" s="3">
        <v>537.06010000000003</v>
      </c>
      <c r="Q11" s="3">
        <v>1033.7621599999998</v>
      </c>
      <c r="X11" s="4">
        <f>J11</f>
        <v>23</v>
      </c>
      <c r="Y11" s="4">
        <f t="shared" si="0"/>
        <v>1</v>
      </c>
      <c r="Z11" s="4">
        <f t="shared" si="1"/>
        <v>0</v>
      </c>
    </row>
    <row r="12" spans="1:28" x14ac:dyDescent="0.35">
      <c r="A12">
        <v>23</v>
      </c>
      <c r="B12">
        <v>9</v>
      </c>
      <c r="C12" s="3">
        <v>532.45619999999997</v>
      </c>
      <c r="D12" s="3">
        <v>1376.3966999999998</v>
      </c>
      <c r="E12" s="3">
        <v>12.22</v>
      </c>
      <c r="F12" s="3">
        <v>185.92000000000002</v>
      </c>
      <c r="G12" s="3">
        <v>1268.1361999999999</v>
      </c>
      <c r="H12" s="3">
        <v>675.02581999999995</v>
      </c>
      <c r="J12">
        <v>23</v>
      </c>
      <c r="K12">
        <v>9</v>
      </c>
      <c r="L12" s="3">
        <v>532.45619999999997</v>
      </c>
      <c r="M12" s="3">
        <v>1376.3966999999998</v>
      </c>
      <c r="N12" s="3">
        <v>12.22</v>
      </c>
      <c r="O12" s="3">
        <v>185.92000000000002</v>
      </c>
      <c r="P12" s="3">
        <v>1268.1361999999999</v>
      </c>
      <c r="Q12" s="3">
        <v>675.02581999999995</v>
      </c>
      <c r="X12" s="4">
        <f>J12</f>
        <v>23</v>
      </c>
      <c r="Y12" s="4">
        <f t="shared" si="0"/>
        <v>2</v>
      </c>
      <c r="Z12" s="4">
        <f t="shared" si="1"/>
        <v>1708.7879799999996</v>
      </c>
    </row>
    <row r="13" spans="1:28" x14ac:dyDescent="0.35">
      <c r="A13">
        <v>24</v>
      </c>
      <c r="B13">
        <v>8</v>
      </c>
      <c r="C13" s="3">
        <v>154.13550000000001</v>
      </c>
      <c r="D13" s="3">
        <v>114.71799999999999</v>
      </c>
      <c r="E13" s="3">
        <v>44.472000000000001</v>
      </c>
      <c r="F13" s="3">
        <v>139.99989999999997</v>
      </c>
      <c r="G13" s="3">
        <v>275.92690000000005</v>
      </c>
      <c r="H13" s="3">
        <v>145.85046</v>
      </c>
      <c r="J13">
        <v>24</v>
      </c>
      <c r="K13">
        <v>8</v>
      </c>
      <c r="L13" s="3">
        <v>154.13550000000001</v>
      </c>
      <c r="M13" s="3">
        <v>114.71799999999999</v>
      </c>
      <c r="N13" s="3">
        <v>44.472000000000001</v>
      </c>
      <c r="O13" s="3">
        <v>139.99989999999997</v>
      </c>
      <c r="P13" s="3">
        <v>275.92690000000005</v>
      </c>
      <c r="Q13" s="3">
        <v>145.85046</v>
      </c>
      <c r="X13" s="4">
        <f>J13</f>
        <v>24</v>
      </c>
      <c r="Y13" s="4">
        <f t="shared" si="0"/>
        <v>1</v>
      </c>
      <c r="Z13" s="4">
        <f t="shared" si="1"/>
        <v>0</v>
      </c>
    </row>
    <row r="14" spans="1:28" x14ac:dyDescent="0.35">
      <c r="A14">
        <v>24</v>
      </c>
      <c r="B14">
        <v>9</v>
      </c>
      <c r="C14" s="3">
        <v>724.50019999999995</v>
      </c>
      <c r="D14" s="3">
        <v>233.81480000000002</v>
      </c>
      <c r="E14" s="3">
        <v>328.8537</v>
      </c>
      <c r="F14" s="3">
        <v>468.11470000000003</v>
      </c>
      <c r="G14" s="3">
        <v>1046.8558</v>
      </c>
      <c r="H14" s="3">
        <v>560.42784000000006</v>
      </c>
      <c r="J14">
        <v>24</v>
      </c>
      <c r="K14">
        <v>9</v>
      </c>
      <c r="L14" s="3">
        <v>724.50019999999995</v>
      </c>
      <c r="M14" s="3">
        <v>233.81480000000002</v>
      </c>
      <c r="N14" s="3">
        <v>328.8537</v>
      </c>
      <c r="O14" s="3">
        <v>468.11470000000003</v>
      </c>
      <c r="P14" s="3">
        <v>1046.8558</v>
      </c>
      <c r="Q14" s="3">
        <v>560.42784000000006</v>
      </c>
      <c r="X14" s="4">
        <f>J14</f>
        <v>24</v>
      </c>
      <c r="Y14" s="4">
        <f t="shared" si="0"/>
        <v>2</v>
      </c>
      <c r="Z14" s="4">
        <f t="shared" si="1"/>
        <v>706.27830000000006</v>
      </c>
    </row>
    <row r="15" spans="1:28" x14ac:dyDescent="0.35">
      <c r="A15">
        <v>24</v>
      </c>
      <c r="B15">
        <v>10</v>
      </c>
      <c r="C15" s="3">
        <v>1977.0254</v>
      </c>
      <c r="D15" s="3">
        <v>2081.3507</v>
      </c>
      <c r="E15" s="3">
        <v>1216.1504</v>
      </c>
      <c r="F15" s="3">
        <v>1203.0292000000002</v>
      </c>
      <c r="G15" s="3">
        <v>1754.3023999999998</v>
      </c>
      <c r="H15" s="3">
        <v>1646.3716199999999</v>
      </c>
      <c r="J15">
        <v>24</v>
      </c>
      <c r="K15">
        <v>10</v>
      </c>
      <c r="L15" s="3">
        <v>1977.0254</v>
      </c>
      <c r="M15" s="3">
        <v>2081.3507</v>
      </c>
      <c r="N15" s="3">
        <v>1216.1504</v>
      </c>
      <c r="O15" s="3">
        <v>1203.0292000000002</v>
      </c>
      <c r="P15" s="3">
        <v>1754.3023999999998</v>
      </c>
      <c r="Q15" s="3">
        <v>1646.3716199999999</v>
      </c>
      <c r="X15" s="4">
        <f>J15</f>
        <v>24</v>
      </c>
      <c r="Y15" s="4">
        <f t="shared" si="0"/>
        <v>3</v>
      </c>
      <c r="Z15" s="4">
        <f t="shared" si="1"/>
        <v>1646.3716199999999</v>
      </c>
    </row>
    <row r="16" spans="1:28" x14ac:dyDescent="0.35">
      <c r="A16">
        <v>24</v>
      </c>
      <c r="B16">
        <v>11</v>
      </c>
      <c r="C16" s="3"/>
      <c r="D16" s="3"/>
      <c r="E16" s="3"/>
      <c r="F16" s="3"/>
      <c r="G16" s="3">
        <v>888</v>
      </c>
      <c r="H16" s="3">
        <v>888</v>
      </c>
      <c r="J16">
        <v>24</v>
      </c>
      <c r="K16">
        <v>11</v>
      </c>
      <c r="L16" s="3"/>
      <c r="M16" s="3"/>
      <c r="N16" s="3"/>
      <c r="O16" s="3"/>
      <c r="P16" s="3">
        <v>888</v>
      </c>
      <c r="Q16" s="3">
        <v>888</v>
      </c>
      <c r="X16" s="4">
        <f>J16</f>
        <v>24</v>
      </c>
      <c r="Y16" s="4">
        <f t="shared" si="0"/>
        <v>4</v>
      </c>
      <c r="Z16" s="4">
        <f t="shared" si="1"/>
        <v>888</v>
      </c>
    </row>
    <row r="17" spans="1:26" x14ac:dyDescent="0.35">
      <c r="A17">
        <v>25</v>
      </c>
      <c r="B17">
        <v>9</v>
      </c>
      <c r="C17" s="3">
        <v>58.615200000000002</v>
      </c>
      <c r="D17" s="3">
        <v>630.26660000000004</v>
      </c>
      <c r="E17" s="3">
        <v>341.83340000000004</v>
      </c>
      <c r="F17" s="3">
        <v>175.64289999999997</v>
      </c>
      <c r="G17" s="3">
        <v>177.99989999999997</v>
      </c>
      <c r="H17" s="3">
        <v>276.87160000000006</v>
      </c>
      <c r="J17">
        <v>25</v>
      </c>
      <c r="K17">
        <v>9</v>
      </c>
      <c r="L17" s="3">
        <v>58.615200000000002</v>
      </c>
      <c r="M17" s="3">
        <v>630.26660000000004</v>
      </c>
      <c r="N17" s="3">
        <v>341.83340000000004</v>
      </c>
      <c r="O17" s="3">
        <v>175.64289999999997</v>
      </c>
      <c r="P17" s="3">
        <v>177.99989999999997</v>
      </c>
      <c r="Q17" s="3">
        <v>276.87160000000006</v>
      </c>
      <c r="X17" s="4">
        <f>J17</f>
        <v>25</v>
      </c>
      <c r="Y17" s="4">
        <f t="shared" si="0"/>
        <v>2</v>
      </c>
      <c r="Z17" s="4">
        <f t="shared" si="1"/>
        <v>276.87160000000006</v>
      </c>
    </row>
    <row r="18" spans="1:26" x14ac:dyDescent="0.35">
      <c r="A18">
        <v>25</v>
      </c>
      <c r="B18">
        <v>10</v>
      </c>
      <c r="C18" s="3">
        <v>2975.0027000000005</v>
      </c>
      <c r="D18" s="3">
        <v>1369.6636000000001</v>
      </c>
      <c r="E18" s="3">
        <v>2293.0344</v>
      </c>
      <c r="F18" s="3">
        <v>725.78369999999995</v>
      </c>
      <c r="G18" s="3">
        <v>942.67320000000007</v>
      </c>
      <c r="H18" s="3">
        <v>1661.23152</v>
      </c>
      <c r="J18">
        <v>25</v>
      </c>
      <c r="K18">
        <v>10</v>
      </c>
      <c r="L18" s="3">
        <v>2975.0027000000005</v>
      </c>
      <c r="M18" s="3">
        <v>1369.6636000000001</v>
      </c>
      <c r="N18" s="3">
        <v>2293.0344</v>
      </c>
      <c r="O18" s="3">
        <v>725.78369999999995</v>
      </c>
      <c r="P18" s="3">
        <v>942.67320000000007</v>
      </c>
      <c r="Q18" s="3">
        <v>1661.23152</v>
      </c>
      <c r="X18" s="4">
        <f>J18</f>
        <v>25</v>
      </c>
      <c r="Y18" s="4">
        <f t="shared" si="0"/>
        <v>3</v>
      </c>
      <c r="Z18" s="4">
        <f t="shared" si="1"/>
        <v>1661.23152</v>
      </c>
    </row>
    <row r="19" spans="1:26" x14ac:dyDescent="0.35">
      <c r="A19">
        <v>25</v>
      </c>
      <c r="B19">
        <v>11</v>
      </c>
      <c r="C19" s="3">
        <v>2283.5723000000003</v>
      </c>
      <c r="D19" s="3">
        <v>1552.2413000000001</v>
      </c>
      <c r="E19" s="3">
        <v>1586.5517000000004</v>
      </c>
      <c r="F19" s="3">
        <v>915.62630000000001</v>
      </c>
      <c r="G19" s="3">
        <v>590.03880000000015</v>
      </c>
      <c r="H19" s="3">
        <v>1385.6060800000002</v>
      </c>
      <c r="J19">
        <v>25</v>
      </c>
      <c r="K19">
        <v>11</v>
      </c>
      <c r="L19" s="3">
        <v>2283.5723000000003</v>
      </c>
      <c r="M19" s="3">
        <v>1552.2413000000001</v>
      </c>
      <c r="N19" s="3">
        <v>1586.5517000000004</v>
      </c>
      <c r="O19" s="3">
        <v>915.62630000000001</v>
      </c>
      <c r="P19" s="3">
        <v>590.03880000000015</v>
      </c>
      <c r="Q19" s="3">
        <v>1385.6060800000002</v>
      </c>
      <c r="X19" s="4">
        <f>J19</f>
        <v>25</v>
      </c>
      <c r="Y19" s="4">
        <f t="shared" si="0"/>
        <v>4</v>
      </c>
      <c r="Z19" s="4">
        <f t="shared" si="1"/>
        <v>1385.6060800000002</v>
      </c>
    </row>
    <row r="20" spans="1:26" x14ac:dyDescent="0.35">
      <c r="A20">
        <v>25</v>
      </c>
      <c r="B20">
        <v>12</v>
      </c>
      <c r="C20" s="3">
        <v>291.25830000000002</v>
      </c>
      <c r="D20" s="3">
        <v>2081.1457000000005</v>
      </c>
      <c r="E20" s="3">
        <v>1075.0058999999999</v>
      </c>
      <c r="F20" s="3">
        <v>646.87340000000006</v>
      </c>
      <c r="G20" s="3">
        <v>93.1999</v>
      </c>
      <c r="H20" s="3">
        <v>837.49664000000007</v>
      </c>
      <c r="J20">
        <v>25</v>
      </c>
      <c r="K20">
        <v>12</v>
      </c>
      <c r="L20" s="3">
        <v>291.25830000000002</v>
      </c>
      <c r="M20" s="3">
        <v>2081.1457000000005</v>
      </c>
      <c r="N20" s="3">
        <v>1075.0058999999999</v>
      </c>
      <c r="O20" s="3">
        <v>646.87340000000006</v>
      </c>
      <c r="P20" s="3">
        <v>93.1999</v>
      </c>
      <c r="Q20" s="3">
        <v>837.49664000000007</v>
      </c>
      <c r="X20" s="4">
        <f>J20</f>
        <v>25</v>
      </c>
      <c r="Y20" s="4">
        <f t="shared" si="0"/>
        <v>5</v>
      </c>
      <c r="Z20" s="4">
        <f t="shared" si="1"/>
        <v>837.49664000000007</v>
      </c>
    </row>
    <row r="21" spans="1:26" x14ac:dyDescent="0.35">
      <c r="A21">
        <v>26</v>
      </c>
      <c r="B21">
        <v>9</v>
      </c>
      <c r="C21" s="3">
        <v>201.20000000000002</v>
      </c>
      <c r="D21" s="3">
        <v>178.4221</v>
      </c>
      <c r="E21" s="3">
        <v>147.13320000000002</v>
      </c>
      <c r="F21" s="3">
        <v>46.999899999999997</v>
      </c>
      <c r="G21" s="3">
        <v>47.333100000000002</v>
      </c>
      <c r="H21" s="3">
        <v>124.21766000000002</v>
      </c>
      <c r="J21">
        <v>26</v>
      </c>
      <c r="K21">
        <v>9</v>
      </c>
      <c r="L21" s="3">
        <v>201.20000000000002</v>
      </c>
      <c r="M21" s="3">
        <v>178.4221</v>
      </c>
      <c r="N21" s="3">
        <v>147.13320000000002</v>
      </c>
      <c r="O21" s="3">
        <v>46.999899999999997</v>
      </c>
      <c r="P21" s="3">
        <v>47.333100000000002</v>
      </c>
      <c r="Q21" s="3">
        <v>124.21766000000002</v>
      </c>
      <c r="X21" s="4">
        <f>J21</f>
        <v>26</v>
      </c>
      <c r="Y21" s="4">
        <f t="shared" si="0"/>
        <v>2</v>
      </c>
      <c r="Z21" s="4">
        <f t="shared" si="1"/>
        <v>124.21766000000002</v>
      </c>
    </row>
    <row r="22" spans="1:26" x14ac:dyDescent="0.35">
      <c r="A22">
        <v>26</v>
      </c>
      <c r="B22">
        <v>10</v>
      </c>
      <c r="C22" s="3">
        <v>1191.9429</v>
      </c>
      <c r="D22" s="3">
        <v>824.78390000000002</v>
      </c>
      <c r="E22" s="3">
        <v>297.45999999999998</v>
      </c>
      <c r="F22" s="3">
        <v>77.349900000000019</v>
      </c>
      <c r="G22" s="3">
        <v>570.58160000000009</v>
      </c>
      <c r="H22" s="3">
        <v>592.42366000000004</v>
      </c>
      <c r="J22">
        <v>26</v>
      </c>
      <c r="K22">
        <v>10</v>
      </c>
      <c r="L22" s="3">
        <v>1191.9429</v>
      </c>
      <c r="M22" s="3">
        <v>824.78390000000002</v>
      </c>
      <c r="N22" s="3">
        <v>297.45999999999998</v>
      </c>
      <c r="O22" s="3">
        <v>77.349900000000019</v>
      </c>
      <c r="P22" s="3">
        <v>570.58160000000009</v>
      </c>
      <c r="Q22" s="3">
        <v>592.42366000000004</v>
      </c>
      <c r="X22" s="4">
        <f>J22</f>
        <v>26</v>
      </c>
      <c r="Y22" s="4">
        <f t="shared" si="0"/>
        <v>3</v>
      </c>
      <c r="Z22" s="4">
        <f t="shared" si="1"/>
        <v>592.42366000000004</v>
      </c>
    </row>
    <row r="23" spans="1:26" x14ac:dyDescent="0.35">
      <c r="A23">
        <v>26</v>
      </c>
      <c r="B23">
        <v>11</v>
      </c>
      <c r="C23" s="3">
        <v>217.85999999999999</v>
      </c>
      <c r="D23" s="3">
        <v>422.54110000000003</v>
      </c>
      <c r="E23" s="3">
        <v>759.89749999999981</v>
      </c>
      <c r="F23" s="3">
        <v>392.85979999999995</v>
      </c>
      <c r="G23" s="3">
        <v>1296.9998000000001</v>
      </c>
      <c r="H23" s="3">
        <v>618.03163999999992</v>
      </c>
      <c r="J23">
        <v>26</v>
      </c>
      <c r="K23">
        <v>11</v>
      </c>
      <c r="L23" s="3">
        <v>217.85999999999999</v>
      </c>
      <c r="M23" s="3">
        <v>422.54110000000003</v>
      </c>
      <c r="N23" s="3">
        <v>759.89749999999981</v>
      </c>
      <c r="O23" s="3">
        <v>392.85979999999995</v>
      </c>
      <c r="P23" s="3">
        <v>1296.9998000000001</v>
      </c>
      <c r="Q23" s="3">
        <v>618.03163999999992</v>
      </c>
      <c r="X23" s="4">
        <f>J23</f>
        <v>26</v>
      </c>
      <c r="Y23" s="4">
        <f t="shared" si="0"/>
        <v>4</v>
      </c>
      <c r="Z23" s="4">
        <f t="shared" si="1"/>
        <v>618.03163999999992</v>
      </c>
    </row>
    <row r="24" spans="1:26" x14ac:dyDescent="0.35">
      <c r="A24">
        <v>26</v>
      </c>
      <c r="B24">
        <v>12</v>
      </c>
      <c r="C24" s="3">
        <v>252.57140000000001</v>
      </c>
      <c r="D24" s="3">
        <v>404.19990000000001</v>
      </c>
      <c r="E24" s="3">
        <v>1070.9411</v>
      </c>
      <c r="F24" s="3">
        <v>452.58879999999999</v>
      </c>
      <c r="G24" s="3">
        <v>22.399899999999999</v>
      </c>
      <c r="H24" s="3">
        <v>440.54021999999998</v>
      </c>
      <c r="J24">
        <v>26</v>
      </c>
      <c r="K24">
        <v>12</v>
      </c>
      <c r="L24" s="3">
        <v>252.57140000000001</v>
      </c>
      <c r="M24" s="3">
        <v>404.19990000000001</v>
      </c>
      <c r="N24" s="3">
        <v>1070.9411</v>
      </c>
      <c r="O24" s="3">
        <v>452.58879999999999</v>
      </c>
      <c r="P24" s="3">
        <v>22.399899999999999</v>
      </c>
      <c r="Q24" s="3">
        <v>440.54021999999998</v>
      </c>
      <c r="X24" s="4">
        <f>J24</f>
        <v>26</v>
      </c>
      <c r="Y24" s="4">
        <f t="shared" si="0"/>
        <v>5</v>
      </c>
      <c r="Z24" s="4">
        <f t="shared" si="1"/>
        <v>440.54021999999998</v>
      </c>
    </row>
    <row r="25" spans="1:26" x14ac:dyDescent="0.35">
      <c r="A25">
        <v>26</v>
      </c>
      <c r="B25">
        <v>13</v>
      </c>
      <c r="C25" s="3">
        <v>14</v>
      </c>
      <c r="D25" s="3">
        <v>283.33330000000001</v>
      </c>
      <c r="E25" s="3">
        <v>337.24999999999994</v>
      </c>
      <c r="F25" s="3">
        <v>561.25009999999997</v>
      </c>
      <c r="G25" s="3">
        <v>1.0001</v>
      </c>
      <c r="H25" s="3">
        <v>239.36669999999998</v>
      </c>
      <c r="J25">
        <v>26</v>
      </c>
      <c r="K25">
        <v>13</v>
      </c>
      <c r="L25" s="3">
        <v>14</v>
      </c>
      <c r="M25" s="3">
        <v>283.33330000000001</v>
      </c>
      <c r="N25" s="3">
        <v>337.24999999999994</v>
      </c>
      <c r="O25" s="3">
        <v>561.25009999999997</v>
      </c>
      <c r="P25" s="3">
        <v>1.0001</v>
      </c>
      <c r="Q25" s="3">
        <v>239.36669999999998</v>
      </c>
      <c r="X25" s="4">
        <f>J25</f>
        <v>26</v>
      </c>
      <c r="Y25" s="4">
        <f t="shared" si="0"/>
        <v>6</v>
      </c>
      <c r="Z25" s="4">
        <f t="shared" si="1"/>
        <v>909.36663333333308</v>
      </c>
    </row>
    <row r="26" spans="1:26" x14ac:dyDescent="0.35">
      <c r="A26">
        <v>26</v>
      </c>
      <c r="B26">
        <v>14</v>
      </c>
      <c r="C26" s="3"/>
      <c r="D26" s="3">
        <v>405.99990000000008</v>
      </c>
      <c r="E26" s="3">
        <v>1603.9998999999996</v>
      </c>
      <c r="F26" s="3"/>
      <c r="G26" s="3">
        <v>0</v>
      </c>
      <c r="H26" s="3">
        <v>669.99993333333316</v>
      </c>
      <c r="J26">
        <v>26</v>
      </c>
      <c r="K26">
        <v>14</v>
      </c>
      <c r="L26" s="3"/>
      <c r="M26" s="3">
        <v>405.99990000000008</v>
      </c>
      <c r="N26" s="3">
        <v>1603.9998999999996</v>
      </c>
      <c r="O26" s="3"/>
      <c r="P26" s="3">
        <v>0</v>
      </c>
      <c r="Q26" s="3">
        <v>669.99993333333316</v>
      </c>
      <c r="X26" s="4">
        <f>J26</f>
        <v>26</v>
      </c>
      <c r="Y26" s="4">
        <f t="shared" si="0"/>
        <v>7</v>
      </c>
      <c r="Z26" s="4">
        <f t="shared" si="1"/>
        <v>0</v>
      </c>
    </row>
    <row r="27" spans="1:26" x14ac:dyDescent="0.35">
      <c r="A27">
        <v>27</v>
      </c>
      <c r="B27">
        <v>10</v>
      </c>
      <c r="C27" s="3"/>
      <c r="D27" s="3"/>
      <c r="E27" s="3"/>
      <c r="F27" s="3">
        <v>1</v>
      </c>
      <c r="G27" s="3"/>
      <c r="H27" s="3">
        <v>1</v>
      </c>
      <c r="J27">
        <v>27</v>
      </c>
      <c r="K27">
        <v>10</v>
      </c>
      <c r="L27" s="3"/>
      <c r="M27" s="3"/>
      <c r="N27" s="3"/>
      <c r="O27" s="3">
        <v>1</v>
      </c>
      <c r="P27" s="3"/>
      <c r="Q27" s="3">
        <v>1</v>
      </c>
      <c r="X27" s="4">
        <f>J27</f>
        <v>27</v>
      </c>
      <c r="Y27" s="4">
        <f t="shared" si="0"/>
        <v>3</v>
      </c>
      <c r="Z27" s="4">
        <f>IF(AND(Y27=2,Y26=1),Q26+Q27,IF(Y27=1,0,IF(AND(Y27=6,Y28=7),Q27+Q28,IF(Y27=7,0,Q27))))</f>
        <v>1</v>
      </c>
    </row>
    <row r="28" spans="1:26" x14ac:dyDescent="0.35">
      <c r="A28">
        <v>27</v>
      </c>
      <c r="B28">
        <v>11</v>
      </c>
      <c r="C28" s="3">
        <v>700.25</v>
      </c>
      <c r="D28" s="3">
        <v>1.5</v>
      </c>
      <c r="E28" s="3">
        <v>39.999900000000004</v>
      </c>
      <c r="F28" s="3">
        <v>9</v>
      </c>
      <c r="G28" s="3">
        <v>23</v>
      </c>
      <c r="H28" s="3">
        <v>154.74997999999999</v>
      </c>
      <c r="J28">
        <v>27</v>
      </c>
      <c r="K28">
        <v>11</v>
      </c>
      <c r="L28" s="3">
        <v>700.25</v>
      </c>
      <c r="M28" s="3">
        <v>1.5</v>
      </c>
      <c r="N28" s="3">
        <v>39.999900000000004</v>
      </c>
      <c r="O28" s="3">
        <v>9</v>
      </c>
      <c r="P28" s="3">
        <v>23</v>
      </c>
      <c r="Q28" s="3">
        <v>154.74997999999999</v>
      </c>
      <c r="X28" s="4">
        <f>J28</f>
        <v>27</v>
      </c>
      <c r="Y28" s="4">
        <f t="shared" si="0"/>
        <v>4</v>
      </c>
      <c r="Z28" s="4">
        <f t="shared" si="1"/>
        <v>154.74997999999999</v>
      </c>
    </row>
    <row r="29" spans="1:26" x14ac:dyDescent="0.35">
      <c r="A29">
        <v>27</v>
      </c>
      <c r="B29">
        <v>12</v>
      </c>
      <c r="C29" s="3">
        <v>0</v>
      </c>
      <c r="D29" s="3">
        <v>0</v>
      </c>
      <c r="E29" s="3">
        <v>0</v>
      </c>
      <c r="F29" s="3">
        <v>0</v>
      </c>
      <c r="G29" s="3">
        <v>54</v>
      </c>
      <c r="H29" s="3">
        <v>10.8</v>
      </c>
      <c r="J29">
        <v>27</v>
      </c>
      <c r="K29">
        <v>12</v>
      </c>
      <c r="L29" s="3">
        <v>0</v>
      </c>
      <c r="M29" s="3">
        <v>0</v>
      </c>
      <c r="N29" s="3">
        <v>0</v>
      </c>
      <c r="O29" s="3">
        <v>0</v>
      </c>
      <c r="P29" s="3">
        <v>54</v>
      </c>
      <c r="Q29" s="3">
        <v>10.8</v>
      </c>
      <c r="X29" s="4">
        <f>J29</f>
        <v>27</v>
      </c>
      <c r="Y29" s="4">
        <f t="shared" si="0"/>
        <v>5</v>
      </c>
      <c r="Z29" s="4">
        <f t="shared" si="1"/>
        <v>10.8</v>
      </c>
    </row>
    <row r="30" spans="1:26" x14ac:dyDescent="0.35">
      <c r="A30">
        <v>27</v>
      </c>
      <c r="B30">
        <v>13</v>
      </c>
      <c r="C30" s="3"/>
      <c r="D30" s="3">
        <v>0</v>
      </c>
      <c r="E30" s="3">
        <v>0</v>
      </c>
      <c r="F30" s="3">
        <v>0</v>
      </c>
      <c r="G30" s="3"/>
      <c r="H30" s="3">
        <v>0</v>
      </c>
      <c r="J30">
        <v>27</v>
      </c>
      <c r="K30">
        <v>13</v>
      </c>
      <c r="L30" s="3"/>
      <c r="M30" s="3">
        <v>0</v>
      </c>
      <c r="N30" s="3">
        <v>0</v>
      </c>
      <c r="O30" s="3">
        <v>0</v>
      </c>
      <c r="P30" s="3"/>
      <c r="Q30" s="3">
        <v>0</v>
      </c>
      <c r="X30" s="4">
        <f>J30</f>
        <v>27</v>
      </c>
      <c r="Y30" s="4">
        <f t="shared" si="0"/>
        <v>6</v>
      </c>
      <c r="Z30" s="4">
        <f t="shared" si="1"/>
        <v>0</v>
      </c>
    </row>
    <row r="31" spans="1:26" x14ac:dyDescent="0.35">
      <c r="A31">
        <v>28</v>
      </c>
      <c r="B31">
        <v>9</v>
      </c>
      <c r="C31" s="3">
        <v>0</v>
      </c>
      <c r="D31" s="3">
        <v>5.3333000000000004</v>
      </c>
      <c r="E31" s="3">
        <v>3</v>
      </c>
      <c r="F31" s="3">
        <v>0</v>
      </c>
      <c r="G31" s="3">
        <v>0</v>
      </c>
      <c r="H31" s="3">
        <v>1.6666600000000003</v>
      </c>
      <c r="J31">
        <v>28</v>
      </c>
      <c r="K31">
        <v>9</v>
      </c>
      <c r="L31" s="3">
        <v>0</v>
      </c>
      <c r="M31" s="3">
        <v>5.3333000000000004</v>
      </c>
      <c r="N31" s="3">
        <v>3</v>
      </c>
      <c r="O31" s="3">
        <v>0</v>
      </c>
      <c r="P31" s="3">
        <v>0</v>
      </c>
      <c r="Q31" s="3">
        <v>1.6666600000000003</v>
      </c>
      <c r="X31" s="4">
        <f>J31</f>
        <v>28</v>
      </c>
      <c r="Y31" s="4">
        <f t="shared" si="0"/>
        <v>2</v>
      </c>
      <c r="Z31" s="4">
        <f t="shared" si="1"/>
        <v>1.6666600000000003</v>
      </c>
    </row>
    <row r="32" spans="1:26" x14ac:dyDescent="0.35">
      <c r="A32">
        <v>28</v>
      </c>
      <c r="B32">
        <v>10</v>
      </c>
      <c r="C32" s="3">
        <v>41.999900000000004</v>
      </c>
      <c r="D32" s="3">
        <v>54.857000000000006</v>
      </c>
      <c r="E32" s="3">
        <v>8.9999999999999982</v>
      </c>
      <c r="F32" s="3">
        <v>16.200099999999999</v>
      </c>
      <c r="G32" s="3">
        <v>15.8749</v>
      </c>
      <c r="H32" s="3">
        <v>27.586380000000002</v>
      </c>
      <c r="J32">
        <v>28</v>
      </c>
      <c r="K32">
        <v>10</v>
      </c>
      <c r="L32" s="3">
        <v>41.999900000000004</v>
      </c>
      <c r="M32" s="3">
        <v>54.857000000000006</v>
      </c>
      <c r="N32" s="3">
        <v>8.9999999999999982</v>
      </c>
      <c r="O32" s="3">
        <v>16.200099999999999</v>
      </c>
      <c r="P32" s="3">
        <v>15.8749</v>
      </c>
      <c r="Q32" s="3">
        <v>27.586380000000002</v>
      </c>
      <c r="X32" s="4">
        <f>J32</f>
        <v>28</v>
      </c>
      <c r="Y32" s="4">
        <f t="shared" si="0"/>
        <v>3</v>
      </c>
      <c r="Z32" s="4">
        <f t="shared" si="1"/>
        <v>27.586380000000002</v>
      </c>
    </row>
    <row r="33" spans="1:26" x14ac:dyDescent="0.35">
      <c r="A33">
        <v>28</v>
      </c>
      <c r="B33">
        <v>11</v>
      </c>
      <c r="C33" s="3">
        <v>187.41659999999996</v>
      </c>
      <c r="D33" s="3">
        <v>68.545299999999997</v>
      </c>
      <c r="E33" s="3">
        <v>32.8887</v>
      </c>
      <c r="F33" s="3">
        <v>15.1999</v>
      </c>
      <c r="G33" s="3">
        <v>48.399800000000006</v>
      </c>
      <c r="H33" s="3">
        <v>70.49006</v>
      </c>
      <c r="J33">
        <v>28</v>
      </c>
      <c r="K33">
        <v>11</v>
      </c>
      <c r="L33" s="3">
        <v>187.41659999999996</v>
      </c>
      <c r="M33" s="3">
        <v>68.545299999999997</v>
      </c>
      <c r="N33" s="3">
        <v>32.8887</v>
      </c>
      <c r="O33" s="3">
        <v>15.1999</v>
      </c>
      <c r="P33" s="3">
        <v>48.399800000000006</v>
      </c>
      <c r="Q33" s="3">
        <v>70.49006</v>
      </c>
      <c r="X33" s="4">
        <f>J33</f>
        <v>28</v>
      </c>
      <c r="Y33" s="4">
        <f t="shared" si="0"/>
        <v>4</v>
      </c>
      <c r="Z33" s="4">
        <f t="shared" si="1"/>
        <v>70.49006</v>
      </c>
    </row>
    <row r="34" spans="1:26" x14ac:dyDescent="0.35">
      <c r="A34">
        <v>28</v>
      </c>
      <c r="B34">
        <v>12</v>
      </c>
      <c r="C34" s="3">
        <v>0</v>
      </c>
      <c r="D34" s="3">
        <v>4.2499999999999991</v>
      </c>
      <c r="E34" s="3">
        <v>3.4285000000000001</v>
      </c>
      <c r="F34" s="3">
        <v>649.59990000000005</v>
      </c>
      <c r="G34" s="3">
        <v>23.0001</v>
      </c>
      <c r="H34" s="3">
        <v>136.0557</v>
      </c>
      <c r="J34">
        <v>28</v>
      </c>
      <c r="K34">
        <v>12</v>
      </c>
      <c r="L34" s="3">
        <v>0</v>
      </c>
      <c r="M34" s="3">
        <v>4.2499999999999991</v>
      </c>
      <c r="N34" s="3">
        <v>3.4285000000000001</v>
      </c>
      <c r="O34" s="3">
        <v>649.59990000000005</v>
      </c>
      <c r="P34" s="3">
        <v>23.0001</v>
      </c>
      <c r="Q34" s="3">
        <v>136.0557</v>
      </c>
      <c r="X34" s="4">
        <f>J34</f>
        <v>28</v>
      </c>
      <c r="Y34" s="4">
        <f t="shared" si="0"/>
        <v>5</v>
      </c>
      <c r="Z34" s="4">
        <f t="shared" si="1"/>
        <v>136.0557</v>
      </c>
    </row>
    <row r="35" spans="1:26" x14ac:dyDescent="0.35">
      <c r="A35">
        <v>28</v>
      </c>
      <c r="B35">
        <v>13</v>
      </c>
      <c r="C35" s="3"/>
      <c r="D35" s="3"/>
      <c r="E35" s="3"/>
      <c r="F35" s="3">
        <v>128</v>
      </c>
      <c r="G35" s="3"/>
      <c r="H35" s="3">
        <v>128</v>
      </c>
      <c r="J35">
        <v>28</v>
      </c>
      <c r="K35">
        <v>13</v>
      </c>
      <c r="L35" s="3"/>
      <c r="M35" s="3"/>
      <c r="N35" s="3"/>
      <c r="O35" s="3">
        <v>128</v>
      </c>
      <c r="P35" s="3"/>
      <c r="Q35" s="3">
        <v>128</v>
      </c>
      <c r="X35" s="4">
        <f>J35</f>
        <v>28</v>
      </c>
      <c r="Y35" s="4">
        <f t="shared" si="0"/>
        <v>6</v>
      </c>
      <c r="Z35" s="4">
        <f t="shared" si="1"/>
        <v>128</v>
      </c>
    </row>
    <row r="36" spans="1:26" x14ac:dyDescent="0.35">
      <c r="A36" t="s">
        <v>22</v>
      </c>
      <c r="C36" s="3">
        <v>573.57620000000009</v>
      </c>
      <c r="D36" s="3">
        <v>565.29724814814824</v>
      </c>
      <c r="E36" s="3">
        <v>426.14347407407405</v>
      </c>
      <c r="F36" s="3">
        <v>272.78174827586207</v>
      </c>
      <c r="G36" s="3">
        <v>388.26419629629612</v>
      </c>
      <c r="H36" s="3">
        <v>440.75635925925928</v>
      </c>
      <c r="X36" s="4">
        <f t="shared" ref="X36:X40" si="2">J36</f>
        <v>0</v>
      </c>
      <c r="Y36" s="4" t="str">
        <f t="shared" ref="Y36:Y40" si="3">IF(K36=8,1,IF(K36=9,2,IF(K36=10,3,IF(K36=11,4,IF(K36=12,5,IF(K36=13,6,IF(K36=14,7,"")))))))</f>
        <v/>
      </c>
      <c r="Z36" s="4">
        <f t="shared" ref="Z36:Z40" si="4">IF(AND(Y36=2,Y35=1),Q35+Q36,IF(Y36=1,0,IF(AND(Y36=6,Y37=7),Q36+Q37,IF(Y36=7,0,Q36))))</f>
        <v>0</v>
      </c>
    </row>
    <row r="37" spans="1:26" x14ac:dyDescent="0.35">
      <c r="X37" s="4">
        <f t="shared" si="2"/>
        <v>0</v>
      </c>
      <c r="Y37" s="4" t="str">
        <f t="shared" si="3"/>
        <v/>
      </c>
      <c r="Z37" s="4">
        <f t="shared" si="4"/>
        <v>0</v>
      </c>
    </row>
    <row r="38" spans="1:26" x14ac:dyDescent="0.35">
      <c r="X38" s="4">
        <f t="shared" si="2"/>
        <v>0</v>
      </c>
      <c r="Y38" s="4" t="str">
        <f t="shared" si="3"/>
        <v/>
      </c>
      <c r="Z38" s="4">
        <f t="shared" si="4"/>
        <v>0</v>
      </c>
    </row>
    <row r="39" spans="1:26" x14ac:dyDescent="0.35">
      <c r="X39" s="4">
        <f t="shared" si="2"/>
        <v>0</v>
      </c>
      <c r="Y39" s="4" t="str">
        <f t="shared" si="3"/>
        <v/>
      </c>
      <c r="Z39" s="4">
        <f t="shared" si="4"/>
        <v>0</v>
      </c>
    </row>
    <row r="40" spans="1:26" x14ac:dyDescent="0.35">
      <c r="X40" s="4">
        <f t="shared" si="2"/>
        <v>0</v>
      </c>
      <c r="Y40" s="4" t="str">
        <f t="shared" si="3"/>
        <v/>
      </c>
      <c r="Z40" s="4">
        <f t="shared" si="4"/>
        <v>0</v>
      </c>
    </row>
  </sheetData>
  <mergeCells count="2">
    <mergeCell ref="K2:Q2"/>
    <mergeCell ref="V2:A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136"/>
  <sheetViews>
    <sheetView topLeftCell="C1" zoomScaleNormal="100" workbookViewId="0">
      <selection activeCell="K15" sqref="K15"/>
    </sheetView>
  </sheetViews>
  <sheetFormatPr defaultRowHeight="14.5" x14ac:dyDescent="0.35"/>
  <cols>
    <col min="7" max="7" width="13.81640625" bestFit="1" customWidth="1"/>
    <col min="18" max="18" width="7.81640625" customWidth="1"/>
    <col min="19" max="19" width="9" bestFit="1" customWidth="1"/>
  </cols>
  <sheetData>
    <row r="1" spans="1:2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24</v>
      </c>
    </row>
    <row r="2" spans="1:20" x14ac:dyDescent="0.35">
      <c r="A2" s="4" t="s">
        <v>19</v>
      </c>
      <c r="B2" s="4">
        <v>2014</v>
      </c>
      <c r="C2" s="4">
        <v>1</v>
      </c>
      <c r="D2" s="4">
        <v>21</v>
      </c>
      <c r="E2" s="4">
        <v>10</v>
      </c>
      <c r="F2" s="4">
        <v>126436</v>
      </c>
      <c r="G2" s="4" t="s">
        <v>20</v>
      </c>
      <c r="H2" s="4">
        <v>0</v>
      </c>
      <c r="I2" s="4">
        <v>20.758600000000001</v>
      </c>
      <c r="J2" s="4">
        <v>19.101400000000002</v>
      </c>
      <c r="K2" s="4">
        <v>1.86</v>
      </c>
      <c r="L2" s="4">
        <v>1.24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20180423</v>
      </c>
      <c r="T2">
        <f t="shared" ref="T2:T33" si="0">SUM(I2:R2)</f>
        <v>42.96</v>
      </c>
    </row>
    <row r="3" spans="1:20" x14ac:dyDescent="0.35">
      <c r="A3" s="4" t="s">
        <v>19</v>
      </c>
      <c r="B3" s="4">
        <v>2014</v>
      </c>
      <c r="C3" s="4">
        <v>1</v>
      </c>
      <c r="D3" s="4">
        <v>21</v>
      </c>
      <c r="E3" s="4">
        <v>11</v>
      </c>
      <c r="F3" s="4">
        <v>126436</v>
      </c>
      <c r="G3" s="4" t="s">
        <v>20</v>
      </c>
      <c r="H3" s="4">
        <v>0</v>
      </c>
      <c r="I3" s="4">
        <v>13.346299999999999</v>
      </c>
      <c r="J3" s="4">
        <v>11.053699999999999</v>
      </c>
      <c r="K3" s="4">
        <v>12.4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20180423</v>
      </c>
      <c r="T3">
        <f t="shared" si="0"/>
        <v>36.799999999999997</v>
      </c>
    </row>
    <row r="4" spans="1:20" x14ac:dyDescent="0.35">
      <c r="A4" s="4" t="s">
        <v>19</v>
      </c>
      <c r="B4" s="4">
        <v>2014</v>
      </c>
      <c r="C4" s="4">
        <v>1</v>
      </c>
      <c r="D4" s="4">
        <v>21</v>
      </c>
      <c r="E4" s="4">
        <v>9</v>
      </c>
      <c r="F4" s="4">
        <v>126436</v>
      </c>
      <c r="G4" s="4" t="s">
        <v>20</v>
      </c>
      <c r="H4" s="4">
        <v>0</v>
      </c>
      <c r="I4" s="4">
        <v>130.423</v>
      </c>
      <c r="J4" s="4">
        <v>1086.1355000000001</v>
      </c>
      <c r="K4" s="4">
        <v>15.7742</v>
      </c>
      <c r="L4" s="4">
        <v>1.0730999999999999</v>
      </c>
      <c r="M4" s="4">
        <v>0</v>
      </c>
      <c r="N4" s="4">
        <v>0.23849999999999999</v>
      </c>
      <c r="O4" s="4">
        <v>0</v>
      </c>
      <c r="P4" s="4">
        <v>0</v>
      </c>
      <c r="Q4" s="4">
        <v>0</v>
      </c>
      <c r="R4" s="4">
        <v>0.23849999999999999</v>
      </c>
      <c r="S4" s="4">
        <v>20180423</v>
      </c>
      <c r="T4">
        <f t="shared" si="0"/>
        <v>1233.8828000000001</v>
      </c>
    </row>
    <row r="5" spans="1:20" x14ac:dyDescent="0.35">
      <c r="A5" s="4" t="s">
        <v>19</v>
      </c>
      <c r="B5" s="4">
        <v>2014</v>
      </c>
      <c r="C5" s="4">
        <v>1</v>
      </c>
      <c r="D5" s="4">
        <v>22</v>
      </c>
      <c r="E5" s="4">
        <v>8</v>
      </c>
      <c r="F5" s="4">
        <v>126436</v>
      </c>
      <c r="G5" s="4" t="s">
        <v>20</v>
      </c>
      <c r="H5" s="4">
        <v>0</v>
      </c>
      <c r="I5" s="4">
        <v>11.1952</v>
      </c>
      <c r="J5" s="4">
        <v>11.286899999999999</v>
      </c>
      <c r="K5" s="4">
        <v>1.1236999999999999</v>
      </c>
      <c r="L5" s="4">
        <v>0.871</v>
      </c>
      <c r="M5" s="4">
        <v>0.25829999999999997</v>
      </c>
      <c r="N5" s="4">
        <v>0.46500000000000002</v>
      </c>
      <c r="O5" s="4">
        <v>0</v>
      </c>
      <c r="P5" s="4">
        <v>0.31</v>
      </c>
      <c r="Q5" s="4">
        <v>0</v>
      </c>
      <c r="R5" s="4">
        <v>0</v>
      </c>
      <c r="S5" s="4">
        <v>20180423</v>
      </c>
      <c r="T5">
        <f t="shared" si="0"/>
        <v>25.510099999999994</v>
      </c>
    </row>
    <row r="6" spans="1:20" x14ac:dyDescent="0.35">
      <c r="A6" s="4" t="s">
        <v>19</v>
      </c>
      <c r="B6" s="4">
        <v>2014</v>
      </c>
      <c r="C6" s="4">
        <v>1</v>
      </c>
      <c r="D6" s="4">
        <v>22</v>
      </c>
      <c r="E6" s="4">
        <v>9</v>
      </c>
      <c r="F6" s="4">
        <v>126436</v>
      </c>
      <c r="G6" s="4" t="s">
        <v>20</v>
      </c>
      <c r="H6" s="4">
        <v>0</v>
      </c>
      <c r="I6" s="4">
        <v>37.585299999999997</v>
      </c>
      <c r="J6" s="4">
        <v>40.135599999999997</v>
      </c>
      <c r="K6" s="4">
        <v>8.6245999999999992</v>
      </c>
      <c r="L6" s="4">
        <v>2.91</v>
      </c>
      <c r="M6" s="4">
        <v>0.25829999999999997</v>
      </c>
      <c r="N6" s="4">
        <v>0.51670000000000005</v>
      </c>
      <c r="O6" s="4">
        <v>0</v>
      </c>
      <c r="P6" s="4">
        <v>0</v>
      </c>
      <c r="Q6" s="4">
        <v>0</v>
      </c>
      <c r="R6" s="4">
        <v>0</v>
      </c>
      <c r="S6" s="4">
        <v>20180423</v>
      </c>
      <c r="T6">
        <f t="shared" si="0"/>
        <v>90.030500000000004</v>
      </c>
    </row>
    <row r="7" spans="1:20" x14ac:dyDescent="0.35">
      <c r="A7" s="4" t="s">
        <v>19</v>
      </c>
      <c r="B7" s="4">
        <v>2014</v>
      </c>
      <c r="C7" s="4">
        <v>1</v>
      </c>
      <c r="D7" s="4">
        <v>23</v>
      </c>
      <c r="E7" s="4">
        <v>8</v>
      </c>
      <c r="F7" s="4">
        <v>126436</v>
      </c>
      <c r="G7" s="4" t="s">
        <v>20</v>
      </c>
      <c r="H7" s="4">
        <v>0</v>
      </c>
      <c r="I7" s="4">
        <v>38.484000000000002</v>
      </c>
      <c r="J7" s="4">
        <v>988.39739999999995</v>
      </c>
      <c r="K7" s="4">
        <v>79.533600000000007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20180423</v>
      </c>
      <c r="T7">
        <f t="shared" si="0"/>
        <v>1106.415</v>
      </c>
    </row>
    <row r="8" spans="1:20" x14ac:dyDescent="0.35">
      <c r="A8" s="4" t="s">
        <v>19</v>
      </c>
      <c r="B8" s="4">
        <v>2014</v>
      </c>
      <c r="C8" s="4">
        <v>1</v>
      </c>
      <c r="D8" s="4">
        <v>23</v>
      </c>
      <c r="E8" s="4">
        <v>9</v>
      </c>
      <c r="F8" s="4">
        <v>126436</v>
      </c>
      <c r="G8" s="4" t="s">
        <v>20</v>
      </c>
      <c r="H8" s="4">
        <v>0</v>
      </c>
      <c r="I8" s="4">
        <v>10.980399999999999</v>
      </c>
      <c r="J8" s="4">
        <v>411.84269999999998</v>
      </c>
      <c r="K8" s="4">
        <v>103.9624</v>
      </c>
      <c r="L8" s="4">
        <v>5.6707000000000001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20180423</v>
      </c>
      <c r="T8">
        <f t="shared" si="0"/>
        <v>532.45619999999997</v>
      </c>
    </row>
    <row r="9" spans="1:20" x14ac:dyDescent="0.35">
      <c r="A9" s="4" t="s">
        <v>19</v>
      </c>
      <c r="B9" s="4">
        <v>2014</v>
      </c>
      <c r="C9" s="4">
        <v>1</v>
      </c>
      <c r="D9" s="4">
        <v>24</v>
      </c>
      <c r="E9" s="4">
        <v>10</v>
      </c>
      <c r="F9" s="4">
        <v>126436</v>
      </c>
      <c r="G9" s="4" t="s">
        <v>20</v>
      </c>
      <c r="H9" s="4">
        <v>0</v>
      </c>
      <c r="I9" s="4">
        <v>1005.7243999999999</v>
      </c>
      <c r="J9" s="4">
        <v>881.56179999999995</v>
      </c>
      <c r="K9" s="4">
        <v>60.529000000000003</v>
      </c>
      <c r="L9" s="4">
        <v>25.138500000000001</v>
      </c>
      <c r="M9" s="4">
        <v>2.9218000000000002</v>
      </c>
      <c r="N9" s="4">
        <v>0.98499999999999999</v>
      </c>
      <c r="O9" s="4">
        <v>0.16489999999999999</v>
      </c>
      <c r="P9" s="4">
        <v>0</v>
      </c>
      <c r="Q9" s="4">
        <v>0</v>
      </c>
      <c r="R9" s="4">
        <v>0</v>
      </c>
      <c r="S9" s="4">
        <v>20180423</v>
      </c>
      <c r="T9">
        <f t="shared" si="0"/>
        <v>1977.0254</v>
      </c>
    </row>
    <row r="10" spans="1:20" x14ac:dyDescent="0.35">
      <c r="A10" s="4" t="s">
        <v>19</v>
      </c>
      <c r="B10" s="4">
        <v>2014</v>
      </c>
      <c r="C10" s="4">
        <v>1</v>
      </c>
      <c r="D10" s="4">
        <v>24</v>
      </c>
      <c r="E10" s="4">
        <v>8</v>
      </c>
      <c r="F10" s="4">
        <v>126436</v>
      </c>
      <c r="G10" s="4" t="s">
        <v>20</v>
      </c>
      <c r="H10" s="4">
        <v>0</v>
      </c>
      <c r="I10" s="4">
        <v>22.2194</v>
      </c>
      <c r="J10" s="4">
        <v>103.5401</v>
      </c>
      <c r="K10" s="4">
        <v>15.410500000000001</v>
      </c>
      <c r="L10" s="4">
        <v>11.214399999999999</v>
      </c>
      <c r="M10" s="4">
        <v>1.2747999999999999</v>
      </c>
      <c r="N10" s="4">
        <v>0.39279999999999998</v>
      </c>
      <c r="O10" s="4">
        <v>8.3500000000000005E-2</v>
      </c>
      <c r="P10" s="4">
        <v>0</v>
      </c>
      <c r="Q10" s="4">
        <v>0</v>
      </c>
      <c r="R10" s="4">
        <v>0</v>
      </c>
      <c r="S10" s="4">
        <v>20180423</v>
      </c>
      <c r="T10">
        <f t="shared" si="0"/>
        <v>154.13550000000001</v>
      </c>
    </row>
    <row r="11" spans="1:20" x14ac:dyDescent="0.35">
      <c r="A11" s="4" t="s">
        <v>19</v>
      </c>
      <c r="B11" s="4">
        <v>2014</v>
      </c>
      <c r="C11" s="4">
        <v>1</v>
      </c>
      <c r="D11" s="4">
        <v>24</v>
      </c>
      <c r="E11" s="4">
        <v>9</v>
      </c>
      <c r="F11" s="4">
        <v>126436</v>
      </c>
      <c r="G11" s="4" t="s">
        <v>20</v>
      </c>
      <c r="H11" s="4">
        <v>0</v>
      </c>
      <c r="I11" s="4">
        <v>447.41980000000001</v>
      </c>
      <c r="J11" s="4">
        <v>253.517</v>
      </c>
      <c r="K11" s="4">
        <v>16.0808</v>
      </c>
      <c r="L11" s="4">
        <v>6.6162000000000001</v>
      </c>
      <c r="M11" s="4">
        <v>0.71120000000000005</v>
      </c>
      <c r="N11" s="4">
        <v>0.1552</v>
      </c>
      <c r="O11" s="4">
        <v>0</v>
      </c>
      <c r="P11" s="4">
        <v>0</v>
      </c>
      <c r="Q11" s="4">
        <v>0</v>
      </c>
      <c r="R11" s="4">
        <v>0</v>
      </c>
      <c r="S11" s="4">
        <v>20180423</v>
      </c>
      <c r="T11">
        <f t="shared" si="0"/>
        <v>724.50019999999995</v>
      </c>
    </row>
    <row r="12" spans="1:20" x14ac:dyDescent="0.35">
      <c r="A12" s="4" t="s">
        <v>19</v>
      </c>
      <c r="B12" s="4">
        <v>2014</v>
      </c>
      <c r="C12" s="4">
        <v>1</v>
      </c>
      <c r="D12" s="4">
        <v>25</v>
      </c>
      <c r="E12" s="4">
        <v>10</v>
      </c>
      <c r="F12" s="4">
        <v>126436</v>
      </c>
      <c r="G12" s="4" t="s">
        <v>20</v>
      </c>
      <c r="H12" s="4">
        <v>0</v>
      </c>
      <c r="I12" s="4">
        <v>63.417099999999998</v>
      </c>
      <c r="J12" s="4">
        <v>804.09019999999998</v>
      </c>
      <c r="K12" s="4">
        <v>802.03989999999999</v>
      </c>
      <c r="L12" s="4">
        <v>824.57360000000006</v>
      </c>
      <c r="M12" s="4">
        <v>374.91230000000002</v>
      </c>
      <c r="N12" s="4">
        <v>85.188500000000005</v>
      </c>
      <c r="O12" s="4">
        <v>15.007199999999999</v>
      </c>
      <c r="P12" s="4">
        <v>4.2531999999999996</v>
      </c>
      <c r="Q12" s="4">
        <v>1.3418000000000001</v>
      </c>
      <c r="R12" s="4">
        <v>0.1789</v>
      </c>
      <c r="S12" s="4">
        <v>20180423</v>
      </c>
      <c r="T12">
        <f t="shared" si="0"/>
        <v>2975.0027000000005</v>
      </c>
    </row>
    <row r="13" spans="1:20" x14ac:dyDescent="0.35">
      <c r="A13" s="4" t="s">
        <v>19</v>
      </c>
      <c r="B13" s="4">
        <v>2014</v>
      </c>
      <c r="C13" s="4">
        <v>1</v>
      </c>
      <c r="D13" s="4">
        <v>25</v>
      </c>
      <c r="E13" s="4">
        <v>11</v>
      </c>
      <c r="F13" s="4">
        <v>126436</v>
      </c>
      <c r="G13" s="4" t="s">
        <v>20</v>
      </c>
      <c r="H13" s="4">
        <v>0</v>
      </c>
      <c r="I13" s="4">
        <v>44.234200000000001</v>
      </c>
      <c r="J13" s="4">
        <v>566.81179999999995</v>
      </c>
      <c r="K13" s="4">
        <v>615.48739999999998</v>
      </c>
      <c r="L13" s="4">
        <v>633.12530000000004</v>
      </c>
      <c r="M13" s="4">
        <v>315.09780000000001</v>
      </c>
      <c r="N13" s="4">
        <v>81.919899999999998</v>
      </c>
      <c r="O13" s="4">
        <v>19.2973</v>
      </c>
      <c r="P13" s="4">
        <v>5.6360999999999999</v>
      </c>
      <c r="Q13" s="4">
        <v>1.6400999999999999</v>
      </c>
      <c r="R13" s="4">
        <v>0.32240000000000002</v>
      </c>
      <c r="S13" s="4">
        <v>20180423</v>
      </c>
      <c r="T13">
        <f t="shared" si="0"/>
        <v>2283.5723000000003</v>
      </c>
    </row>
    <row r="14" spans="1:20" x14ac:dyDescent="0.35">
      <c r="A14" s="4" t="s">
        <v>19</v>
      </c>
      <c r="B14" s="4">
        <v>2014</v>
      </c>
      <c r="C14" s="4">
        <v>1</v>
      </c>
      <c r="D14" s="4">
        <v>25</v>
      </c>
      <c r="E14" s="4">
        <v>12</v>
      </c>
      <c r="F14" s="4">
        <v>126436</v>
      </c>
      <c r="G14" s="4" t="s">
        <v>20</v>
      </c>
      <c r="H14" s="4">
        <v>0</v>
      </c>
      <c r="I14" s="4">
        <v>3.1476999999999999</v>
      </c>
      <c r="J14" s="4">
        <v>33.635300000000001</v>
      </c>
      <c r="K14" s="4">
        <v>72.574799999999996</v>
      </c>
      <c r="L14" s="4">
        <v>88.803100000000001</v>
      </c>
      <c r="M14" s="4">
        <v>62.713900000000002</v>
      </c>
      <c r="N14" s="4">
        <v>20.941500000000001</v>
      </c>
      <c r="O14" s="4">
        <v>6.6502999999999997</v>
      </c>
      <c r="P14" s="4">
        <v>2.2740999999999998</v>
      </c>
      <c r="Q14" s="4">
        <v>0.43659999999999999</v>
      </c>
      <c r="R14" s="4">
        <v>8.1000000000000003E-2</v>
      </c>
      <c r="S14" s="4">
        <v>20180423</v>
      </c>
      <c r="T14">
        <f t="shared" si="0"/>
        <v>291.25830000000002</v>
      </c>
    </row>
    <row r="15" spans="1:20" x14ac:dyDescent="0.35">
      <c r="A15" s="4" t="s">
        <v>19</v>
      </c>
      <c r="B15" s="4">
        <v>2014</v>
      </c>
      <c r="C15" s="4">
        <v>1</v>
      </c>
      <c r="D15" s="4">
        <v>25</v>
      </c>
      <c r="E15" s="4">
        <v>9</v>
      </c>
      <c r="F15" s="4">
        <v>126436</v>
      </c>
      <c r="G15" s="4" t="s">
        <v>20</v>
      </c>
      <c r="H15" s="4">
        <v>0</v>
      </c>
      <c r="I15" s="4">
        <v>0.69020000000000004</v>
      </c>
      <c r="J15" s="4">
        <v>2.9866000000000001</v>
      </c>
      <c r="K15" s="4">
        <v>14.5219</v>
      </c>
      <c r="L15" s="4">
        <v>16.799099999999999</v>
      </c>
      <c r="M15" s="4">
        <v>14.96</v>
      </c>
      <c r="N15" s="4">
        <v>5.9317000000000002</v>
      </c>
      <c r="O15" s="4">
        <v>1.8263</v>
      </c>
      <c r="P15" s="4">
        <v>0.69820000000000004</v>
      </c>
      <c r="Q15" s="4">
        <v>0.187</v>
      </c>
      <c r="R15" s="4">
        <v>1.4200000000000001E-2</v>
      </c>
      <c r="S15" s="4">
        <v>20180423</v>
      </c>
      <c r="T15">
        <f t="shared" si="0"/>
        <v>58.615200000000002</v>
      </c>
    </row>
    <row r="16" spans="1:20" x14ac:dyDescent="0.35">
      <c r="A16" s="4" t="s">
        <v>19</v>
      </c>
      <c r="B16" s="4">
        <v>2014</v>
      </c>
      <c r="C16" s="4">
        <v>1</v>
      </c>
      <c r="D16" s="4">
        <v>26</v>
      </c>
      <c r="E16" s="4">
        <v>10</v>
      </c>
      <c r="F16" s="4">
        <v>126436</v>
      </c>
      <c r="G16" s="4" t="s">
        <v>20</v>
      </c>
      <c r="H16" s="4">
        <v>0</v>
      </c>
      <c r="I16" s="4">
        <v>55.714300000000001</v>
      </c>
      <c r="J16" s="4">
        <v>314.49619999999999</v>
      </c>
      <c r="K16" s="4">
        <v>498.1694</v>
      </c>
      <c r="L16" s="4">
        <v>250.60659999999999</v>
      </c>
      <c r="M16" s="4">
        <v>64.352099999999993</v>
      </c>
      <c r="N16" s="4">
        <v>8.6043000000000003</v>
      </c>
      <c r="O16" s="4">
        <v>0</v>
      </c>
      <c r="P16" s="4">
        <v>0</v>
      </c>
      <c r="Q16" s="4">
        <v>0</v>
      </c>
      <c r="R16" s="4">
        <v>0</v>
      </c>
      <c r="S16" s="4">
        <v>20180423</v>
      </c>
      <c r="T16">
        <f t="shared" si="0"/>
        <v>1191.9429</v>
      </c>
    </row>
    <row r="17" spans="1:20" x14ac:dyDescent="0.35">
      <c r="A17" s="4" t="s">
        <v>19</v>
      </c>
      <c r="B17" s="4">
        <v>2014</v>
      </c>
      <c r="C17" s="4">
        <v>1</v>
      </c>
      <c r="D17" s="4">
        <v>26</v>
      </c>
      <c r="E17" s="4">
        <v>11</v>
      </c>
      <c r="F17" s="4">
        <v>126436</v>
      </c>
      <c r="G17" s="4" t="s">
        <v>20</v>
      </c>
      <c r="H17" s="4">
        <v>0</v>
      </c>
      <c r="I17" s="4">
        <v>2.2139000000000002</v>
      </c>
      <c r="J17" s="4">
        <v>76.868799999999993</v>
      </c>
      <c r="K17" s="4">
        <v>88.631600000000006</v>
      </c>
      <c r="L17" s="4">
        <v>39.441600000000001</v>
      </c>
      <c r="M17" s="4">
        <v>9.5394000000000005</v>
      </c>
      <c r="N17" s="4">
        <v>1.1647000000000001</v>
      </c>
      <c r="O17" s="4">
        <v>0</v>
      </c>
      <c r="P17" s="4">
        <v>0</v>
      </c>
      <c r="Q17" s="4">
        <v>0</v>
      </c>
      <c r="R17" s="4">
        <v>0</v>
      </c>
      <c r="S17" s="4">
        <v>20180423</v>
      </c>
      <c r="T17">
        <f t="shared" si="0"/>
        <v>217.85999999999999</v>
      </c>
    </row>
    <row r="18" spans="1:20" x14ac:dyDescent="0.35">
      <c r="A18" s="4" t="s">
        <v>19</v>
      </c>
      <c r="B18" s="4">
        <v>2014</v>
      </c>
      <c r="C18" s="4">
        <v>1</v>
      </c>
      <c r="D18" s="4">
        <v>26</v>
      </c>
      <c r="E18" s="4">
        <v>12</v>
      </c>
      <c r="F18" s="4">
        <v>126436</v>
      </c>
      <c r="G18" s="4" t="s">
        <v>20</v>
      </c>
      <c r="H18" s="4">
        <v>0</v>
      </c>
      <c r="I18" s="4">
        <v>2.8397999999999999</v>
      </c>
      <c r="J18" s="4">
        <v>66.757900000000006</v>
      </c>
      <c r="K18" s="4">
        <v>110.9632</v>
      </c>
      <c r="L18" s="4">
        <v>56.334600000000002</v>
      </c>
      <c r="M18" s="4">
        <v>13.9856</v>
      </c>
      <c r="N18" s="4">
        <v>1.6902999999999999</v>
      </c>
      <c r="O18" s="4">
        <v>0</v>
      </c>
      <c r="P18" s="4">
        <v>0</v>
      </c>
      <c r="Q18" s="4">
        <v>0</v>
      </c>
      <c r="R18" s="4">
        <v>0</v>
      </c>
      <c r="S18" s="4">
        <v>20180423</v>
      </c>
      <c r="T18">
        <f t="shared" si="0"/>
        <v>252.57140000000001</v>
      </c>
    </row>
    <row r="19" spans="1:20" x14ac:dyDescent="0.35">
      <c r="A19" s="4" t="s">
        <v>19</v>
      </c>
      <c r="B19" s="4">
        <v>2014</v>
      </c>
      <c r="C19" s="4">
        <v>1</v>
      </c>
      <c r="D19" s="4">
        <v>26</v>
      </c>
      <c r="E19" s="4">
        <v>13</v>
      </c>
      <c r="F19" s="4">
        <v>126436</v>
      </c>
      <c r="G19" s="4" t="s">
        <v>20</v>
      </c>
      <c r="H19" s="4">
        <v>0</v>
      </c>
      <c r="I19" s="4">
        <v>0</v>
      </c>
      <c r="J19" s="4">
        <v>1.8906000000000001</v>
      </c>
      <c r="K19" s="4">
        <v>6.7755999999999998</v>
      </c>
      <c r="L19" s="4">
        <v>3.7624</v>
      </c>
      <c r="M19" s="4">
        <v>1.4742</v>
      </c>
      <c r="N19" s="4">
        <v>9.7199999999999995E-2</v>
      </c>
      <c r="O19" s="4">
        <v>0</v>
      </c>
      <c r="P19" s="4">
        <v>0</v>
      </c>
      <c r="Q19" s="4">
        <v>0</v>
      </c>
      <c r="R19" s="4">
        <v>0</v>
      </c>
      <c r="S19" s="4">
        <v>20180423</v>
      </c>
      <c r="T19">
        <f t="shared" si="0"/>
        <v>14</v>
      </c>
    </row>
    <row r="20" spans="1:20" x14ac:dyDescent="0.35">
      <c r="A20" s="4" t="s">
        <v>19</v>
      </c>
      <c r="B20" s="4">
        <v>2014</v>
      </c>
      <c r="C20" s="4">
        <v>1</v>
      </c>
      <c r="D20" s="4">
        <v>26</v>
      </c>
      <c r="E20" s="4">
        <v>9</v>
      </c>
      <c r="F20" s="4">
        <v>126436</v>
      </c>
      <c r="G20" s="4" t="s">
        <v>20</v>
      </c>
      <c r="H20" s="4">
        <v>0</v>
      </c>
      <c r="I20" s="4">
        <v>18.485700000000001</v>
      </c>
      <c r="J20" s="4">
        <v>60.956899999999997</v>
      </c>
      <c r="K20" s="4">
        <v>77.756399999999999</v>
      </c>
      <c r="L20" s="4">
        <v>32.886200000000002</v>
      </c>
      <c r="M20" s="4">
        <v>10.023</v>
      </c>
      <c r="N20" s="4">
        <v>1.0918000000000001</v>
      </c>
      <c r="O20" s="4">
        <v>0</v>
      </c>
      <c r="P20" s="4">
        <v>0</v>
      </c>
      <c r="Q20" s="4">
        <v>0</v>
      </c>
      <c r="R20" s="4">
        <v>0</v>
      </c>
      <c r="S20" s="4">
        <v>20180423</v>
      </c>
      <c r="T20">
        <f t="shared" si="0"/>
        <v>201.20000000000002</v>
      </c>
    </row>
    <row r="21" spans="1:20" x14ac:dyDescent="0.35">
      <c r="A21" s="4" t="s">
        <v>19</v>
      </c>
      <c r="B21" s="4">
        <v>2014</v>
      </c>
      <c r="C21" s="4">
        <v>1</v>
      </c>
      <c r="D21" s="4">
        <v>27</v>
      </c>
      <c r="E21" s="4">
        <v>11</v>
      </c>
      <c r="F21" s="4">
        <v>126436</v>
      </c>
      <c r="G21" s="4" t="s">
        <v>20</v>
      </c>
      <c r="H21" s="4">
        <v>0</v>
      </c>
      <c r="I21" s="4">
        <v>0.5</v>
      </c>
      <c r="J21" s="4">
        <v>446.39170000000001</v>
      </c>
      <c r="K21" s="4">
        <v>242.75829999999999</v>
      </c>
      <c r="L21" s="4">
        <v>9</v>
      </c>
      <c r="M21" s="4">
        <v>1.6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20180423</v>
      </c>
      <c r="T21">
        <f t="shared" si="0"/>
        <v>700.25</v>
      </c>
    </row>
    <row r="22" spans="1:20" x14ac:dyDescent="0.35">
      <c r="A22" s="4" t="s">
        <v>19</v>
      </c>
      <c r="B22" s="4">
        <v>2014</v>
      </c>
      <c r="C22" s="4">
        <v>1</v>
      </c>
      <c r="D22" s="4">
        <v>27</v>
      </c>
      <c r="E22" s="4">
        <v>12</v>
      </c>
      <c r="F22" s="4">
        <v>126436</v>
      </c>
      <c r="G22" s="4" t="s">
        <v>20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20180423</v>
      </c>
      <c r="T22">
        <f t="shared" si="0"/>
        <v>0</v>
      </c>
    </row>
    <row r="23" spans="1:20" x14ac:dyDescent="0.35">
      <c r="A23" s="4" t="s">
        <v>19</v>
      </c>
      <c r="B23" s="4">
        <v>2014</v>
      </c>
      <c r="C23" s="4">
        <v>1</v>
      </c>
      <c r="D23" s="4">
        <v>28</v>
      </c>
      <c r="E23" s="4">
        <v>10</v>
      </c>
      <c r="F23" s="4">
        <v>126436</v>
      </c>
      <c r="G23" s="4" t="s">
        <v>20</v>
      </c>
      <c r="H23" s="4">
        <v>0</v>
      </c>
      <c r="I23" s="4">
        <v>2.5</v>
      </c>
      <c r="J23" s="4">
        <v>12.3515</v>
      </c>
      <c r="K23" s="4">
        <v>14.1153</v>
      </c>
      <c r="L23" s="4">
        <v>8.5089000000000006</v>
      </c>
      <c r="M23" s="4">
        <v>3.339</v>
      </c>
      <c r="N23" s="4">
        <v>0.96299999999999997</v>
      </c>
      <c r="O23" s="4">
        <v>0.22220000000000001</v>
      </c>
      <c r="P23" s="4">
        <v>0</v>
      </c>
      <c r="Q23" s="4">
        <v>0</v>
      </c>
      <c r="R23" s="4">
        <v>0</v>
      </c>
      <c r="S23" s="4">
        <v>20180423</v>
      </c>
      <c r="T23">
        <f t="shared" si="0"/>
        <v>41.999900000000004</v>
      </c>
    </row>
    <row r="24" spans="1:20" x14ac:dyDescent="0.35">
      <c r="A24" s="4" t="s">
        <v>19</v>
      </c>
      <c r="B24" s="4">
        <v>2014</v>
      </c>
      <c r="C24" s="4">
        <v>1</v>
      </c>
      <c r="D24" s="4">
        <v>28</v>
      </c>
      <c r="E24" s="4">
        <v>11</v>
      </c>
      <c r="F24" s="4">
        <v>126436</v>
      </c>
      <c r="G24" s="4" t="s">
        <v>20</v>
      </c>
      <c r="H24" s="4">
        <v>0</v>
      </c>
      <c r="I24" s="4">
        <v>0.45829999999999999</v>
      </c>
      <c r="J24" s="4">
        <v>112.452</v>
      </c>
      <c r="K24" s="4">
        <v>45.37</v>
      </c>
      <c r="L24" s="4">
        <v>23.463999999999999</v>
      </c>
      <c r="M24" s="4">
        <v>4.6074999999999999</v>
      </c>
      <c r="N24" s="4">
        <v>0.89810000000000001</v>
      </c>
      <c r="O24" s="4">
        <v>0.16669999999999999</v>
      </c>
      <c r="P24" s="4">
        <v>0</v>
      </c>
      <c r="Q24" s="4">
        <v>0</v>
      </c>
      <c r="R24" s="4">
        <v>0</v>
      </c>
      <c r="S24" s="4">
        <v>20180423</v>
      </c>
      <c r="T24">
        <f t="shared" si="0"/>
        <v>187.41659999999996</v>
      </c>
    </row>
    <row r="25" spans="1:20" x14ac:dyDescent="0.35">
      <c r="A25" s="4" t="s">
        <v>19</v>
      </c>
      <c r="B25" s="4">
        <v>2014</v>
      </c>
      <c r="C25" s="4">
        <v>1</v>
      </c>
      <c r="D25" s="4">
        <v>28</v>
      </c>
      <c r="E25" s="4">
        <v>12</v>
      </c>
      <c r="F25" s="4">
        <v>126436</v>
      </c>
      <c r="G25" s="4" t="s">
        <v>20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20180423</v>
      </c>
      <c r="T25">
        <f t="shared" si="0"/>
        <v>0</v>
      </c>
    </row>
    <row r="26" spans="1:20" x14ac:dyDescent="0.35">
      <c r="A26" s="4" t="s">
        <v>19</v>
      </c>
      <c r="B26" s="4">
        <v>2014</v>
      </c>
      <c r="C26" s="4">
        <v>1</v>
      </c>
      <c r="D26" s="4">
        <v>28</v>
      </c>
      <c r="E26" s="4">
        <v>9</v>
      </c>
      <c r="F26" s="4">
        <v>126436</v>
      </c>
      <c r="G26" s="4" t="s">
        <v>20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20180423</v>
      </c>
      <c r="T26">
        <f t="shared" si="0"/>
        <v>0</v>
      </c>
    </row>
    <row r="27" spans="1:20" x14ac:dyDescent="0.35">
      <c r="A27" s="4" t="s">
        <v>19</v>
      </c>
      <c r="B27" s="4">
        <v>2015</v>
      </c>
      <c r="C27" s="4">
        <v>1</v>
      </c>
      <c r="D27" s="4">
        <v>21</v>
      </c>
      <c r="E27" s="4">
        <v>10</v>
      </c>
      <c r="F27" s="4">
        <v>126436</v>
      </c>
      <c r="G27" s="4" t="s">
        <v>20</v>
      </c>
      <c r="H27" s="4">
        <v>0</v>
      </c>
      <c r="I27" s="4">
        <v>4.8406000000000002</v>
      </c>
      <c r="J27" s="4">
        <v>7.2022000000000004</v>
      </c>
      <c r="K27" s="4">
        <v>10.9849</v>
      </c>
      <c r="L27" s="4">
        <v>0.68889999999999996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20190408</v>
      </c>
      <c r="T27">
        <f t="shared" si="0"/>
        <v>23.7166</v>
      </c>
    </row>
    <row r="28" spans="1:20" x14ac:dyDescent="0.35">
      <c r="A28" s="4" t="s">
        <v>19</v>
      </c>
      <c r="B28" s="4">
        <v>2015</v>
      </c>
      <c r="C28" s="4">
        <v>1</v>
      </c>
      <c r="D28" s="4">
        <v>21</v>
      </c>
      <c r="E28" s="4">
        <v>11</v>
      </c>
      <c r="F28" s="4">
        <v>126436</v>
      </c>
      <c r="G28" s="4" t="s">
        <v>20</v>
      </c>
      <c r="H28" s="4">
        <v>0</v>
      </c>
      <c r="I28" s="4">
        <v>10.617100000000001</v>
      </c>
      <c r="J28" s="4">
        <v>16.671700000000001</v>
      </c>
      <c r="K28" s="4">
        <v>31.602799999999998</v>
      </c>
      <c r="L28" s="4">
        <v>1.8083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20190408</v>
      </c>
      <c r="T28">
        <f t="shared" si="0"/>
        <v>60.6999</v>
      </c>
    </row>
    <row r="29" spans="1:20" x14ac:dyDescent="0.35">
      <c r="A29" s="4" t="s">
        <v>19</v>
      </c>
      <c r="B29" s="4">
        <v>2015</v>
      </c>
      <c r="C29" s="4">
        <v>1</v>
      </c>
      <c r="D29" s="4">
        <v>21</v>
      </c>
      <c r="E29" s="4">
        <v>9</v>
      </c>
      <c r="F29" s="4">
        <v>126436</v>
      </c>
      <c r="G29" s="4" t="s">
        <v>20</v>
      </c>
      <c r="H29" s="4">
        <v>0</v>
      </c>
      <c r="I29" s="4">
        <v>49.6145</v>
      </c>
      <c r="J29" s="4">
        <v>20.313700000000001</v>
      </c>
      <c r="K29" s="4">
        <v>16.0793</v>
      </c>
      <c r="L29" s="4">
        <v>2.2545000000000002</v>
      </c>
      <c r="M29" s="4">
        <v>0.28179999999999999</v>
      </c>
      <c r="N29" s="4">
        <v>0</v>
      </c>
      <c r="O29" s="4">
        <v>0</v>
      </c>
      <c r="P29" s="4">
        <v>0</v>
      </c>
      <c r="Q29" s="4">
        <v>0</v>
      </c>
      <c r="R29" s="4">
        <v>0.38329999999999997</v>
      </c>
      <c r="S29" s="4">
        <v>20190408</v>
      </c>
      <c r="T29">
        <f t="shared" si="0"/>
        <v>88.92710000000001</v>
      </c>
    </row>
    <row r="30" spans="1:20" x14ac:dyDescent="0.35">
      <c r="A30" s="4" t="s">
        <v>19</v>
      </c>
      <c r="B30" s="4">
        <v>2015</v>
      </c>
      <c r="C30" s="4">
        <v>1</v>
      </c>
      <c r="D30" s="4">
        <v>22</v>
      </c>
      <c r="E30" s="4">
        <v>8</v>
      </c>
      <c r="F30" s="4">
        <v>126436</v>
      </c>
      <c r="G30" s="4" t="s">
        <v>20</v>
      </c>
      <c r="H30" s="4">
        <v>0</v>
      </c>
      <c r="I30" s="4">
        <v>13.276400000000001</v>
      </c>
      <c r="J30" s="4">
        <v>51.0961</v>
      </c>
      <c r="K30" s="4">
        <v>13.631500000000001</v>
      </c>
      <c r="L30" s="4">
        <v>2.8363999999999998</v>
      </c>
      <c r="M30" s="4">
        <v>2.0667</v>
      </c>
      <c r="N30" s="4">
        <v>0.22140000000000001</v>
      </c>
      <c r="O30" s="4">
        <v>0</v>
      </c>
      <c r="P30" s="4">
        <v>0</v>
      </c>
      <c r="Q30" s="4">
        <v>0</v>
      </c>
      <c r="R30" s="4">
        <v>0</v>
      </c>
      <c r="S30" s="4">
        <v>20190408</v>
      </c>
      <c r="T30">
        <f t="shared" si="0"/>
        <v>83.128500000000003</v>
      </c>
    </row>
    <row r="31" spans="1:20" x14ac:dyDescent="0.35">
      <c r="A31" s="4" t="s">
        <v>19</v>
      </c>
      <c r="B31" s="4">
        <v>2015</v>
      </c>
      <c r="C31" s="4">
        <v>1</v>
      </c>
      <c r="D31" s="4">
        <v>22</v>
      </c>
      <c r="E31" s="4">
        <v>9</v>
      </c>
      <c r="F31" s="4">
        <v>126436</v>
      </c>
      <c r="G31" s="4" t="s">
        <v>20</v>
      </c>
      <c r="H31" s="4">
        <v>0</v>
      </c>
      <c r="I31" s="4">
        <v>49.972900000000003</v>
      </c>
      <c r="J31" s="4">
        <v>107.30889999999999</v>
      </c>
      <c r="K31" s="4">
        <v>52.110900000000001</v>
      </c>
      <c r="L31" s="4">
        <v>2.7061000000000002</v>
      </c>
      <c r="M31" s="4">
        <v>0.86109999999999998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20190408</v>
      </c>
      <c r="T31">
        <f t="shared" si="0"/>
        <v>212.95989999999998</v>
      </c>
    </row>
    <row r="32" spans="1:20" x14ac:dyDescent="0.35">
      <c r="A32" s="4" t="s">
        <v>19</v>
      </c>
      <c r="B32" s="4">
        <v>2015</v>
      </c>
      <c r="C32" s="4">
        <v>1</v>
      </c>
      <c r="D32" s="4">
        <v>23</v>
      </c>
      <c r="E32" s="4">
        <v>8</v>
      </c>
      <c r="F32" s="4">
        <v>126436</v>
      </c>
      <c r="G32" s="4" t="s">
        <v>20</v>
      </c>
      <c r="H32" s="4">
        <v>0</v>
      </c>
      <c r="I32" s="4">
        <v>533.33280000000002</v>
      </c>
      <c r="J32" s="4">
        <v>1496.3154999999999</v>
      </c>
      <c r="K32" s="4">
        <v>647.45870000000002</v>
      </c>
      <c r="L32" s="4">
        <v>23.1235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20190408</v>
      </c>
      <c r="T32">
        <f t="shared" si="0"/>
        <v>2700.2305000000001</v>
      </c>
    </row>
    <row r="33" spans="1:20" x14ac:dyDescent="0.35">
      <c r="A33" s="4" t="s">
        <v>19</v>
      </c>
      <c r="B33" s="4">
        <v>2015</v>
      </c>
      <c r="C33" s="4">
        <v>1</v>
      </c>
      <c r="D33" s="4">
        <v>23</v>
      </c>
      <c r="E33" s="4">
        <v>9</v>
      </c>
      <c r="F33" s="4">
        <v>126436</v>
      </c>
      <c r="G33" s="4" t="s">
        <v>20</v>
      </c>
      <c r="H33" s="4">
        <v>0</v>
      </c>
      <c r="I33" s="4">
        <v>59.103000000000002</v>
      </c>
      <c r="J33" s="4">
        <v>718.74570000000006</v>
      </c>
      <c r="K33" s="4">
        <v>588.96510000000001</v>
      </c>
      <c r="L33" s="4">
        <v>6.3696999999999999</v>
      </c>
      <c r="M33" s="4">
        <v>3.2132000000000001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20190408</v>
      </c>
      <c r="T33">
        <f t="shared" si="0"/>
        <v>1376.3966999999998</v>
      </c>
    </row>
    <row r="34" spans="1:20" x14ac:dyDescent="0.35">
      <c r="A34" s="4" t="s">
        <v>19</v>
      </c>
      <c r="B34" s="4">
        <v>2015</v>
      </c>
      <c r="C34" s="4">
        <v>1</v>
      </c>
      <c r="D34" s="4">
        <v>24</v>
      </c>
      <c r="E34" s="4">
        <v>10</v>
      </c>
      <c r="F34" s="4">
        <v>126436</v>
      </c>
      <c r="G34" s="4" t="s">
        <v>20</v>
      </c>
      <c r="H34" s="4">
        <v>0</v>
      </c>
      <c r="I34" s="4">
        <v>190.60759999999999</v>
      </c>
      <c r="J34" s="4">
        <v>1368.3439000000001</v>
      </c>
      <c r="K34" s="4">
        <v>481.39269999999999</v>
      </c>
      <c r="L34" s="4">
        <v>37.947200000000002</v>
      </c>
      <c r="M34" s="4">
        <v>0.54149999999999998</v>
      </c>
      <c r="N34" s="4">
        <v>1.0024999999999999</v>
      </c>
      <c r="O34" s="4">
        <v>0.62919999999999998</v>
      </c>
      <c r="P34" s="4">
        <v>0.8861</v>
      </c>
      <c r="Q34" s="4">
        <v>0</v>
      </c>
      <c r="R34" s="4">
        <v>0</v>
      </c>
      <c r="S34" s="4">
        <v>20190408</v>
      </c>
      <c r="T34">
        <f t="shared" ref="T34:T65" si="1">SUM(I34:R34)</f>
        <v>2081.3507</v>
      </c>
    </row>
    <row r="35" spans="1:20" x14ac:dyDescent="0.35">
      <c r="A35" s="4" t="s">
        <v>19</v>
      </c>
      <c r="B35" s="4">
        <v>2015</v>
      </c>
      <c r="C35" s="4">
        <v>1</v>
      </c>
      <c r="D35" s="4">
        <v>24</v>
      </c>
      <c r="E35" s="4">
        <v>8</v>
      </c>
      <c r="F35" s="4">
        <v>126436</v>
      </c>
      <c r="G35" s="4" t="s">
        <v>20</v>
      </c>
      <c r="H35" s="4">
        <v>0</v>
      </c>
      <c r="I35" s="4">
        <v>20.4222</v>
      </c>
      <c r="J35" s="4">
        <v>68.544399999999996</v>
      </c>
      <c r="K35" s="4">
        <v>23.2957</v>
      </c>
      <c r="L35" s="4">
        <v>2.3369</v>
      </c>
      <c r="M35" s="4">
        <v>3.5200000000000002E-2</v>
      </c>
      <c r="N35" s="4">
        <v>3.3700000000000001E-2</v>
      </c>
      <c r="O35" s="4">
        <v>1.61E-2</v>
      </c>
      <c r="P35" s="4">
        <v>3.3799999999999997E-2</v>
      </c>
      <c r="Q35" s="4">
        <v>0</v>
      </c>
      <c r="R35" s="4">
        <v>0</v>
      </c>
      <c r="S35" s="4">
        <v>20190408</v>
      </c>
      <c r="T35">
        <f t="shared" si="1"/>
        <v>114.71799999999999</v>
      </c>
    </row>
    <row r="36" spans="1:20" x14ac:dyDescent="0.35">
      <c r="A36" s="4" t="s">
        <v>19</v>
      </c>
      <c r="B36" s="4">
        <v>2015</v>
      </c>
      <c r="C36" s="4">
        <v>1</v>
      </c>
      <c r="D36" s="4">
        <v>24</v>
      </c>
      <c r="E36" s="4">
        <v>9</v>
      </c>
      <c r="F36" s="4">
        <v>126436</v>
      </c>
      <c r="G36" s="4" t="s">
        <v>20</v>
      </c>
      <c r="H36" s="4">
        <v>0</v>
      </c>
      <c r="I36" s="4">
        <v>16.854700000000001</v>
      </c>
      <c r="J36" s="4">
        <v>155</v>
      </c>
      <c r="K36" s="4">
        <v>56.7042</v>
      </c>
      <c r="L36" s="4">
        <v>4.9557000000000002</v>
      </c>
      <c r="M36" s="4">
        <v>3.8800000000000001E-2</v>
      </c>
      <c r="N36" s="4">
        <v>7.1900000000000006E-2</v>
      </c>
      <c r="O36" s="4">
        <v>4.3099999999999999E-2</v>
      </c>
      <c r="P36" s="4">
        <v>0.1464</v>
      </c>
      <c r="Q36" s="4">
        <v>0</v>
      </c>
      <c r="R36" s="4">
        <v>0</v>
      </c>
      <c r="S36" s="4">
        <v>20190408</v>
      </c>
      <c r="T36">
        <f t="shared" si="1"/>
        <v>233.81480000000002</v>
      </c>
    </row>
    <row r="37" spans="1:20" x14ac:dyDescent="0.35">
      <c r="A37" s="4" t="s">
        <v>19</v>
      </c>
      <c r="B37" s="4">
        <v>2015</v>
      </c>
      <c r="C37" s="4">
        <v>1</v>
      </c>
      <c r="D37" s="4">
        <v>25</v>
      </c>
      <c r="E37" s="4">
        <v>10</v>
      </c>
      <c r="F37" s="4">
        <v>126436</v>
      </c>
      <c r="G37" s="4" t="s">
        <v>20</v>
      </c>
      <c r="H37" s="4">
        <v>0</v>
      </c>
      <c r="I37" s="4">
        <v>7.3840000000000003</v>
      </c>
      <c r="J37" s="4">
        <v>457.92059999999998</v>
      </c>
      <c r="K37" s="4">
        <v>705.32759999999996</v>
      </c>
      <c r="L37" s="4">
        <v>175.63730000000001</v>
      </c>
      <c r="M37" s="4">
        <v>19.660399999999999</v>
      </c>
      <c r="N37" s="4">
        <v>3.4514999999999998</v>
      </c>
      <c r="O37" s="4">
        <v>0.24529999999999999</v>
      </c>
      <c r="P37" s="4">
        <v>0</v>
      </c>
      <c r="Q37" s="4">
        <v>3.6900000000000002E-2</v>
      </c>
      <c r="R37" s="4">
        <v>0</v>
      </c>
      <c r="S37" s="4">
        <v>20190408</v>
      </c>
      <c r="T37">
        <f t="shared" si="1"/>
        <v>1369.6636000000001</v>
      </c>
    </row>
    <row r="38" spans="1:20" x14ac:dyDescent="0.35">
      <c r="A38" s="4" t="s">
        <v>19</v>
      </c>
      <c r="B38" s="4">
        <v>2015</v>
      </c>
      <c r="C38" s="4">
        <v>1</v>
      </c>
      <c r="D38" s="4">
        <v>25</v>
      </c>
      <c r="E38" s="4">
        <v>11</v>
      </c>
      <c r="F38" s="4">
        <v>126436</v>
      </c>
      <c r="G38" s="4" t="s">
        <v>20</v>
      </c>
      <c r="H38" s="4">
        <v>0</v>
      </c>
      <c r="I38" s="4">
        <v>5.0511999999999997</v>
      </c>
      <c r="J38" s="4">
        <v>291.58499999999998</v>
      </c>
      <c r="K38" s="4">
        <v>963.89750000000004</v>
      </c>
      <c r="L38" s="4">
        <v>257.20089999999999</v>
      </c>
      <c r="M38" s="4">
        <v>28.783100000000001</v>
      </c>
      <c r="N38" s="4">
        <v>5.2507000000000001</v>
      </c>
      <c r="O38" s="4">
        <v>0.3992</v>
      </c>
      <c r="P38" s="4">
        <v>0</v>
      </c>
      <c r="Q38" s="4">
        <v>7.3700000000000002E-2</v>
      </c>
      <c r="R38" s="4">
        <v>0</v>
      </c>
      <c r="S38" s="4">
        <v>20190408</v>
      </c>
      <c r="T38">
        <f t="shared" si="1"/>
        <v>1552.2413000000001</v>
      </c>
    </row>
    <row r="39" spans="1:20" x14ac:dyDescent="0.35">
      <c r="A39" s="4" t="s">
        <v>19</v>
      </c>
      <c r="B39" s="4">
        <v>2015</v>
      </c>
      <c r="C39" s="4">
        <v>1</v>
      </c>
      <c r="D39" s="4">
        <v>25</v>
      </c>
      <c r="E39" s="4">
        <v>12</v>
      </c>
      <c r="F39" s="4">
        <v>126436</v>
      </c>
      <c r="G39" s="4" t="s">
        <v>20</v>
      </c>
      <c r="H39" s="4">
        <v>0</v>
      </c>
      <c r="I39" s="4">
        <v>2.1696</v>
      </c>
      <c r="J39" s="4">
        <v>167.54849999999999</v>
      </c>
      <c r="K39" s="4">
        <v>1315.5862</v>
      </c>
      <c r="L39" s="4">
        <v>523.35209999999995</v>
      </c>
      <c r="M39" s="4">
        <v>60.651800000000001</v>
      </c>
      <c r="N39" s="4">
        <v>11.006399999999999</v>
      </c>
      <c r="O39" s="4">
        <v>0.74470000000000003</v>
      </c>
      <c r="P39" s="4">
        <v>0</v>
      </c>
      <c r="Q39" s="4">
        <v>8.6400000000000005E-2</v>
      </c>
      <c r="R39" s="4">
        <v>0</v>
      </c>
      <c r="S39" s="4">
        <v>20190408</v>
      </c>
      <c r="T39">
        <f t="shared" si="1"/>
        <v>2081.1457000000005</v>
      </c>
    </row>
    <row r="40" spans="1:20" x14ac:dyDescent="0.35">
      <c r="A40" s="4" t="s">
        <v>19</v>
      </c>
      <c r="B40" s="4">
        <v>2015</v>
      </c>
      <c r="C40" s="4">
        <v>1</v>
      </c>
      <c r="D40" s="4">
        <v>25</v>
      </c>
      <c r="E40" s="4">
        <v>9</v>
      </c>
      <c r="F40" s="4">
        <v>126436</v>
      </c>
      <c r="G40" s="4" t="s">
        <v>20</v>
      </c>
      <c r="H40" s="4">
        <v>0</v>
      </c>
      <c r="I40" s="4">
        <v>0.26669999999999999</v>
      </c>
      <c r="J40" s="4">
        <v>27.854900000000001</v>
      </c>
      <c r="K40" s="4">
        <v>444.97579999999999</v>
      </c>
      <c r="L40" s="4">
        <v>143.4769</v>
      </c>
      <c r="M40" s="4">
        <v>11.801299999999999</v>
      </c>
      <c r="N40" s="4">
        <v>1.7272000000000001</v>
      </c>
      <c r="O40" s="4">
        <v>0.1638</v>
      </c>
      <c r="P40" s="4">
        <v>0</v>
      </c>
      <c r="Q40" s="4">
        <v>0</v>
      </c>
      <c r="R40" s="4">
        <v>0</v>
      </c>
      <c r="S40" s="4">
        <v>20190408</v>
      </c>
      <c r="T40">
        <f t="shared" si="1"/>
        <v>630.26660000000004</v>
      </c>
    </row>
    <row r="41" spans="1:20" x14ac:dyDescent="0.35">
      <c r="A41" s="4" t="s">
        <v>19</v>
      </c>
      <c r="B41" s="4">
        <v>2015</v>
      </c>
      <c r="C41" s="4">
        <v>1</v>
      </c>
      <c r="D41" s="4">
        <v>26</v>
      </c>
      <c r="E41" s="4">
        <v>10</v>
      </c>
      <c r="F41" s="4">
        <v>126436</v>
      </c>
      <c r="G41" s="4" t="s">
        <v>20</v>
      </c>
      <c r="H41" s="4">
        <v>0</v>
      </c>
      <c r="I41" s="4">
        <v>9.0599000000000007</v>
      </c>
      <c r="J41" s="4">
        <v>120.7118</v>
      </c>
      <c r="K41" s="4">
        <v>384.8682</v>
      </c>
      <c r="L41" s="4">
        <v>212.82929999999999</v>
      </c>
      <c r="M41" s="4">
        <v>80.514200000000002</v>
      </c>
      <c r="N41" s="4">
        <v>12.724600000000001</v>
      </c>
      <c r="O41" s="4">
        <v>3.3319000000000001</v>
      </c>
      <c r="P41" s="4">
        <v>0.74399999999999999</v>
      </c>
      <c r="Q41" s="4">
        <v>0</v>
      </c>
      <c r="R41" s="4">
        <v>0</v>
      </c>
      <c r="S41" s="4">
        <v>20190408</v>
      </c>
      <c r="T41">
        <f t="shared" si="1"/>
        <v>824.78390000000002</v>
      </c>
    </row>
    <row r="42" spans="1:20" x14ac:dyDescent="0.35">
      <c r="A42" s="4" t="s">
        <v>19</v>
      </c>
      <c r="B42" s="4">
        <v>2015</v>
      </c>
      <c r="C42" s="4">
        <v>1</v>
      </c>
      <c r="D42" s="4">
        <v>26</v>
      </c>
      <c r="E42" s="4">
        <v>11</v>
      </c>
      <c r="F42" s="4">
        <v>126436</v>
      </c>
      <c r="G42" s="4" t="s">
        <v>20</v>
      </c>
      <c r="H42" s="4">
        <v>0</v>
      </c>
      <c r="I42" s="4">
        <v>4.5923999999999996</v>
      </c>
      <c r="J42" s="4">
        <v>84.491399999999999</v>
      </c>
      <c r="K42" s="4">
        <v>185.47900000000001</v>
      </c>
      <c r="L42" s="4">
        <v>103.0467</v>
      </c>
      <c r="M42" s="4">
        <v>36.942399999999999</v>
      </c>
      <c r="N42" s="4">
        <v>5.7817999999999996</v>
      </c>
      <c r="O42" s="4">
        <v>1.9133</v>
      </c>
      <c r="P42" s="4">
        <v>0.29409999999999997</v>
      </c>
      <c r="Q42" s="4">
        <v>0</v>
      </c>
      <c r="R42" s="4">
        <v>0</v>
      </c>
      <c r="S42" s="4">
        <v>20190408</v>
      </c>
      <c r="T42">
        <f t="shared" si="1"/>
        <v>422.54110000000003</v>
      </c>
    </row>
    <row r="43" spans="1:20" x14ac:dyDescent="0.35">
      <c r="A43" s="4" t="s">
        <v>19</v>
      </c>
      <c r="B43" s="4">
        <v>2015</v>
      </c>
      <c r="C43" s="4">
        <v>1</v>
      </c>
      <c r="D43" s="4">
        <v>26</v>
      </c>
      <c r="E43" s="4">
        <v>12</v>
      </c>
      <c r="F43" s="4">
        <v>126436</v>
      </c>
      <c r="G43" s="4" t="s">
        <v>20</v>
      </c>
      <c r="H43" s="4">
        <v>0</v>
      </c>
      <c r="I43" s="4">
        <v>1.0545</v>
      </c>
      <c r="J43" s="4">
        <v>59.8919</v>
      </c>
      <c r="K43" s="4">
        <v>187.09700000000001</v>
      </c>
      <c r="L43" s="4">
        <v>109.0159</v>
      </c>
      <c r="M43" s="4">
        <v>38.962899999999998</v>
      </c>
      <c r="N43" s="4">
        <v>6.3720999999999997</v>
      </c>
      <c r="O43" s="4">
        <v>1.6055999999999999</v>
      </c>
      <c r="P43" s="4">
        <v>0.1</v>
      </c>
      <c r="Q43" s="4">
        <v>0.1</v>
      </c>
      <c r="R43" s="4">
        <v>0</v>
      </c>
      <c r="S43" s="4">
        <v>20190408</v>
      </c>
      <c r="T43">
        <f t="shared" si="1"/>
        <v>404.19990000000001</v>
      </c>
    </row>
    <row r="44" spans="1:20" x14ac:dyDescent="0.35">
      <c r="A44" s="4" t="s">
        <v>19</v>
      </c>
      <c r="B44" s="4">
        <v>2015</v>
      </c>
      <c r="C44" s="4">
        <v>1</v>
      </c>
      <c r="D44" s="4">
        <v>26</v>
      </c>
      <c r="E44" s="4">
        <v>13</v>
      </c>
      <c r="F44" s="4">
        <v>126436</v>
      </c>
      <c r="G44" s="4" t="s">
        <v>20</v>
      </c>
      <c r="H44" s="4">
        <v>0</v>
      </c>
      <c r="I44" s="4">
        <v>0.71430000000000005</v>
      </c>
      <c r="J44" s="4">
        <v>22.894200000000001</v>
      </c>
      <c r="K44" s="4">
        <v>140.69829999999999</v>
      </c>
      <c r="L44" s="4">
        <v>78.5261</v>
      </c>
      <c r="M44" s="4">
        <v>33.675899999999999</v>
      </c>
      <c r="N44" s="4">
        <v>4.9329999999999998</v>
      </c>
      <c r="O44" s="4">
        <v>1.3915</v>
      </c>
      <c r="P44" s="4">
        <v>0.33329999999999999</v>
      </c>
      <c r="Q44" s="4">
        <v>0.16669999999999999</v>
      </c>
      <c r="R44" s="4">
        <v>0</v>
      </c>
      <c r="S44" s="4">
        <v>20190408</v>
      </c>
      <c r="T44">
        <f t="shared" si="1"/>
        <v>283.33330000000001</v>
      </c>
    </row>
    <row r="45" spans="1:20" x14ac:dyDescent="0.35">
      <c r="A45" s="4" t="s">
        <v>19</v>
      </c>
      <c r="B45" s="4">
        <v>2015</v>
      </c>
      <c r="C45" s="4">
        <v>1</v>
      </c>
      <c r="D45" s="4">
        <v>26</v>
      </c>
      <c r="E45" s="4">
        <v>14</v>
      </c>
      <c r="F45" s="4">
        <v>126436</v>
      </c>
      <c r="G45" s="4" t="s">
        <v>20</v>
      </c>
      <c r="H45" s="4">
        <v>0</v>
      </c>
      <c r="I45" s="4">
        <v>3.5</v>
      </c>
      <c r="J45" s="4">
        <v>29.214400000000001</v>
      </c>
      <c r="K45" s="4">
        <v>179.65520000000001</v>
      </c>
      <c r="L45" s="4">
        <v>118.23220000000001</v>
      </c>
      <c r="M45" s="4">
        <v>59.0488</v>
      </c>
      <c r="N45" s="4">
        <v>13.455299999999999</v>
      </c>
      <c r="O45" s="4">
        <v>2.8940000000000001</v>
      </c>
      <c r="P45" s="4">
        <v>0</v>
      </c>
      <c r="Q45" s="4">
        <v>0</v>
      </c>
      <c r="R45" s="4">
        <v>0</v>
      </c>
      <c r="S45" s="4">
        <v>20190408</v>
      </c>
      <c r="T45">
        <f t="shared" si="1"/>
        <v>405.99990000000008</v>
      </c>
    </row>
    <row r="46" spans="1:20" x14ac:dyDescent="0.35">
      <c r="A46" s="4" t="s">
        <v>19</v>
      </c>
      <c r="B46" s="4">
        <v>2015</v>
      </c>
      <c r="C46" s="4">
        <v>1</v>
      </c>
      <c r="D46" s="4">
        <v>26</v>
      </c>
      <c r="E46" s="4">
        <v>9</v>
      </c>
      <c r="F46" s="4">
        <v>126436</v>
      </c>
      <c r="G46" s="4" t="s">
        <v>20</v>
      </c>
      <c r="H46" s="4">
        <v>0</v>
      </c>
      <c r="I46" s="4">
        <v>14.6778</v>
      </c>
      <c r="J46" s="4">
        <v>31.812899999999999</v>
      </c>
      <c r="K46" s="4">
        <v>73.534400000000005</v>
      </c>
      <c r="L46" s="4">
        <v>41.125700000000002</v>
      </c>
      <c r="M46" s="4">
        <v>14.273899999999999</v>
      </c>
      <c r="N46" s="4">
        <v>2.2382</v>
      </c>
      <c r="O46" s="4">
        <v>0.75919999999999999</v>
      </c>
      <c r="P46" s="4">
        <v>0</v>
      </c>
      <c r="Q46" s="4">
        <v>0</v>
      </c>
      <c r="R46" s="4">
        <v>0</v>
      </c>
      <c r="S46" s="4">
        <v>20190408</v>
      </c>
      <c r="T46">
        <f t="shared" si="1"/>
        <v>178.4221</v>
      </c>
    </row>
    <row r="47" spans="1:20" x14ac:dyDescent="0.35">
      <c r="A47" s="4" t="s">
        <v>19</v>
      </c>
      <c r="B47" s="4">
        <v>2015</v>
      </c>
      <c r="C47" s="4">
        <v>1</v>
      </c>
      <c r="D47" s="4">
        <v>27</v>
      </c>
      <c r="E47" s="4">
        <v>11</v>
      </c>
      <c r="F47" s="4">
        <v>126436</v>
      </c>
      <c r="G47" s="4" t="s">
        <v>20</v>
      </c>
      <c r="H47" s="4">
        <v>0</v>
      </c>
      <c r="I47" s="4">
        <v>0</v>
      </c>
      <c r="J47" s="4">
        <v>0.8</v>
      </c>
      <c r="K47" s="4">
        <v>0.2</v>
      </c>
      <c r="L47" s="4">
        <v>0</v>
      </c>
      <c r="M47" s="4">
        <v>0.5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20190408</v>
      </c>
      <c r="T47">
        <f t="shared" si="1"/>
        <v>1.5</v>
      </c>
    </row>
    <row r="48" spans="1:20" x14ac:dyDescent="0.35">
      <c r="A48" s="4" t="s">
        <v>19</v>
      </c>
      <c r="B48" s="4">
        <v>2015</v>
      </c>
      <c r="C48" s="4">
        <v>1</v>
      </c>
      <c r="D48" s="4">
        <v>27</v>
      </c>
      <c r="E48" s="4">
        <v>12</v>
      </c>
      <c r="F48" s="4">
        <v>126436</v>
      </c>
      <c r="G48" s="4" t="s">
        <v>20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20190408</v>
      </c>
      <c r="T48">
        <f t="shared" si="1"/>
        <v>0</v>
      </c>
    </row>
    <row r="49" spans="1:20" x14ac:dyDescent="0.35">
      <c r="A49" s="4" t="s">
        <v>19</v>
      </c>
      <c r="B49" s="4">
        <v>2015</v>
      </c>
      <c r="C49" s="4">
        <v>1</v>
      </c>
      <c r="D49" s="4">
        <v>27</v>
      </c>
      <c r="E49" s="4">
        <v>13</v>
      </c>
      <c r="F49" s="4">
        <v>126436</v>
      </c>
      <c r="G49" s="4" t="s">
        <v>20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20190408</v>
      </c>
      <c r="T49">
        <f t="shared" si="1"/>
        <v>0</v>
      </c>
    </row>
    <row r="50" spans="1:20" x14ac:dyDescent="0.35">
      <c r="A50" s="4" t="s">
        <v>19</v>
      </c>
      <c r="B50" s="4">
        <v>2015</v>
      </c>
      <c r="C50" s="4">
        <v>1</v>
      </c>
      <c r="D50" s="4">
        <v>28</v>
      </c>
      <c r="E50" s="4">
        <v>10</v>
      </c>
      <c r="F50" s="4">
        <v>126436</v>
      </c>
      <c r="G50" s="4" t="s">
        <v>20</v>
      </c>
      <c r="H50" s="4">
        <v>0</v>
      </c>
      <c r="I50" s="4">
        <v>2</v>
      </c>
      <c r="J50" s="4">
        <v>15.977600000000001</v>
      </c>
      <c r="K50" s="4">
        <v>25.257200000000001</v>
      </c>
      <c r="L50" s="4">
        <v>9.4143000000000008</v>
      </c>
      <c r="M50" s="4">
        <v>1.7476</v>
      </c>
      <c r="N50" s="4">
        <v>0.23810000000000001</v>
      </c>
      <c r="O50" s="4">
        <v>0.22220000000000001</v>
      </c>
      <c r="P50" s="4">
        <v>0</v>
      </c>
      <c r="Q50" s="4">
        <v>0</v>
      </c>
      <c r="R50" s="4">
        <v>0</v>
      </c>
      <c r="S50" s="4">
        <v>20190408</v>
      </c>
      <c r="T50">
        <f t="shared" si="1"/>
        <v>54.857000000000006</v>
      </c>
    </row>
    <row r="51" spans="1:20" x14ac:dyDescent="0.35">
      <c r="A51" s="4" t="s">
        <v>19</v>
      </c>
      <c r="B51" s="4">
        <v>2015</v>
      </c>
      <c r="C51" s="4">
        <v>1</v>
      </c>
      <c r="D51" s="4">
        <v>28</v>
      </c>
      <c r="E51" s="4">
        <v>11</v>
      </c>
      <c r="F51" s="4">
        <v>126436</v>
      </c>
      <c r="G51" s="4" t="s">
        <v>20</v>
      </c>
      <c r="H51" s="4">
        <v>0</v>
      </c>
      <c r="I51" s="4">
        <v>0.36359999999999998</v>
      </c>
      <c r="J51" s="4">
        <v>18.884799999999998</v>
      </c>
      <c r="K51" s="4">
        <v>30.355599999999999</v>
      </c>
      <c r="L51" s="4">
        <v>14.0657</v>
      </c>
      <c r="M51" s="4">
        <v>3.7368000000000001</v>
      </c>
      <c r="N51" s="4">
        <v>0.73480000000000001</v>
      </c>
      <c r="O51" s="4">
        <v>0.40400000000000003</v>
      </c>
      <c r="P51" s="4">
        <v>0</v>
      </c>
      <c r="Q51" s="4">
        <v>0</v>
      </c>
      <c r="R51" s="4">
        <v>0</v>
      </c>
      <c r="S51" s="4">
        <v>20190408</v>
      </c>
      <c r="T51">
        <f t="shared" si="1"/>
        <v>68.545299999999997</v>
      </c>
    </row>
    <row r="52" spans="1:20" x14ac:dyDescent="0.35">
      <c r="A52" s="4" t="s">
        <v>19</v>
      </c>
      <c r="B52" s="4">
        <v>2015</v>
      </c>
      <c r="C52" s="4">
        <v>1</v>
      </c>
      <c r="D52" s="4">
        <v>28</v>
      </c>
      <c r="E52" s="4">
        <v>12</v>
      </c>
      <c r="F52" s="4">
        <v>126436</v>
      </c>
      <c r="G52" s="4" t="s">
        <v>20</v>
      </c>
      <c r="H52" s="4">
        <v>0</v>
      </c>
      <c r="I52" s="4">
        <v>0</v>
      </c>
      <c r="J52" s="4">
        <v>0.42920000000000003</v>
      </c>
      <c r="K52" s="4">
        <v>1.7442</v>
      </c>
      <c r="L52" s="4">
        <v>1.0093000000000001</v>
      </c>
      <c r="M52" s="4">
        <v>0.65059999999999996</v>
      </c>
      <c r="N52" s="4">
        <v>0.25</v>
      </c>
      <c r="O52" s="4">
        <v>0.16669999999999999</v>
      </c>
      <c r="P52" s="4">
        <v>0</v>
      </c>
      <c r="Q52" s="4">
        <v>0</v>
      </c>
      <c r="R52" s="4">
        <v>0</v>
      </c>
      <c r="S52" s="4">
        <v>20190408</v>
      </c>
      <c r="T52">
        <f t="shared" si="1"/>
        <v>4.2499999999999991</v>
      </c>
    </row>
    <row r="53" spans="1:20" x14ac:dyDescent="0.35">
      <c r="A53" s="4" t="s">
        <v>19</v>
      </c>
      <c r="B53" s="4">
        <v>2015</v>
      </c>
      <c r="C53" s="4">
        <v>1</v>
      </c>
      <c r="D53" s="4">
        <v>28</v>
      </c>
      <c r="E53" s="4">
        <v>9</v>
      </c>
      <c r="F53" s="4">
        <v>126436</v>
      </c>
      <c r="G53" s="4" t="s">
        <v>20</v>
      </c>
      <c r="H53" s="4">
        <v>0</v>
      </c>
      <c r="I53" s="4">
        <v>0</v>
      </c>
      <c r="J53" s="4">
        <v>0.1111</v>
      </c>
      <c r="K53" s="4">
        <v>1.8889</v>
      </c>
      <c r="L53" s="4">
        <v>2</v>
      </c>
      <c r="M53" s="4">
        <v>1</v>
      </c>
      <c r="N53" s="4">
        <v>0.33329999999999999</v>
      </c>
      <c r="O53" s="4">
        <v>0</v>
      </c>
      <c r="P53" s="4">
        <v>0</v>
      </c>
      <c r="Q53" s="4">
        <v>0</v>
      </c>
      <c r="R53" s="4">
        <v>0</v>
      </c>
      <c r="S53" s="4">
        <v>20190408</v>
      </c>
      <c r="T53">
        <f t="shared" si="1"/>
        <v>5.3333000000000004</v>
      </c>
    </row>
    <row r="54" spans="1:20" x14ac:dyDescent="0.35">
      <c r="A54" s="4" t="s">
        <v>19</v>
      </c>
      <c r="B54" s="4">
        <v>2016</v>
      </c>
      <c r="C54" s="4">
        <v>1</v>
      </c>
      <c r="D54" s="4">
        <v>21</v>
      </c>
      <c r="E54" s="4">
        <v>10</v>
      </c>
      <c r="F54" s="4">
        <v>126436</v>
      </c>
      <c r="G54" s="4" t="s">
        <v>20</v>
      </c>
      <c r="H54" s="4">
        <v>0</v>
      </c>
      <c r="I54" s="4">
        <v>5.5E-2</v>
      </c>
      <c r="J54" s="4">
        <v>0.58069999999999999</v>
      </c>
      <c r="K54" s="4">
        <v>1.0543</v>
      </c>
      <c r="L54" s="4">
        <v>7.7100000000000002E-2</v>
      </c>
      <c r="M54" s="4">
        <v>0.10290000000000001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20190103</v>
      </c>
      <c r="T54">
        <f t="shared" si="1"/>
        <v>1.8699999999999999</v>
      </c>
    </row>
    <row r="55" spans="1:20" x14ac:dyDescent="0.35">
      <c r="A55" s="4" t="s">
        <v>19</v>
      </c>
      <c r="B55" s="4">
        <v>2016</v>
      </c>
      <c r="C55" s="4">
        <v>1</v>
      </c>
      <c r="D55" s="4">
        <v>21</v>
      </c>
      <c r="E55" s="4">
        <v>11</v>
      </c>
      <c r="F55" s="4">
        <v>126436</v>
      </c>
      <c r="G55" s="4" t="s">
        <v>20</v>
      </c>
      <c r="H55" s="4">
        <v>0</v>
      </c>
      <c r="I55" s="4">
        <v>0</v>
      </c>
      <c r="J55" s="4">
        <v>4.18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20190103</v>
      </c>
      <c r="T55">
        <f t="shared" si="1"/>
        <v>4.18</v>
      </c>
    </row>
    <row r="56" spans="1:20" x14ac:dyDescent="0.35">
      <c r="A56" s="4" t="s">
        <v>19</v>
      </c>
      <c r="B56" s="4">
        <v>2016</v>
      </c>
      <c r="C56" s="4">
        <v>1</v>
      </c>
      <c r="D56" s="4">
        <v>21</v>
      </c>
      <c r="E56" s="4">
        <v>9</v>
      </c>
      <c r="F56" s="4">
        <v>126436</v>
      </c>
      <c r="G56" s="4" t="s">
        <v>20</v>
      </c>
      <c r="H56" s="4">
        <v>0</v>
      </c>
      <c r="I56" s="4">
        <v>1.5024</v>
      </c>
      <c r="J56" s="4">
        <v>5.9086999999999996</v>
      </c>
      <c r="K56" s="4">
        <v>1.3263</v>
      </c>
      <c r="L56" s="4">
        <v>3.9020000000000001</v>
      </c>
      <c r="M56" s="4">
        <v>2.3565</v>
      </c>
      <c r="N56" s="4">
        <v>9.7900000000000001E-2</v>
      </c>
      <c r="O56" s="4">
        <v>5.0799999999999998E-2</v>
      </c>
      <c r="P56" s="4">
        <v>0</v>
      </c>
      <c r="Q56" s="4">
        <v>0</v>
      </c>
      <c r="R56" s="4">
        <v>0</v>
      </c>
      <c r="S56" s="4">
        <v>20190103</v>
      </c>
      <c r="T56">
        <f t="shared" si="1"/>
        <v>15.144599999999999</v>
      </c>
    </row>
    <row r="57" spans="1:20" x14ac:dyDescent="0.35">
      <c r="A57" s="4" t="s">
        <v>19</v>
      </c>
      <c r="B57" s="4">
        <v>2016</v>
      </c>
      <c r="C57" s="4">
        <v>1</v>
      </c>
      <c r="D57" s="4">
        <v>22</v>
      </c>
      <c r="E57" s="4">
        <v>8</v>
      </c>
      <c r="F57" s="4">
        <v>126436</v>
      </c>
      <c r="G57" s="4" t="s">
        <v>20</v>
      </c>
      <c r="H57" s="4">
        <v>0</v>
      </c>
      <c r="I57" s="4">
        <v>0.3831</v>
      </c>
      <c r="J57" s="4">
        <v>1.1472</v>
      </c>
      <c r="K57" s="4">
        <v>0.22509999999999999</v>
      </c>
      <c r="L57" s="4">
        <v>1.2217</v>
      </c>
      <c r="M57" s="4">
        <v>0.40660000000000002</v>
      </c>
      <c r="N57" s="4">
        <v>0.20349999999999999</v>
      </c>
      <c r="O57" s="4">
        <v>0</v>
      </c>
      <c r="P57" s="4">
        <v>0</v>
      </c>
      <c r="Q57" s="4">
        <v>0</v>
      </c>
      <c r="R57" s="4">
        <v>0</v>
      </c>
      <c r="S57" s="4">
        <v>20190103</v>
      </c>
      <c r="T57">
        <f t="shared" si="1"/>
        <v>3.5872000000000002</v>
      </c>
    </row>
    <row r="58" spans="1:20" x14ac:dyDescent="0.35">
      <c r="A58" s="4" t="s">
        <v>19</v>
      </c>
      <c r="B58" s="4">
        <v>2016</v>
      </c>
      <c r="C58" s="4">
        <v>1</v>
      </c>
      <c r="D58" s="4">
        <v>22</v>
      </c>
      <c r="E58" s="4">
        <v>9</v>
      </c>
      <c r="F58" s="4">
        <v>126436</v>
      </c>
      <c r="G58" s="4" t="s">
        <v>20</v>
      </c>
      <c r="H58" s="4">
        <v>0</v>
      </c>
      <c r="I58" s="4">
        <v>0.43219999999999997</v>
      </c>
      <c r="J58" s="4">
        <v>8.3065999999999995</v>
      </c>
      <c r="K58" s="4">
        <v>16.882200000000001</v>
      </c>
      <c r="L58" s="4">
        <v>4.3868999999999998</v>
      </c>
      <c r="M58" s="4">
        <v>1.0607</v>
      </c>
      <c r="N58" s="4">
        <v>0.26640000000000003</v>
      </c>
      <c r="O58" s="4">
        <v>2.75E-2</v>
      </c>
      <c r="P58" s="4">
        <v>0</v>
      </c>
      <c r="Q58" s="4">
        <v>0</v>
      </c>
      <c r="R58" s="4">
        <v>0</v>
      </c>
      <c r="S58" s="4">
        <v>20190103</v>
      </c>
      <c r="T58">
        <f t="shared" si="1"/>
        <v>31.362500000000004</v>
      </c>
    </row>
    <row r="59" spans="1:20" x14ac:dyDescent="0.35">
      <c r="A59" s="4" t="s">
        <v>19</v>
      </c>
      <c r="B59" s="4">
        <v>2016</v>
      </c>
      <c r="C59" s="4">
        <v>1</v>
      </c>
      <c r="D59" s="4">
        <v>23</v>
      </c>
      <c r="E59" s="4">
        <v>8</v>
      </c>
      <c r="F59" s="4">
        <v>126436</v>
      </c>
      <c r="G59" s="4" t="s">
        <v>20</v>
      </c>
      <c r="H59" s="4">
        <v>0</v>
      </c>
      <c r="I59" s="4">
        <v>0</v>
      </c>
      <c r="J59" s="4">
        <v>107.9218</v>
      </c>
      <c r="K59" s="4">
        <v>89.459800000000001</v>
      </c>
      <c r="L59" s="4">
        <v>45.296799999999998</v>
      </c>
      <c r="M59" s="4">
        <v>3.9308000000000001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20190103</v>
      </c>
      <c r="T59">
        <f t="shared" si="1"/>
        <v>246.60919999999999</v>
      </c>
    </row>
    <row r="60" spans="1:20" x14ac:dyDescent="0.35">
      <c r="A60" s="4" t="s">
        <v>19</v>
      </c>
      <c r="B60" s="4">
        <v>2016</v>
      </c>
      <c r="C60" s="4">
        <v>1</v>
      </c>
      <c r="D60" s="4">
        <v>23</v>
      </c>
      <c r="E60" s="4">
        <v>9</v>
      </c>
      <c r="F60" s="4">
        <v>126436</v>
      </c>
      <c r="G60" s="4" t="s">
        <v>20</v>
      </c>
      <c r="H60" s="4">
        <v>0</v>
      </c>
      <c r="I60" s="4">
        <v>0</v>
      </c>
      <c r="J60" s="4">
        <v>1.5732999999999999</v>
      </c>
      <c r="K60" s="4">
        <v>1.4</v>
      </c>
      <c r="L60" s="4">
        <v>5.9226999999999999</v>
      </c>
      <c r="M60" s="4">
        <v>3.3239999999999998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20190103</v>
      </c>
      <c r="T60">
        <f t="shared" si="1"/>
        <v>12.22</v>
      </c>
    </row>
    <row r="61" spans="1:20" x14ac:dyDescent="0.35">
      <c r="A61" s="4" t="s">
        <v>19</v>
      </c>
      <c r="B61" s="4">
        <v>2016</v>
      </c>
      <c r="C61" s="4">
        <v>1</v>
      </c>
      <c r="D61" s="4">
        <v>24</v>
      </c>
      <c r="E61" s="4">
        <v>10</v>
      </c>
      <c r="F61" s="4">
        <v>126436</v>
      </c>
      <c r="G61" s="4" t="s">
        <v>20</v>
      </c>
      <c r="H61" s="4">
        <v>0</v>
      </c>
      <c r="I61" s="4">
        <v>4.1344000000000003</v>
      </c>
      <c r="J61" s="4">
        <v>0</v>
      </c>
      <c r="K61" s="4">
        <v>742.44100000000003</v>
      </c>
      <c r="L61" s="4">
        <v>469.57499999999999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20190103</v>
      </c>
      <c r="T61">
        <f t="shared" si="1"/>
        <v>1216.1504</v>
      </c>
    </row>
    <row r="62" spans="1:20" x14ac:dyDescent="0.35">
      <c r="A62" s="4" t="s">
        <v>19</v>
      </c>
      <c r="B62" s="4">
        <v>2016</v>
      </c>
      <c r="C62" s="4">
        <v>1</v>
      </c>
      <c r="D62" s="4">
        <v>24</v>
      </c>
      <c r="E62" s="4">
        <v>8</v>
      </c>
      <c r="F62" s="4">
        <v>126436</v>
      </c>
      <c r="G62" s="4" t="s">
        <v>20</v>
      </c>
      <c r="H62" s="4">
        <v>0</v>
      </c>
      <c r="I62" s="4">
        <v>0</v>
      </c>
      <c r="J62" s="4">
        <v>0</v>
      </c>
      <c r="K62" s="4">
        <v>18.312000000000001</v>
      </c>
      <c r="L62" s="4">
        <v>26.16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20190103</v>
      </c>
      <c r="T62">
        <f t="shared" si="1"/>
        <v>44.472000000000001</v>
      </c>
    </row>
    <row r="63" spans="1:20" x14ac:dyDescent="0.35">
      <c r="A63" s="4" t="s">
        <v>19</v>
      </c>
      <c r="B63" s="4">
        <v>2016</v>
      </c>
      <c r="C63" s="4">
        <v>1</v>
      </c>
      <c r="D63" s="4">
        <v>24</v>
      </c>
      <c r="E63" s="4">
        <v>9</v>
      </c>
      <c r="F63" s="4">
        <v>126436</v>
      </c>
      <c r="G63" s="4" t="s">
        <v>20</v>
      </c>
      <c r="H63" s="4">
        <v>0</v>
      </c>
      <c r="I63" s="4">
        <v>0.73329999999999995</v>
      </c>
      <c r="J63" s="4">
        <v>0</v>
      </c>
      <c r="K63" s="4">
        <v>211.8587</v>
      </c>
      <c r="L63" s="4">
        <v>116.2617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20190103</v>
      </c>
      <c r="T63">
        <f t="shared" si="1"/>
        <v>328.8537</v>
      </c>
    </row>
    <row r="64" spans="1:20" x14ac:dyDescent="0.35">
      <c r="A64" s="4" t="s">
        <v>19</v>
      </c>
      <c r="B64" s="4">
        <v>2016</v>
      </c>
      <c r="C64" s="4">
        <v>1</v>
      </c>
      <c r="D64" s="4">
        <v>25</v>
      </c>
      <c r="E64" s="4">
        <v>10</v>
      </c>
      <c r="F64" s="4">
        <v>126436</v>
      </c>
      <c r="G64" s="4" t="s">
        <v>20</v>
      </c>
      <c r="H64" s="4">
        <v>0</v>
      </c>
      <c r="I64" s="4">
        <v>14.610099999999999</v>
      </c>
      <c r="J64" s="4">
        <v>812.86019999999996</v>
      </c>
      <c r="K64" s="4">
        <v>1006.7113000000001</v>
      </c>
      <c r="L64" s="4">
        <v>409.51100000000002</v>
      </c>
      <c r="M64" s="4">
        <v>44.914200000000001</v>
      </c>
      <c r="N64" s="4">
        <v>3.1815000000000002</v>
      </c>
      <c r="O64" s="4">
        <v>0.83560000000000001</v>
      </c>
      <c r="P64" s="4">
        <v>0.41049999999999998</v>
      </c>
      <c r="Q64" s="4">
        <v>0</v>
      </c>
      <c r="R64" s="4">
        <v>0</v>
      </c>
      <c r="S64" s="4">
        <v>20190103</v>
      </c>
      <c r="T64">
        <f t="shared" si="1"/>
        <v>2293.0344</v>
      </c>
    </row>
    <row r="65" spans="1:20" x14ac:dyDescent="0.35">
      <c r="A65" s="4" t="s">
        <v>19</v>
      </c>
      <c r="B65" s="4">
        <v>2016</v>
      </c>
      <c r="C65" s="4">
        <v>1</v>
      </c>
      <c r="D65" s="4">
        <v>25</v>
      </c>
      <c r="E65" s="4">
        <v>11</v>
      </c>
      <c r="F65" s="4">
        <v>126436</v>
      </c>
      <c r="G65" s="4" t="s">
        <v>20</v>
      </c>
      <c r="H65" s="4">
        <v>0</v>
      </c>
      <c r="I65" s="4">
        <v>2.4045000000000001</v>
      </c>
      <c r="J65" s="4">
        <v>471.30650000000003</v>
      </c>
      <c r="K65" s="4">
        <v>741.42529999999999</v>
      </c>
      <c r="L65" s="4">
        <v>337.77870000000001</v>
      </c>
      <c r="M65" s="4">
        <v>31.090299999999999</v>
      </c>
      <c r="N65" s="4">
        <v>1.7542</v>
      </c>
      <c r="O65" s="4">
        <v>0.63129999999999997</v>
      </c>
      <c r="P65" s="4">
        <v>0.16089999999999999</v>
      </c>
      <c r="Q65" s="4">
        <v>0</v>
      </c>
      <c r="R65" s="4">
        <v>0</v>
      </c>
      <c r="S65" s="4">
        <v>20190103</v>
      </c>
      <c r="T65">
        <f t="shared" si="1"/>
        <v>1586.5517000000004</v>
      </c>
    </row>
    <row r="66" spans="1:20" x14ac:dyDescent="0.35">
      <c r="A66" s="4" t="s">
        <v>19</v>
      </c>
      <c r="B66" s="4">
        <v>2016</v>
      </c>
      <c r="C66" s="4">
        <v>1</v>
      </c>
      <c r="D66" s="4">
        <v>25</v>
      </c>
      <c r="E66" s="4">
        <v>12</v>
      </c>
      <c r="F66" s="4">
        <v>126436</v>
      </c>
      <c r="G66" s="4" t="s">
        <v>20</v>
      </c>
      <c r="H66" s="4">
        <v>0</v>
      </c>
      <c r="I66" s="4">
        <v>0.13070000000000001</v>
      </c>
      <c r="J66" s="4">
        <v>102.55110000000001</v>
      </c>
      <c r="K66" s="4">
        <v>559.52139999999997</v>
      </c>
      <c r="L66" s="4">
        <v>372.16989999999998</v>
      </c>
      <c r="M66" s="4">
        <v>37.121099999999998</v>
      </c>
      <c r="N66" s="4">
        <v>2.1522000000000001</v>
      </c>
      <c r="O66" s="4">
        <v>0.94920000000000004</v>
      </c>
      <c r="P66" s="4">
        <v>0.4103</v>
      </c>
      <c r="Q66" s="4">
        <v>0</v>
      </c>
      <c r="R66" s="4">
        <v>0</v>
      </c>
      <c r="S66" s="4">
        <v>20190103</v>
      </c>
      <c r="T66">
        <f t="shared" ref="T66:T97" si="2">SUM(I66:R66)</f>
        <v>1075.0058999999999</v>
      </c>
    </row>
    <row r="67" spans="1:20" x14ac:dyDescent="0.35">
      <c r="A67" s="4" t="s">
        <v>19</v>
      </c>
      <c r="B67" s="4">
        <v>2016</v>
      </c>
      <c r="C67" s="4">
        <v>1</v>
      </c>
      <c r="D67" s="4">
        <v>25</v>
      </c>
      <c r="E67" s="4">
        <v>9</v>
      </c>
      <c r="F67" s="4">
        <v>126436</v>
      </c>
      <c r="G67" s="4" t="s">
        <v>20</v>
      </c>
      <c r="H67" s="4">
        <v>0</v>
      </c>
      <c r="I67" s="4">
        <v>0.33329999999999999</v>
      </c>
      <c r="J67" s="4">
        <v>7.6231</v>
      </c>
      <c r="K67" s="4">
        <v>169.2835</v>
      </c>
      <c r="L67" s="4">
        <v>149.62690000000001</v>
      </c>
      <c r="M67" s="4">
        <v>13.964700000000001</v>
      </c>
      <c r="N67" s="4">
        <v>0.74009999999999998</v>
      </c>
      <c r="O67" s="4">
        <v>0.20619999999999999</v>
      </c>
      <c r="P67" s="4">
        <v>5.5599999999999997E-2</v>
      </c>
      <c r="Q67" s="4">
        <v>0</v>
      </c>
      <c r="R67" s="4">
        <v>0</v>
      </c>
      <c r="S67" s="4">
        <v>20190103</v>
      </c>
      <c r="T67">
        <f t="shared" si="2"/>
        <v>341.83340000000004</v>
      </c>
    </row>
    <row r="68" spans="1:20" x14ac:dyDescent="0.35">
      <c r="A68" s="4" t="s">
        <v>19</v>
      </c>
      <c r="B68" s="4">
        <v>2016</v>
      </c>
      <c r="C68" s="4">
        <v>1</v>
      </c>
      <c r="D68" s="4">
        <v>26</v>
      </c>
      <c r="E68" s="4">
        <v>10</v>
      </c>
      <c r="F68" s="4">
        <v>126436</v>
      </c>
      <c r="G68" s="4" t="s">
        <v>20</v>
      </c>
      <c r="H68" s="4">
        <v>0</v>
      </c>
      <c r="I68" s="4">
        <v>13.537699999999999</v>
      </c>
      <c r="J68" s="4">
        <v>54.408099999999997</v>
      </c>
      <c r="K68" s="4">
        <v>102.5322</v>
      </c>
      <c r="L68" s="4">
        <v>75.475399999999993</v>
      </c>
      <c r="M68" s="4">
        <v>40.125399999999999</v>
      </c>
      <c r="N68" s="4">
        <v>10.2691</v>
      </c>
      <c r="O68" s="4">
        <v>0.92120000000000002</v>
      </c>
      <c r="P68" s="4">
        <v>0.1</v>
      </c>
      <c r="Q68" s="4">
        <v>9.0899999999999995E-2</v>
      </c>
      <c r="R68" s="4">
        <v>0</v>
      </c>
      <c r="S68" s="4">
        <v>20190103</v>
      </c>
      <c r="T68">
        <f t="shared" si="2"/>
        <v>297.45999999999998</v>
      </c>
    </row>
    <row r="69" spans="1:20" x14ac:dyDescent="0.35">
      <c r="A69" s="4" t="s">
        <v>19</v>
      </c>
      <c r="B69" s="4">
        <v>2016</v>
      </c>
      <c r="C69" s="4">
        <v>1</v>
      </c>
      <c r="D69" s="4">
        <v>26</v>
      </c>
      <c r="E69" s="4">
        <v>11</v>
      </c>
      <c r="F69" s="4">
        <v>126436</v>
      </c>
      <c r="G69" s="4" t="s">
        <v>20</v>
      </c>
      <c r="H69" s="4">
        <v>0</v>
      </c>
      <c r="I69" s="4">
        <v>2.8618999999999999</v>
      </c>
      <c r="J69" s="4">
        <v>327.18650000000002</v>
      </c>
      <c r="K69" s="4">
        <v>233.5667</v>
      </c>
      <c r="L69" s="4">
        <v>117.6147</v>
      </c>
      <c r="M69" s="4">
        <v>64.657200000000003</v>
      </c>
      <c r="N69" s="4">
        <v>13.1927</v>
      </c>
      <c r="O69" s="4">
        <v>0.62929999999999997</v>
      </c>
      <c r="P69" s="4">
        <v>0</v>
      </c>
      <c r="Q69" s="4">
        <v>0.1885</v>
      </c>
      <c r="R69" s="4">
        <v>0</v>
      </c>
      <c r="S69" s="4">
        <v>20190103</v>
      </c>
      <c r="T69">
        <f t="shared" si="2"/>
        <v>759.89749999999981</v>
      </c>
    </row>
    <row r="70" spans="1:20" x14ac:dyDescent="0.35">
      <c r="A70" s="4" t="s">
        <v>19</v>
      </c>
      <c r="B70" s="4">
        <v>2016</v>
      </c>
      <c r="C70" s="4">
        <v>1</v>
      </c>
      <c r="D70" s="4">
        <v>26</v>
      </c>
      <c r="E70" s="4">
        <v>12</v>
      </c>
      <c r="F70" s="4">
        <v>126436</v>
      </c>
      <c r="G70" s="4" t="s">
        <v>20</v>
      </c>
      <c r="H70" s="4">
        <v>0</v>
      </c>
      <c r="I70" s="4">
        <v>1.6783999999999999</v>
      </c>
      <c r="J70" s="4">
        <v>198.06880000000001</v>
      </c>
      <c r="K70" s="4">
        <v>443.61759999999998</v>
      </c>
      <c r="L70" s="4">
        <v>251.4913</v>
      </c>
      <c r="M70" s="4">
        <v>145.65379999999999</v>
      </c>
      <c r="N70" s="4">
        <v>28.7454</v>
      </c>
      <c r="O70" s="4">
        <v>1.4291</v>
      </c>
      <c r="P70" s="4">
        <v>0</v>
      </c>
      <c r="Q70" s="4">
        <v>0.25669999999999998</v>
      </c>
      <c r="R70" s="4">
        <v>0</v>
      </c>
      <c r="S70" s="4">
        <v>20190103</v>
      </c>
      <c r="T70">
        <f t="shared" si="2"/>
        <v>1070.9411</v>
      </c>
    </row>
    <row r="71" spans="1:20" x14ac:dyDescent="0.35">
      <c r="A71" s="4" t="s">
        <v>19</v>
      </c>
      <c r="B71" s="4">
        <v>2016</v>
      </c>
      <c r="C71" s="4">
        <v>1</v>
      </c>
      <c r="D71" s="4">
        <v>26</v>
      </c>
      <c r="E71" s="4">
        <v>13</v>
      </c>
      <c r="F71" s="4">
        <v>126436</v>
      </c>
      <c r="G71" s="4" t="s">
        <v>20</v>
      </c>
      <c r="H71" s="4">
        <v>0</v>
      </c>
      <c r="I71" s="4">
        <v>0</v>
      </c>
      <c r="J71" s="4">
        <v>18.069299999999998</v>
      </c>
      <c r="K71" s="4">
        <v>138.49160000000001</v>
      </c>
      <c r="L71" s="4">
        <v>98.906099999999995</v>
      </c>
      <c r="M71" s="4">
        <v>65.174599999999998</v>
      </c>
      <c r="N71" s="4">
        <v>13.7912</v>
      </c>
      <c r="O71" s="4">
        <v>2.4763000000000002</v>
      </c>
      <c r="P71" s="4">
        <v>0.25</v>
      </c>
      <c r="Q71" s="4">
        <v>9.0899999999999995E-2</v>
      </c>
      <c r="R71" s="4">
        <v>0</v>
      </c>
      <c r="S71" s="4">
        <v>20190103</v>
      </c>
      <c r="T71">
        <f t="shared" si="2"/>
        <v>337.24999999999994</v>
      </c>
    </row>
    <row r="72" spans="1:20" x14ac:dyDescent="0.35">
      <c r="A72" s="4" t="s">
        <v>19</v>
      </c>
      <c r="B72" s="4">
        <v>2016</v>
      </c>
      <c r="C72" s="4">
        <v>1</v>
      </c>
      <c r="D72" s="4">
        <v>26</v>
      </c>
      <c r="E72" s="4">
        <v>14</v>
      </c>
      <c r="F72" s="4">
        <v>126436</v>
      </c>
      <c r="G72" s="4" t="s">
        <v>20</v>
      </c>
      <c r="H72" s="4">
        <v>0</v>
      </c>
      <c r="I72" s="4">
        <v>0</v>
      </c>
      <c r="J72" s="4">
        <v>109.0431</v>
      </c>
      <c r="K72" s="4">
        <v>602.68769999999995</v>
      </c>
      <c r="L72" s="4">
        <v>503.12009999999998</v>
      </c>
      <c r="M72" s="4">
        <v>297.65710000000001</v>
      </c>
      <c r="N72" s="4">
        <v>80.775700000000001</v>
      </c>
      <c r="O72" s="4">
        <v>8.3526000000000007</v>
      </c>
      <c r="P72" s="4">
        <v>0</v>
      </c>
      <c r="Q72" s="4">
        <v>2.3635999999999999</v>
      </c>
      <c r="R72" s="4">
        <v>0</v>
      </c>
      <c r="S72" s="4">
        <v>20190103</v>
      </c>
      <c r="T72">
        <f t="shared" si="2"/>
        <v>1603.9998999999996</v>
      </c>
    </row>
    <row r="73" spans="1:20" x14ac:dyDescent="0.35">
      <c r="A73" s="4" t="s">
        <v>19</v>
      </c>
      <c r="B73" s="4">
        <v>2016</v>
      </c>
      <c r="C73" s="4">
        <v>1</v>
      </c>
      <c r="D73" s="4">
        <v>26</v>
      </c>
      <c r="E73" s="4">
        <v>9</v>
      </c>
      <c r="F73" s="4">
        <v>126436</v>
      </c>
      <c r="G73" s="4" t="s">
        <v>20</v>
      </c>
      <c r="H73" s="4">
        <v>0</v>
      </c>
      <c r="I73" s="4">
        <v>2.5295999999999998</v>
      </c>
      <c r="J73" s="4">
        <v>44.688200000000002</v>
      </c>
      <c r="K73" s="4">
        <v>54.451700000000002</v>
      </c>
      <c r="L73" s="4">
        <v>28.580500000000001</v>
      </c>
      <c r="M73" s="4">
        <v>13.0739</v>
      </c>
      <c r="N73" s="4">
        <v>3.5303</v>
      </c>
      <c r="O73" s="4">
        <v>0.23860000000000001</v>
      </c>
      <c r="P73" s="4">
        <v>0</v>
      </c>
      <c r="Q73" s="4">
        <v>4.0399999999999998E-2</v>
      </c>
      <c r="R73" s="4">
        <v>0</v>
      </c>
      <c r="S73" s="4">
        <v>20190103</v>
      </c>
      <c r="T73">
        <f t="shared" si="2"/>
        <v>147.13320000000002</v>
      </c>
    </row>
    <row r="74" spans="1:20" x14ac:dyDescent="0.35">
      <c r="A74" s="4" t="s">
        <v>19</v>
      </c>
      <c r="B74" s="4">
        <v>2016</v>
      </c>
      <c r="C74" s="4">
        <v>1</v>
      </c>
      <c r="D74" s="4">
        <v>27</v>
      </c>
      <c r="E74" s="4">
        <v>11</v>
      </c>
      <c r="F74" s="4">
        <v>126436</v>
      </c>
      <c r="G74" s="4" t="s">
        <v>20</v>
      </c>
      <c r="H74" s="4">
        <v>0</v>
      </c>
      <c r="I74" s="4">
        <v>0</v>
      </c>
      <c r="J74" s="4">
        <v>18.083300000000001</v>
      </c>
      <c r="K74" s="4">
        <v>15.333299999999999</v>
      </c>
      <c r="L74" s="4">
        <v>5.5833000000000004</v>
      </c>
      <c r="M74" s="4">
        <v>1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20190103</v>
      </c>
      <c r="T74">
        <f t="shared" si="2"/>
        <v>39.999900000000004</v>
      </c>
    </row>
    <row r="75" spans="1:20" x14ac:dyDescent="0.35">
      <c r="A75" s="4" t="s">
        <v>19</v>
      </c>
      <c r="B75" s="4">
        <v>2016</v>
      </c>
      <c r="C75" s="4">
        <v>1</v>
      </c>
      <c r="D75" s="4">
        <v>27</v>
      </c>
      <c r="E75" s="4">
        <v>12</v>
      </c>
      <c r="F75" s="4">
        <v>126436</v>
      </c>
      <c r="G75" s="4" t="s">
        <v>20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20190103</v>
      </c>
      <c r="T75">
        <f t="shared" si="2"/>
        <v>0</v>
      </c>
    </row>
    <row r="76" spans="1:20" x14ac:dyDescent="0.35">
      <c r="A76" s="4" t="s">
        <v>19</v>
      </c>
      <c r="B76" s="4">
        <v>2016</v>
      </c>
      <c r="C76" s="4">
        <v>1</v>
      </c>
      <c r="D76" s="4">
        <v>27</v>
      </c>
      <c r="E76" s="4">
        <v>13</v>
      </c>
      <c r="F76" s="4">
        <v>126436</v>
      </c>
      <c r="G76" s="4" t="s">
        <v>20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20190103</v>
      </c>
      <c r="T76">
        <f t="shared" si="2"/>
        <v>0</v>
      </c>
    </row>
    <row r="77" spans="1:20" x14ac:dyDescent="0.35">
      <c r="A77" s="4" t="s">
        <v>19</v>
      </c>
      <c r="B77" s="4">
        <v>2016</v>
      </c>
      <c r="C77" s="4">
        <v>1</v>
      </c>
      <c r="D77" s="4">
        <v>28</v>
      </c>
      <c r="E77" s="4">
        <v>10</v>
      </c>
      <c r="F77" s="4">
        <v>126436</v>
      </c>
      <c r="G77" s="4" t="s">
        <v>20</v>
      </c>
      <c r="H77" s="4">
        <v>0</v>
      </c>
      <c r="I77" s="4">
        <v>1</v>
      </c>
      <c r="J77" s="4">
        <v>4.1666999999999996</v>
      </c>
      <c r="K77" s="4">
        <v>3</v>
      </c>
      <c r="L77" s="4">
        <v>0.83330000000000004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20190103</v>
      </c>
      <c r="T77">
        <f t="shared" si="2"/>
        <v>8.9999999999999982</v>
      </c>
    </row>
    <row r="78" spans="1:20" x14ac:dyDescent="0.35">
      <c r="A78" s="4" t="s">
        <v>19</v>
      </c>
      <c r="B78" s="4">
        <v>2016</v>
      </c>
      <c r="C78" s="4">
        <v>1</v>
      </c>
      <c r="D78" s="4">
        <v>28</v>
      </c>
      <c r="E78" s="4">
        <v>11</v>
      </c>
      <c r="F78" s="4">
        <v>126436</v>
      </c>
      <c r="G78" s="4" t="s">
        <v>20</v>
      </c>
      <c r="H78" s="4">
        <v>0</v>
      </c>
      <c r="I78" s="4">
        <v>0.44440000000000002</v>
      </c>
      <c r="J78" s="4">
        <v>18.555499999999999</v>
      </c>
      <c r="K78" s="4">
        <v>7.0369999999999999</v>
      </c>
      <c r="L78" s="4">
        <v>3.6295999999999999</v>
      </c>
      <c r="M78" s="4">
        <v>2.2222</v>
      </c>
      <c r="N78" s="4">
        <v>1</v>
      </c>
      <c r="O78" s="4">
        <v>0</v>
      </c>
      <c r="P78" s="4">
        <v>0</v>
      </c>
      <c r="Q78" s="4">
        <v>0</v>
      </c>
      <c r="R78" s="4">
        <v>0</v>
      </c>
      <c r="S78" s="4">
        <v>20190103</v>
      </c>
      <c r="T78">
        <f t="shared" si="2"/>
        <v>32.8887</v>
      </c>
    </row>
    <row r="79" spans="1:20" x14ac:dyDescent="0.35">
      <c r="A79" s="4" t="s">
        <v>19</v>
      </c>
      <c r="B79" s="4">
        <v>2016</v>
      </c>
      <c r="C79" s="4">
        <v>1</v>
      </c>
      <c r="D79" s="4">
        <v>28</v>
      </c>
      <c r="E79" s="4">
        <v>12</v>
      </c>
      <c r="F79" s="4">
        <v>126436</v>
      </c>
      <c r="G79" s="4" t="s">
        <v>20</v>
      </c>
      <c r="H79" s="4">
        <v>0</v>
      </c>
      <c r="I79" s="4">
        <v>0</v>
      </c>
      <c r="J79" s="4">
        <v>0.57140000000000002</v>
      </c>
      <c r="K79" s="4">
        <v>1.6667000000000001</v>
      </c>
      <c r="L79" s="4">
        <v>0.85709999999999997</v>
      </c>
      <c r="M79" s="4">
        <v>0</v>
      </c>
      <c r="N79" s="4">
        <v>0.33329999999999999</v>
      </c>
      <c r="O79" s="4">
        <v>0</v>
      </c>
      <c r="P79" s="4">
        <v>0</v>
      </c>
      <c r="Q79" s="4">
        <v>0</v>
      </c>
      <c r="R79" s="4">
        <v>0</v>
      </c>
      <c r="S79" s="4">
        <v>20190103</v>
      </c>
      <c r="T79">
        <f t="shared" si="2"/>
        <v>3.4285000000000001</v>
      </c>
    </row>
    <row r="80" spans="1:20" x14ac:dyDescent="0.35">
      <c r="A80" s="4" t="s">
        <v>19</v>
      </c>
      <c r="B80" s="4">
        <v>2016</v>
      </c>
      <c r="C80" s="4">
        <v>1</v>
      </c>
      <c r="D80" s="4">
        <v>28</v>
      </c>
      <c r="E80" s="4">
        <v>9</v>
      </c>
      <c r="F80" s="4">
        <v>126436</v>
      </c>
      <c r="G80" s="4" t="s">
        <v>20</v>
      </c>
      <c r="H80" s="4">
        <v>0</v>
      </c>
      <c r="I80" s="4">
        <v>0.33329999999999999</v>
      </c>
      <c r="J80" s="4">
        <v>0.58330000000000004</v>
      </c>
      <c r="K80" s="4">
        <v>0.91669999999999996</v>
      </c>
      <c r="L80" s="4">
        <v>0.38890000000000002</v>
      </c>
      <c r="M80" s="4">
        <v>0.55559999999999998</v>
      </c>
      <c r="N80" s="4">
        <v>0.22220000000000001</v>
      </c>
      <c r="O80" s="4">
        <v>0</v>
      </c>
      <c r="P80" s="4">
        <v>0</v>
      </c>
      <c r="Q80" s="4">
        <v>0</v>
      </c>
      <c r="R80" s="4">
        <v>0</v>
      </c>
      <c r="S80" s="4">
        <v>20190103</v>
      </c>
      <c r="T80">
        <f t="shared" si="2"/>
        <v>3</v>
      </c>
    </row>
    <row r="81" spans="1:20" x14ac:dyDescent="0.35">
      <c r="A81" s="4" t="s">
        <v>19</v>
      </c>
      <c r="B81" s="4">
        <v>2017</v>
      </c>
      <c r="C81" s="4">
        <v>1</v>
      </c>
      <c r="D81" s="4">
        <v>21</v>
      </c>
      <c r="E81" s="4">
        <v>10</v>
      </c>
      <c r="F81" s="4">
        <v>126436</v>
      </c>
      <c r="G81" s="4" t="s">
        <v>20</v>
      </c>
      <c r="H81" s="4">
        <v>0</v>
      </c>
      <c r="I81" s="4">
        <v>13.4221</v>
      </c>
      <c r="J81" s="4">
        <v>0.76449999999999996</v>
      </c>
      <c r="K81" s="4">
        <v>0</v>
      </c>
      <c r="L81" s="4">
        <v>0.40949999999999998</v>
      </c>
      <c r="M81" s="4">
        <v>7.0499999999999993E-2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20180408</v>
      </c>
      <c r="T81">
        <f t="shared" si="2"/>
        <v>14.666599999999999</v>
      </c>
    </row>
    <row r="82" spans="1:20" x14ac:dyDescent="0.35">
      <c r="A82" s="4" t="s">
        <v>19</v>
      </c>
      <c r="B82" s="4">
        <v>2017</v>
      </c>
      <c r="C82" s="4">
        <v>1</v>
      </c>
      <c r="D82" s="4">
        <v>21</v>
      </c>
      <c r="E82" s="4">
        <v>11</v>
      </c>
      <c r="F82" s="4">
        <v>126436</v>
      </c>
      <c r="G82" s="4" t="s">
        <v>20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20180408</v>
      </c>
      <c r="T82">
        <f t="shared" si="2"/>
        <v>0</v>
      </c>
    </row>
    <row r="83" spans="1:20" x14ac:dyDescent="0.35">
      <c r="A83" s="4" t="s">
        <v>19</v>
      </c>
      <c r="B83" s="4">
        <v>2017</v>
      </c>
      <c r="C83" s="4">
        <v>1</v>
      </c>
      <c r="D83" s="4">
        <v>21</v>
      </c>
      <c r="E83" s="4">
        <v>12</v>
      </c>
      <c r="F83" s="4">
        <v>126436</v>
      </c>
      <c r="G83" s="4" t="s">
        <v>20</v>
      </c>
      <c r="H83" s="4">
        <v>0</v>
      </c>
      <c r="I83" s="4">
        <v>174.059</v>
      </c>
      <c r="J83" s="4">
        <v>4.681</v>
      </c>
      <c r="K83" s="4">
        <v>0</v>
      </c>
      <c r="L83" s="4">
        <v>0.88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20180408</v>
      </c>
      <c r="T83">
        <f t="shared" si="2"/>
        <v>179.62</v>
      </c>
    </row>
    <row r="84" spans="1:20" x14ac:dyDescent="0.35">
      <c r="A84" s="4" t="s">
        <v>19</v>
      </c>
      <c r="B84" s="4">
        <v>2017</v>
      </c>
      <c r="C84" s="4">
        <v>1</v>
      </c>
      <c r="D84" s="4">
        <v>21</v>
      </c>
      <c r="E84" s="4">
        <v>9</v>
      </c>
      <c r="F84" s="4">
        <v>126436</v>
      </c>
      <c r="G84" s="4" t="s">
        <v>20</v>
      </c>
      <c r="H84" s="4">
        <v>0</v>
      </c>
      <c r="I84" s="4">
        <v>57.772100000000002</v>
      </c>
      <c r="J84" s="4">
        <v>2.3443000000000001</v>
      </c>
      <c r="K84" s="4">
        <v>1.9028</v>
      </c>
      <c r="L84" s="4">
        <v>4.4630000000000001</v>
      </c>
      <c r="M84" s="4">
        <v>2.2658999999999998</v>
      </c>
      <c r="N84" s="4">
        <v>0.48709999999999998</v>
      </c>
      <c r="O84" s="4">
        <v>0</v>
      </c>
      <c r="P84" s="4">
        <v>0</v>
      </c>
      <c r="Q84" s="4">
        <v>0</v>
      </c>
      <c r="R84" s="4">
        <v>0</v>
      </c>
      <c r="S84" s="4">
        <v>20180408</v>
      </c>
      <c r="T84">
        <f t="shared" si="2"/>
        <v>69.235199999999992</v>
      </c>
    </row>
    <row r="85" spans="1:20" x14ac:dyDescent="0.35">
      <c r="A85" s="4" t="s">
        <v>19</v>
      </c>
      <c r="B85" s="4">
        <v>2017</v>
      </c>
      <c r="C85" s="4">
        <v>1</v>
      </c>
      <c r="D85" s="4">
        <v>22</v>
      </c>
      <c r="E85" s="4">
        <v>8</v>
      </c>
      <c r="F85" s="4">
        <v>126436</v>
      </c>
      <c r="G85" s="4" t="s">
        <v>20</v>
      </c>
      <c r="H85" s="4">
        <v>0</v>
      </c>
      <c r="I85" s="4">
        <v>68.134100000000004</v>
      </c>
      <c r="J85" s="4">
        <v>2.1372</v>
      </c>
      <c r="K85" s="4">
        <v>6.7210999999999999</v>
      </c>
      <c r="L85" s="4">
        <v>1.0707</v>
      </c>
      <c r="M85" s="4">
        <v>0.33210000000000001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20180408</v>
      </c>
      <c r="T85">
        <f t="shared" si="2"/>
        <v>78.395200000000003</v>
      </c>
    </row>
    <row r="86" spans="1:20" x14ac:dyDescent="0.35">
      <c r="A86" s="4" t="s">
        <v>19</v>
      </c>
      <c r="B86" s="4">
        <v>2017</v>
      </c>
      <c r="C86" s="4">
        <v>1</v>
      </c>
      <c r="D86" s="4">
        <v>22</v>
      </c>
      <c r="E86" s="4">
        <v>9</v>
      </c>
      <c r="F86" s="4">
        <v>126436</v>
      </c>
      <c r="G86" s="4" t="s">
        <v>20</v>
      </c>
      <c r="H86" s="4">
        <v>0</v>
      </c>
      <c r="I86" s="4">
        <v>135.79679999999999</v>
      </c>
      <c r="J86" s="4">
        <v>6.0438999999999998</v>
      </c>
      <c r="K86" s="4">
        <v>22.678599999999999</v>
      </c>
      <c r="L86" s="4">
        <v>8.7973999999999997</v>
      </c>
      <c r="M86" s="4">
        <v>4.6131000000000002</v>
      </c>
      <c r="N86" s="4">
        <v>0.56899999999999995</v>
      </c>
      <c r="O86" s="4">
        <v>0.39369999999999999</v>
      </c>
      <c r="P86" s="4">
        <v>0.32669999999999999</v>
      </c>
      <c r="Q86" s="4">
        <v>0</v>
      </c>
      <c r="R86" s="4">
        <v>0</v>
      </c>
      <c r="S86" s="4">
        <v>20180408</v>
      </c>
      <c r="T86">
        <f t="shared" si="2"/>
        <v>179.21919999999997</v>
      </c>
    </row>
    <row r="87" spans="1:20" x14ac:dyDescent="0.35">
      <c r="A87" s="4" t="s">
        <v>19</v>
      </c>
      <c r="B87" s="4">
        <v>2017</v>
      </c>
      <c r="C87" s="4">
        <v>1</v>
      </c>
      <c r="D87" s="4">
        <v>23</v>
      </c>
      <c r="E87" s="4">
        <v>8</v>
      </c>
      <c r="F87" s="4">
        <v>126436</v>
      </c>
      <c r="G87" s="4" t="s">
        <v>20</v>
      </c>
      <c r="H87" s="4">
        <v>0</v>
      </c>
      <c r="I87" s="4">
        <v>131.1062</v>
      </c>
      <c r="J87" s="4">
        <v>110.14449999999999</v>
      </c>
      <c r="K87" s="4">
        <v>291.92360000000002</v>
      </c>
      <c r="L87" s="4">
        <v>42.302100000000003</v>
      </c>
      <c r="M87" s="4">
        <v>3.0196000000000001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20180408</v>
      </c>
      <c r="T87">
        <f t="shared" si="2"/>
        <v>578.49599999999998</v>
      </c>
    </row>
    <row r="88" spans="1:20" x14ac:dyDescent="0.35">
      <c r="A88" s="4" t="s">
        <v>19</v>
      </c>
      <c r="B88" s="4">
        <v>2017</v>
      </c>
      <c r="C88" s="4">
        <v>1</v>
      </c>
      <c r="D88" s="4">
        <v>23</v>
      </c>
      <c r="E88" s="4">
        <v>9</v>
      </c>
      <c r="F88" s="4">
        <v>126436</v>
      </c>
      <c r="G88" s="4" t="s">
        <v>20</v>
      </c>
      <c r="H88" s="4">
        <v>0</v>
      </c>
      <c r="I88" s="4">
        <v>35.948900000000002</v>
      </c>
      <c r="J88" s="4">
        <v>29.102799999999998</v>
      </c>
      <c r="K88" s="4">
        <v>108.0309</v>
      </c>
      <c r="L88" s="4">
        <v>10.6774</v>
      </c>
      <c r="M88" s="4">
        <v>1.94</v>
      </c>
      <c r="N88" s="4">
        <v>0.22</v>
      </c>
      <c r="O88" s="4">
        <v>0</v>
      </c>
      <c r="P88" s="4">
        <v>0</v>
      </c>
      <c r="Q88" s="4">
        <v>0</v>
      </c>
      <c r="R88" s="4">
        <v>0</v>
      </c>
      <c r="S88" s="4">
        <v>20180408</v>
      </c>
      <c r="T88">
        <f t="shared" si="2"/>
        <v>185.92000000000002</v>
      </c>
    </row>
    <row r="89" spans="1:20" x14ac:dyDescent="0.35">
      <c r="A89" s="4" t="s">
        <v>19</v>
      </c>
      <c r="B89" s="4">
        <v>2017</v>
      </c>
      <c r="C89" s="4">
        <v>1</v>
      </c>
      <c r="D89" s="4">
        <v>24</v>
      </c>
      <c r="E89" s="4">
        <v>10</v>
      </c>
      <c r="F89" s="4">
        <v>126436</v>
      </c>
      <c r="G89" s="4" t="s">
        <v>20</v>
      </c>
      <c r="H89" s="4">
        <v>0</v>
      </c>
      <c r="I89" s="4">
        <v>23.805599999999998</v>
      </c>
      <c r="J89" s="4">
        <v>380.62869999999998</v>
      </c>
      <c r="K89" s="4">
        <v>428.47399999999999</v>
      </c>
      <c r="L89" s="4">
        <v>253.33359999999999</v>
      </c>
      <c r="M89" s="4">
        <v>102.0153</v>
      </c>
      <c r="N89" s="4">
        <v>11.2552</v>
      </c>
      <c r="O89" s="4">
        <v>3.5167999999999999</v>
      </c>
      <c r="P89" s="4">
        <v>0</v>
      </c>
      <c r="Q89" s="4">
        <v>0</v>
      </c>
      <c r="R89" s="4">
        <v>0</v>
      </c>
      <c r="S89" s="4">
        <v>20180408</v>
      </c>
      <c r="T89">
        <f t="shared" si="2"/>
        <v>1203.0292000000002</v>
      </c>
    </row>
    <row r="90" spans="1:20" x14ac:dyDescent="0.35">
      <c r="A90" s="4" t="s">
        <v>19</v>
      </c>
      <c r="B90" s="4">
        <v>2017</v>
      </c>
      <c r="C90" s="4">
        <v>1</v>
      </c>
      <c r="D90" s="4">
        <v>24</v>
      </c>
      <c r="E90" s="4">
        <v>8</v>
      </c>
      <c r="F90" s="4">
        <v>126436</v>
      </c>
      <c r="G90" s="4" t="s">
        <v>20</v>
      </c>
      <c r="H90" s="4">
        <v>0</v>
      </c>
      <c r="I90" s="4">
        <v>53.046199999999999</v>
      </c>
      <c r="J90" s="4">
        <v>53.099499999999999</v>
      </c>
      <c r="K90" s="4">
        <v>11.5084</v>
      </c>
      <c r="L90" s="4">
        <v>10.421900000000001</v>
      </c>
      <c r="M90" s="4">
        <v>10.348100000000001</v>
      </c>
      <c r="N90" s="4">
        <v>1.2068000000000001</v>
      </c>
      <c r="O90" s="4">
        <v>0.36899999999999999</v>
      </c>
      <c r="P90" s="4">
        <v>0</v>
      </c>
      <c r="Q90" s="4">
        <v>0</v>
      </c>
      <c r="R90" s="4">
        <v>0</v>
      </c>
      <c r="S90" s="4">
        <v>20180408</v>
      </c>
      <c r="T90">
        <f t="shared" si="2"/>
        <v>139.99989999999997</v>
      </c>
    </row>
    <row r="91" spans="1:20" x14ac:dyDescent="0.35">
      <c r="A91" s="4" t="s">
        <v>19</v>
      </c>
      <c r="B91" s="4">
        <v>2017</v>
      </c>
      <c r="C91" s="4">
        <v>1</v>
      </c>
      <c r="D91" s="4">
        <v>24</v>
      </c>
      <c r="E91" s="4">
        <v>9</v>
      </c>
      <c r="F91" s="4">
        <v>126436</v>
      </c>
      <c r="G91" s="4" t="s">
        <v>20</v>
      </c>
      <c r="H91" s="4">
        <v>0</v>
      </c>
      <c r="I91" s="4">
        <v>50.02</v>
      </c>
      <c r="J91" s="4">
        <v>172.2311</v>
      </c>
      <c r="K91" s="4">
        <v>126.18989999999999</v>
      </c>
      <c r="L91" s="4">
        <v>85.375799999999998</v>
      </c>
      <c r="M91" s="4">
        <v>30.677199999999999</v>
      </c>
      <c r="N91" s="4">
        <v>2.7296</v>
      </c>
      <c r="O91" s="4">
        <v>0.8911</v>
      </c>
      <c r="P91" s="4">
        <v>0</v>
      </c>
      <c r="Q91" s="4">
        <v>0</v>
      </c>
      <c r="R91" s="4">
        <v>0</v>
      </c>
      <c r="S91" s="4">
        <v>20180408</v>
      </c>
      <c r="T91">
        <f t="shared" si="2"/>
        <v>468.11470000000003</v>
      </c>
    </row>
    <row r="92" spans="1:20" x14ac:dyDescent="0.35">
      <c r="A92" s="4" t="s">
        <v>19</v>
      </c>
      <c r="B92" s="4">
        <v>2017</v>
      </c>
      <c r="C92" s="4">
        <v>1</v>
      </c>
      <c r="D92" s="4">
        <v>25</v>
      </c>
      <c r="E92" s="4">
        <v>10</v>
      </c>
      <c r="F92" s="4">
        <v>126436</v>
      </c>
      <c r="G92" s="4" t="s">
        <v>20</v>
      </c>
      <c r="H92" s="4">
        <v>0</v>
      </c>
      <c r="I92" s="4">
        <v>37.144599999999997</v>
      </c>
      <c r="J92" s="4">
        <v>254.0686</v>
      </c>
      <c r="K92" s="4">
        <v>294.06970000000001</v>
      </c>
      <c r="L92" s="4">
        <v>110.0476</v>
      </c>
      <c r="M92" s="4">
        <v>25.7605</v>
      </c>
      <c r="N92" s="4">
        <v>4.1820000000000004</v>
      </c>
      <c r="O92" s="4">
        <v>0.45040000000000002</v>
      </c>
      <c r="P92" s="4">
        <v>6.0299999999999999E-2</v>
      </c>
      <c r="Q92" s="4">
        <v>0</v>
      </c>
      <c r="R92" s="4">
        <v>0</v>
      </c>
      <c r="S92" s="4">
        <v>20180408</v>
      </c>
      <c r="T92">
        <f t="shared" si="2"/>
        <v>725.78369999999995</v>
      </c>
    </row>
    <row r="93" spans="1:20" x14ac:dyDescent="0.35">
      <c r="A93" s="4" t="s">
        <v>19</v>
      </c>
      <c r="B93" s="4">
        <v>2017</v>
      </c>
      <c r="C93" s="4">
        <v>1</v>
      </c>
      <c r="D93" s="4">
        <v>25</v>
      </c>
      <c r="E93" s="4">
        <v>11</v>
      </c>
      <c r="F93" s="4">
        <v>126436</v>
      </c>
      <c r="G93" s="4" t="s">
        <v>20</v>
      </c>
      <c r="H93" s="4">
        <v>0</v>
      </c>
      <c r="I93" s="4">
        <v>17.157800000000002</v>
      </c>
      <c r="J93" s="4">
        <v>201.4282</v>
      </c>
      <c r="K93" s="4">
        <v>416.49130000000002</v>
      </c>
      <c r="L93" s="4">
        <v>220.46019999999999</v>
      </c>
      <c r="M93" s="4">
        <v>51.317900000000002</v>
      </c>
      <c r="N93" s="4">
        <v>8.2119</v>
      </c>
      <c r="O93" s="4">
        <v>0.50670000000000004</v>
      </c>
      <c r="P93" s="4">
        <v>5.2299999999999999E-2</v>
      </c>
      <c r="Q93" s="4">
        <v>0</v>
      </c>
      <c r="R93" s="4">
        <v>0</v>
      </c>
      <c r="S93" s="4">
        <v>20180408</v>
      </c>
      <c r="T93">
        <f t="shared" si="2"/>
        <v>915.62630000000001</v>
      </c>
    </row>
    <row r="94" spans="1:20" x14ac:dyDescent="0.35">
      <c r="A94" s="4" t="s">
        <v>19</v>
      </c>
      <c r="B94" s="4">
        <v>2017</v>
      </c>
      <c r="C94" s="4">
        <v>1</v>
      </c>
      <c r="D94" s="4">
        <v>25</v>
      </c>
      <c r="E94" s="4">
        <v>12</v>
      </c>
      <c r="F94" s="4">
        <v>126436</v>
      </c>
      <c r="G94" s="4" t="s">
        <v>20</v>
      </c>
      <c r="H94" s="4">
        <v>0</v>
      </c>
      <c r="I94" s="4">
        <v>0.71809999999999996</v>
      </c>
      <c r="J94" s="4">
        <v>49.7209</v>
      </c>
      <c r="K94" s="4">
        <v>276.5514</v>
      </c>
      <c r="L94" s="4">
        <v>236.6474</v>
      </c>
      <c r="M94" s="4">
        <v>69.703800000000001</v>
      </c>
      <c r="N94" s="4">
        <v>12.2803</v>
      </c>
      <c r="O94" s="4">
        <v>0.97399999999999998</v>
      </c>
      <c r="P94" s="4">
        <v>0.27750000000000002</v>
      </c>
      <c r="Q94" s="4">
        <v>0</v>
      </c>
      <c r="R94" s="4">
        <v>0</v>
      </c>
      <c r="S94" s="4">
        <v>20180408</v>
      </c>
      <c r="T94">
        <f t="shared" si="2"/>
        <v>646.87340000000006</v>
      </c>
    </row>
    <row r="95" spans="1:20" x14ac:dyDescent="0.35">
      <c r="A95" s="4" t="s">
        <v>19</v>
      </c>
      <c r="B95" s="4">
        <v>2017</v>
      </c>
      <c r="C95" s="4">
        <v>1</v>
      </c>
      <c r="D95" s="4">
        <v>25</v>
      </c>
      <c r="E95" s="4">
        <v>9</v>
      </c>
      <c r="F95" s="4">
        <v>126436</v>
      </c>
      <c r="G95" s="4" t="s">
        <v>20</v>
      </c>
      <c r="H95" s="4">
        <v>0</v>
      </c>
      <c r="I95" s="4">
        <v>6.9603999999999999</v>
      </c>
      <c r="J95" s="4">
        <v>12.3203</v>
      </c>
      <c r="K95" s="4">
        <v>84.109700000000004</v>
      </c>
      <c r="L95" s="4">
        <v>59.264800000000001</v>
      </c>
      <c r="M95" s="4">
        <v>11.2986</v>
      </c>
      <c r="N95" s="4">
        <v>1.6085</v>
      </c>
      <c r="O95" s="4">
        <v>4.7600000000000003E-2</v>
      </c>
      <c r="P95" s="4">
        <v>3.3000000000000002E-2</v>
      </c>
      <c r="Q95" s="4">
        <v>0</v>
      </c>
      <c r="R95" s="4">
        <v>0</v>
      </c>
      <c r="S95" s="4">
        <v>20180408</v>
      </c>
      <c r="T95">
        <f t="shared" si="2"/>
        <v>175.64289999999997</v>
      </c>
    </row>
    <row r="96" spans="1:20" x14ac:dyDescent="0.35">
      <c r="A96" s="4" t="s">
        <v>19</v>
      </c>
      <c r="B96" s="4">
        <v>2017</v>
      </c>
      <c r="C96" s="4">
        <v>1</v>
      </c>
      <c r="D96" s="4">
        <v>26</v>
      </c>
      <c r="E96" s="4">
        <v>10</v>
      </c>
      <c r="F96" s="4">
        <v>126436</v>
      </c>
      <c r="G96" s="4" t="s">
        <v>20</v>
      </c>
      <c r="H96" s="4">
        <v>0</v>
      </c>
      <c r="I96" s="4">
        <v>27.425899999999999</v>
      </c>
      <c r="J96" s="4">
        <v>14.7864</v>
      </c>
      <c r="K96" s="4">
        <v>11.2788</v>
      </c>
      <c r="L96" s="4">
        <v>10.477</v>
      </c>
      <c r="M96" s="4">
        <v>8.1727000000000007</v>
      </c>
      <c r="N96" s="4">
        <v>4.0989000000000004</v>
      </c>
      <c r="O96" s="4">
        <v>0.85919999999999996</v>
      </c>
      <c r="P96" s="4">
        <v>0.1915</v>
      </c>
      <c r="Q96" s="4">
        <v>5.9499999999999997E-2</v>
      </c>
      <c r="R96" s="4">
        <v>0</v>
      </c>
      <c r="S96" s="4">
        <v>20180408</v>
      </c>
      <c r="T96">
        <f t="shared" si="2"/>
        <v>77.349900000000019</v>
      </c>
    </row>
    <row r="97" spans="1:20" x14ac:dyDescent="0.35">
      <c r="A97" s="4" t="s">
        <v>19</v>
      </c>
      <c r="B97" s="4">
        <v>2017</v>
      </c>
      <c r="C97" s="4">
        <v>1</v>
      </c>
      <c r="D97" s="4">
        <v>26</v>
      </c>
      <c r="E97" s="4">
        <v>11</v>
      </c>
      <c r="F97" s="4">
        <v>126436</v>
      </c>
      <c r="G97" s="4" t="s">
        <v>20</v>
      </c>
      <c r="H97" s="4">
        <v>0</v>
      </c>
      <c r="I97" s="4">
        <v>10.585699999999999</v>
      </c>
      <c r="J97" s="4">
        <v>54.021000000000001</v>
      </c>
      <c r="K97" s="4">
        <v>141.5856</v>
      </c>
      <c r="L97" s="4">
        <v>97.475999999999999</v>
      </c>
      <c r="M97" s="4">
        <v>58.2913</v>
      </c>
      <c r="N97" s="4">
        <v>25.4283</v>
      </c>
      <c r="O97" s="4">
        <v>4.7241999999999997</v>
      </c>
      <c r="P97" s="4">
        <v>0.61439999999999995</v>
      </c>
      <c r="Q97" s="4">
        <v>0.1333</v>
      </c>
      <c r="R97" s="4">
        <v>0</v>
      </c>
      <c r="S97" s="4">
        <v>20180408</v>
      </c>
      <c r="T97">
        <f t="shared" si="2"/>
        <v>392.85979999999995</v>
      </c>
    </row>
    <row r="98" spans="1:20" x14ac:dyDescent="0.35">
      <c r="A98" s="4" t="s">
        <v>19</v>
      </c>
      <c r="B98" s="4">
        <v>2017</v>
      </c>
      <c r="C98" s="4">
        <v>1</v>
      </c>
      <c r="D98" s="4">
        <v>26</v>
      </c>
      <c r="E98" s="4">
        <v>12</v>
      </c>
      <c r="F98" s="4">
        <v>126436</v>
      </c>
      <c r="G98" s="4" t="s">
        <v>20</v>
      </c>
      <c r="H98" s="4">
        <v>0</v>
      </c>
      <c r="I98" s="4">
        <v>2.3313000000000001</v>
      </c>
      <c r="J98" s="4">
        <v>27.597100000000001</v>
      </c>
      <c r="K98" s="4">
        <v>166.80529999999999</v>
      </c>
      <c r="L98" s="4">
        <v>132.39959999999999</v>
      </c>
      <c r="M98" s="4">
        <v>81.6661</v>
      </c>
      <c r="N98" s="4">
        <v>35.6935</v>
      </c>
      <c r="O98" s="4">
        <v>5.2789000000000001</v>
      </c>
      <c r="P98" s="4">
        <v>0.67679999999999996</v>
      </c>
      <c r="Q98" s="4">
        <v>0.14019999999999999</v>
      </c>
      <c r="R98" s="4">
        <v>0</v>
      </c>
      <c r="S98" s="4">
        <v>20180408</v>
      </c>
      <c r="T98">
        <f t="shared" ref="T98:T129" si="3">SUM(I98:R98)</f>
        <v>452.58879999999999</v>
      </c>
    </row>
    <row r="99" spans="1:20" x14ac:dyDescent="0.35">
      <c r="A99" s="4" t="s">
        <v>19</v>
      </c>
      <c r="B99" s="4">
        <v>2017</v>
      </c>
      <c r="C99" s="4">
        <v>1</v>
      </c>
      <c r="D99" s="4">
        <v>26</v>
      </c>
      <c r="E99" s="4">
        <v>13</v>
      </c>
      <c r="F99" s="4">
        <v>126436</v>
      </c>
      <c r="G99" s="4" t="s">
        <v>20</v>
      </c>
      <c r="H99" s="4">
        <v>0</v>
      </c>
      <c r="I99" s="4">
        <v>6.2778</v>
      </c>
      <c r="J99" s="4">
        <v>17.716899999999999</v>
      </c>
      <c r="K99" s="4">
        <v>174.69149999999999</v>
      </c>
      <c r="L99" s="4">
        <v>171.9461</v>
      </c>
      <c r="M99" s="4">
        <v>126.551</v>
      </c>
      <c r="N99" s="4">
        <v>52.028399999999998</v>
      </c>
      <c r="O99" s="4">
        <v>10.0229</v>
      </c>
      <c r="P99" s="4">
        <v>1.8369</v>
      </c>
      <c r="Q99" s="4">
        <v>0.17860000000000001</v>
      </c>
      <c r="R99" s="4">
        <v>0</v>
      </c>
      <c r="S99" s="4">
        <v>20180408</v>
      </c>
      <c r="T99">
        <f t="shared" si="3"/>
        <v>561.25009999999997</v>
      </c>
    </row>
    <row r="100" spans="1:20" x14ac:dyDescent="0.35">
      <c r="A100" s="4" t="s">
        <v>19</v>
      </c>
      <c r="B100" s="4">
        <v>2017</v>
      </c>
      <c r="C100" s="4">
        <v>1</v>
      </c>
      <c r="D100" s="4">
        <v>26</v>
      </c>
      <c r="E100" s="4">
        <v>9</v>
      </c>
      <c r="F100" s="4">
        <v>126436</v>
      </c>
      <c r="G100" s="4" t="s">
        <v>20</v>
      </c>
      <c r="H100" s="4">
        <v>0</v>
      </c>
      <c r="I100" s="4">
        <v>13.7265</v>
      </c>
      <c r="J100" s="4">
        <v>4.1921999999999997</v>
      </c>
      <c r="K100" s="4">
        <v>6.4756999999999998</v>
      </c>
      <c r="L100" s="4">
        <v>8.5493000000000006</v>
      </c>
      <c r="M100" s="4">
        <v>7.7798999999999996</v>
      </c>
      <c r="N100" s="4">
        <v>4.9507000000000003</v>
      </c>
      <c r="O100" s="4">
        <v>0.9526</v>
      </c>
      <c r="P100" s="4">
        <v>0.2762</v>
      </c>
      <c r="Q100" s="4">
        <v>9.6799999999999997E-2</v>
      </c>
      <c r="R100" s="4">
        <v>0</v>
      </c>
      <c r="S100" s="4">
        <v>20180408</v>
      </c>
      <c r="T100">
        <f t="shared" si="3"/>
        <v>46.999899999999997</v>
      </c>
    </row>
    <row r="101" spans="1:20" x14ac:dyDescent="0.35">
      <c r="A101" s="4" t="s">
        <v>19</v>
      </c>
      <c r="B101" s="4">
        <v>2017</v>
      </c>
      <c r="C101" s="4">
        <v>1</v>
      </c>
      <c r="D101" s="4">
        <v>27</v>
      </c>
      <c r="E101" s="4">
        <v>10</v>
      </c>
      <c r="F101" s="4">
        <v>126436</v>
      </c>
      <c r="G101" s="4" t="s">
        <v>20</v>
      </c>
      <c r="H101" s="4">
        <v>0</v>
      </c>
      <c r="I101" s="4">
        <v>0</v>
      </c>
      <c r="J101" s="4">
        <v>0</v>
      </c>
      <c r="K101" s="4">
        <v>1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20180408</v>
      </c>
      <c r="T101">
        <f t="shared" si="3"/>
        <v>1</v>
      </c>
    </row>
    <row r="102" spans="1:20" x14ac:dyDescent="0.35">
      <c r="A102" s="4" t="s">
        <v>19</v>
      </c>
      <c r="B102" s="4">
        <v>2017</v>
      </c>
      <c r="C102" s="4">
        <v>1</v>
      </c>
      <c r="D102" s="4">
        <v>27</v>
      </c>
      <c r="E102" s="4">
        <v>11</v>
      </c>
      <c r="F102" s="4">
        <v>126436</v>
      </c>
      <c r="G102" s="4" t="s">
        <v>20</v>
      </c>
      <c r="H102" s="4">
        <v>0</v>
      </c>
      <c r="I102" s="4">
        <v>0</v>
      </c>
      <c r="J102" s="4">
        <v>0.16669999999999999</v>
      </c>
      <c r="K102" s="4">
        <v>6.1238000000000001</v>
      </c>
      <c r="L102" s="4">
        <v>2.2094999999999998</v>
      </c>
      <c r="M102" s="4">
        <v>0.5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20180408</v>
      </c>
      <c r="T102">
        <f t="shared" si="3"/>
        <v>9</v>
      </c>
    </row>
    <row r="103" spans="1:20" x14ac:dyDescent="0.35">
      <c r="A103" s="4" t="s">
        <v>19</v>
      </c>
      <c r="B103" s="4">
        <v>2017</v>
      </c>
      <c r="C103" s="4">
        <v>1</v>
      </c>
      <c r="D103" s="4">
        <v>27</v>
      </c>
      <c r="E103" s="4">
        <v>12</v>
      </c>
      <c r="F103" s="4">
        <v>126436</v>
      </c>
      <c r="G103" s="4" t="s">
        <v>20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20180408</v>
      </c>
      <c r="T103">
        <f t="shared" si="3"/>
        <v>0</v>
      </c>
    </row>
    <row r="104" spans="1:20" x14ac:dyDescent="0.35">
      <c r="A104" s="4" t="s">
        <v>19</v>
      </c>
      <c r="B104" s="4">
        <v>2017</v>
      </c>
      <c r="C104" s="4">
        <v>1</v>
      </c>
      <c r="D104" s="4">
        <v>27</v>
      </c>
      <c r="E104" s="4">
        <v>13</v>
      </c>
      <c r="F104" s="4">
        <v>126436</v>
      </c>
      <c r="G104" s="4" t="s">
        <v>20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20180408</v>
      </c>
      <c r="T104">
        <f t="shared" si="3"/>
        <v>0</v>
      </c>
    </row>
    <row r="105" spans="1:20" x14ac:dyDescent="0.35">
      <c r="A105" s="4" t="s">
        <v>19</v>
      </c>
      <c r="B105" s="4">
        <v>2017</v>
      </c>
      <c r="C105" s="4">
        <v>1</v>
      </c>
      <c r="D105" s="4">
        <v>28</v>
      </c>
      <c r="E105" s="4">
        <v>10</v>
      </c>
      <c r="F105" s="4">
        <v>126436</v>
      </c>
      <c r="G105" s="4" t="s">
        <v>20</v>
      </c>
      <c r="H105" s="4">
        <v>0</v>
      </c>
      <c r="I105" s="4">
        <v>3.6</v>
      </c>
      <c r="J105" s="4">
        <v>1.2796000000000001</v>
      </c>
      <c r="K105" s="4">
        <v>4.0728999999999997</v>
      </c>
      <c r="L105" s="4">
        <v>3.6452</v>
      </c>
      <c r="M105" s="4">
        <v>2.6675</v>
      </c>
      <c r="N105" s="4">
        <v>0.80100000000000005</v>
      </c>
      <c r="O105" s="4">
        <v>0.1157</v>
      </c>
      <c r="P105" s="4">
        <v>0</v>
      </c>
      <c r="Q105" s="4">
        <v>1.8200000000000001E-2</v>
      </c>
      <c r="R105" s="4">
        <v>0</v>
      </c>
      <c r="S105" s="4">
        <v>20180408</v>
      </c>
      <c r="T105">
        <f t="shared" si="3"/>
        <v>16.200099999999999</v>
      </c>
    </row>
    <row r="106" spans="1:20" x14ac:dyDescent="0.35">
      <c r="A106" s="4" t="s">
        <v>19</v>
      </c>
      <c r="B106" s="4">
        <v>2017</v>
      </c>
      <c r="C106" s="4">
        <v>1</v>
      </c>
      <c r="D106" s="4">
        <v>28</v>
      </c>
      <c r="E106" s="4">
        <v>11</v>
      </c>
      <c r="F106" s="4">
        <v>126436</v>
      </c>
      <c r="G106" s="4" t="s">
        <v>20</v>
      </c>
      <c r="H106" s="4">
        <v>0</v>
      </c>
      <c r="I106" s="4">
        <v>0</v>
      </c>
      <c r="J106" s="4">
        <v>1.3229</v>
      </c>
      <c r="K106" s="4">
        <v>5.3677000000000001</v>
      </c>
      <c r="L106" s="4">
        <v>4.1722000000000001</v>
      </c>
      <c r="M106" s="4">
        <v>2.92</v>
      </c>
      <c r="N106" s="4">
        <v>1.2347999999999999</v>
      </c>
      <c r="O106" s="4">
        <v>0.1641</v>
      </c>
      <c r="P106" s="4">
        <v>0</v>
      </c>
      <c r="Q106" s="4">
        <v>1.8200000000000001E-2</v>
      </c>
      <c r="R106" s="4">
        <v>0</v>
      </c>
      <c r="S106" s="4">
        <v>20180408</v>
      </c>
      <c r="T106">
        <f t="shared" si="3"/>
        <v>15.1999</v>
      </c>
    </row>
    <row r="107" spans="1:20" x14ac:dyDescent="0.35">
      <c r="A107" s="4" t="s">
        <v>19</v>
      </c>
      <c r="B107" s="4">
        <v>2017</v>
      </c>
      <c r="C107" s="4">
        <v>1</v>
      </c>
      <c r="D107" s="4">
        <v>28</v>
      </c>
      <c r="E107" s="4">
        <v>12</v>
      </c>
      <c r="F107" s="4">
        <v>126436</v>
      </c>
      <c r="G107" s="4" t="s">
        <v>20</v>
      </c>
      <c r="H107" s="4">
        <v>0</v>
      </c>
      <c r="I107" s="4">
        <v>0</v>
      </c>
      <c r="J107" s="4">
        <v>48.4726</v>
      </c>
      <c r="K107" s="4">
        <v>286.1026</v>
      </c>
      <c r="L107" s="4">
        <v>155.45769999999999</v>
      </c>
      <c r="M107" s="4">
        <v>117.0508</v>
      </c>
      <c r="N107" s="4">
        <v>34.126300000000001</v>
      </c>
      <c r="O107" s="4">
        <v>7.0080999999999998</v>
      </c>
      <c r="P107" s="4">
        <v>0.8</v>
      </c>
      <c r="Q107" s="4">
        <v>0.58179999999999998</v>
      </c>
      <c r="R107" s="4">
        <v>0</v>
      </c>
      <c r="S107" s="4">
        <v>20180408</v>
      </c>
      <c r="T107">
        <f t="shared" si="3"/>
        <v>649.59990000000005</v>
      </c>
    </row>
    <row r="108" spans="1:20" x14ac:dyDescent="0.35">
      <c r="A108" s="4" t="s">
        <v>19</v>
      </c>
      <c r="B108" s="4">
        <v>2017</v>
      </c>
      <c r="C108" s="4">
        <v>1</v>
      </c>
      <c r="D108" s="4">
        <v>28</v>
      </c>
      <c r="E108" s="4">
        <v>13</v>
      </c>
      <c r="F108" s="4">
        <v>126436</v>
      </c>
      <c r="G108" s="4" t="s">
        <v>20</v>
      </c>
      <c r="H108" s="4">
        <v>0</v>
      </c>
      <c r="I108" s="4">
        <v>0</v>
      </c>
      <c r="J108" s="4">
        <v>7.3578999999999999</v>
      </c>
      <c r="K108" s="4">
        <v>50.912100000000002</v>
      </c>
      <c r="L108" s="4">
        <v>34.494199999999999</v>
      </c>
      <c r="M108" s="4">
        <v>25.611000000000001</v>
      </c>
      <c r="N108" s="4">
        <v>8.5338999999999992</v>
      </c>
      <c r="O108" s="4">
        <v>0.72729999999999995</v>
      </c>
      <c r="P108" s="4">
        <v>0</v>
      </c>
      <c r="Q108" s="4">
        <v>0.36359999999999998</v>
      </c>
      <c r="R108" s="4">
        <v>0</v>
      </c>
      <c r="S108" s="4">
        <v>20180408</v>
      </c>
      <c r="T108">
        <f t="shared" si="3"/>
        <v>128</v>
      </c>
    </row>
    <row r="109" spans="1:20" x14ac:dyDescent="0.35">
      <c r="A109" s="4" t="s">
        <v>19</v>
      </c>
      <c r="B109" s="4">
        <v>2017</v>
      </c>
      <c r="C109" s="4">
        <v>1</v>
      </c>
      <c r="D109" s="4">
        <v>28</v>
      </c>
      <c r="E109" s="4">
        <v>9</v>
      </c>
      <c r="F109" s="4">
        <v>126436</v>
      </c>
      <c r="G109" s="4" t="s">
        <v>20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20180408</v>
      </c>
      <c r="T109">
        <f t="shared" si="3"/>
        <v>0</v>
      </c>
    </row>
    <row r="110" spans="1:20" x14ac:dyDescent="0.35">
      <c r="A110" s="4" t="s">
        <v>19</v>
      </c>
      <c r="B110" s="4">
        <v>2018</v>
      </c>
      <c r="C110" s="4">
        <v>1</v>
      </c>
      <c r="D110" s="4">
        <v>21</v>
      </c>
      <c r="E110" s="4">
        <v>10</v>
      </c>
      <c r="F110" s="4">
        <v>126436</v>
      </c>
      <c r="G110" s="4" t="s">
        <v>20</v>
      </c>
      <c r="H110" s="4">
        <v>0</v>
      </c>
      <c r="I110" s="4">
        <v>2.9155000000000002</v>
      </c>
      <c r="J110" s="4">
        <v>5.4574999999999996</v>
      </c>
      <c r="K110" s="4">
        <v>0.32700000000000001</v>
      </c>
      <c r="L110" s="4">
        <v>0.19500000000000001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20190305</v>
      </c>
      <c r="T110">
        <f t="shared" si="3"/>
        <v>8.8949999999999996</v>
      </c>
    </row>
    <row r="111" spans="1:20" x14ac:dyDescent="0.35">
      <c r="A111" s="4" t="s">
        <v>19</v>
      </c>
      <c r="B111" s="4">
        <v>2018</v>
      </c>
      <c r="C111" s="4">
        <v>1</v>
      </c>
      <c r="D111" s="4">
        <v>21</v>
      </c>
      <c r="E111" s="4">
        <v>11</v>
      </c>
      <c r="F111" s="4">
        <v>126436</v>
      </c>
      <c r="G111" s="4" t="s">
        <v>20</v>
      </c>
      <c r="H111" s="4">
        <v>0</v>
      </c>
      <c r="I111" s="4">
        <v>0.85399999999999998</v>
      </c>
      <c r="J111" s="4">
        <v>2.8460000000000001</v>
      </c>
      <c r="K111" s="4">
        <v>0.87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20190305</v>
      </c>
      <c r="T111">
        <f t="shared" si="3"/>
        <v>4.57</v>
      </c>
    </row>
    <row r="112" spans="1:20" x14ac:dyDescent="0.35">
      <c r="A112" s="4" t="s">
        <v>19</v>
      </c>
      <c r="B112" s="4">
        <v>2018</v>
      </c>
      <c r="C112" s="4">
        <v>1</v>
      </c>
      <c r="D112" s="4">
        <v>21</v>
      </c>
      <c r="E112" s="4">
        <v>9</v>
      </c>
      <c r="F112" s="4">
        <v>126436</v>
      </c>
      <c r="G112" s="4" t="s">
        <v>20</v>
      </c>
      <c r="H112" s="4">
        <v>0</v>
      </c>
      <c r="I112" s="4">
        <v>2.0874999999999999</v>
      </c>
      <c r="J112" s="4">
        <v>10.0411</v>
      </c>
      <c r="K112" s="4">
        <v>0.82979999999999998</v>
      </c>
      <c r="L112" s="4">
        <v>6.8585000000000003</v>
      </c>
      <c r="M112" s="4">
        <v>2.7608000000000001</v>
      </c>
      <c r="N112" s="4">
        <v>0.88690000000000002</v>
      </c>
      <c r="O112" s="4">
        <v>0</v>
      </c>
      <c r="P112" s="4">
        <v>0</v>
      </c>
      <c r="Q112" s="4">
        <v>0</v>
      </c>
      <c r="R112" s="4">
        <v>0</v>
      </c>
      <c r="S112" s="4">
        <v>20190305</v>
      </c>
      <c r="T112">
        <f t="shared" si="3"/>
        <v>23.464600000000001</v>
      </c>
    </row>
    <row r="113" spans="1:20" x14ac:dyDescent="0.35">
      <c r="A113" s="4" t="s">
        <v>19</v>
      </c>
      <c r="B113" s="4">
        <v>2018</v>
      </c>
      <c r="C113" s="4">
        <v>1</v>
      </c>
      <c r="D113" s="4">
        <v>22</v>
      </c>
      <c r="E113" s="4">
        <v>8</v>
      </c>
      <c r="F113" s="4">
        <v>126436</v>
      </c>
      <c r="G113" s="4" t="s">
        <v>20</v>
      </c>
      <c r="H113" s="4">
        <v>0</v>
      </c>
      <c r="I113" s="4">
        <v>0.83279999999999998</v>
      </c>
      <c r="J113" s="4">
        <v>11.4072</v>
      </c>
      <c r="K113" s="4">
        <v>0</v>
      </c>
      <c r="L113" s="4">
        <v>0</v>
      </c>
      <c r="M113" s="4">
        <v>0</v>
      </c>
      <c r="N113" s="4">
        <v>0.13200000000000001</v>
      </c>
      <c r="O113" s="4">
        <v>0</v>
      </c>
      <c r="P113" s="4">
        <v>0</v>
      </c>
      <c r="Q113" s="4">
        <v>0</v>
      </c>
      <c r="R113" s="4">
        <v>0</v>
      </c>
      <c r="S113" s="4">
        <v>20190305</v>
      </c>
      <c r="T113">
        <f t="shared" si="3"/>
        <v>12.372</v>
      </c>
    </row>
    <row r="114" spans="1:20" x14ac:dyDescent="0.35">
      <c r="A114" s="4" t="s">
        <v>19</v>
      </c>
      <c r="B114" s="4">
        <v>2018</v>
      </c>
      <c r="C114" s="4">
        <v>1</v>
      </c>
      <c r="D114" s="4">
        <v>22</v>
      </c>
      <c r="E114" s="4">
        <v>9</v>
      </c>
      <c r="F114" s="4">
        <v>126436</v>
      </c>
      <c r="G114" s="4" t="s">
        <v>20</v>
      </c>
      <c r="H114" s="4">
        <v>0</v>
      </c>
      <c r="I114" s="4">
        <v>3.0366</v>
      </c>
      <c r="J114" s="4">
        <v>702.12599999999998</v>
      </c>
      <c r="K114" s="4">
        <v>31.166499999999999</v>
      </c>
      <c r="L114" s="4">
        <v>15.6785</v>
      </c>
      <c r="M114" s="4">
        <v>4.7049000000000003</v>
      </c>
      <c r="N114" s="4">
        <v>0.2107</v>
      </c>
      <c r="O114" s="4">
        <v>7.6600000000000001E-2</v>
      </c>
      <c r="P114" s="4">
        <v>4.9399999999999999E-2</v>
      </c>
      <c r="Q114" s="4">
        <v>0</v>
      </c>
      <c r="R114" s="4">
        <v>0</v>
      </c>
      <c r="S114" s="4">
        <v>20190305</v>
      </c>
      <c r="T114">
        <f t="shared" si="3"/>
        <v>757.04919999999993</v>
      </c>
    </row>
    <row r="115" spans="1:20" x14ac:dyDescent="0.35">
      <c r="A115" s="4" t="s">
        <v>19</v>
      </c>
      <c r="B115" s="4">
        <v>2018</v>
      </c>
      <c r="C115" s="4">
        <v>1</v>
      </c>
      <c r="D115" s="4">
        <v>23</v>
      </c>
      <c r="E115" s="4">
        <v>8</v>
      </c>
      <c r="F115" s="4">
        <v>126436</v>
      </c>
      <c r="G115" s="4" t="s">
        <v>20</v>
      </c>
      <c r="H115" s="4">
        <v>0</v>
      </c>
      <c r="I115" s="4">
        <v>4.3067000000000002</v>
      </c>
      <c r="J115" s="4">
        <v>343.86059999999998</v>
      </c>
      <c r="K115" s="4">
        <v>111.18389999999999</v>
      </c>
      <c r="L115" s="4">
        <v>59.268900000000002</v>
      </c>
      <c r="M115" s="4">
        <v>17.100000000000001</v>
      </c>
      <c r="N115" s="4">
        <v>1.1133</v>
      </c>
      <c r="O115" s="4">
        <v>0.22670000000000001</v>
      </c>
      <c r="P115" s="4">
        <v>0</v>
      </c>
      <c r="Q115" s="4">
        <v>0</v>
      </c>
      <c r="R115" s="4">
        <v>0</v>
      </c>
      <c r="S115" s="4">
        <v>20190305</v>
      </c>
      <c r="T115">
        <f t="shared" si="3"/>
        <v>537.06010000000003</v>
      </c>
    </row>
    <row r="116" spans="1:20" x14ac:dyDescent="0.35">
      <c r="A116" s="4" t="s">
        <v>19</v>
      </c>
      <c r="B116" s="4">
        <v>2018</v>
      </c>
      <c r="C116" s="4">
        <v>1</v>
      </c>
      <c r="D116" s="4">
        <v>23</v>
      </c>
      <c r="E116" s="4">
        <v>9</v>
      </c>
      <c r="F116" s="4">
        <v>126436</v>
      </c>
      <c r="G116" s="4" t="s">
        <v>20</v>
      </c>
      <c r="H116" s="4">
        <v>0</v>
      </c>
      <c r="I116" s="4">
        <v>1.1313</v>
      </c>
      <c r="J116" s="4">
        <v>1105.9294</v>
      </c>
      <c r="K116" s="4">
        <v>137.7585</v>
      </c>
      <c r="L116" s="4">
        <v>23.317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20190305</v>
      </c>
      <c r="T116">
        <f t="shared" si="3"/>
        <v>1268.1361999999999</v>
      </c>
    </row>
    <row r="117" spans="1:20" x14ac:dyDescent="0.35">
      <c r="A117" s="4" t="s">
        <v>19</v>
      </c>
      <c r="B117" s="4">
        <v>2018</v>
      </c>
      <c r="C117" s="4">
        <v>1</v>
      </c>
      <c r="D117" s="4">
        <v>24</v>
      </c>
      <c r="E117" s="4">
        <v>10</v>
      </c>
      <c r="F117" s="4">
        <v>126436</v>
      </c>
      <c r="G117" s="4" t="s">
        <v>20</v>
      </c>
      <c r="H117" s="4">
        <v>0</v>
      </c>
      <c r="I117" s="4">
        <v>1.2846</v>
      </c>
      <c r="J117" s="4">
        <v>900.98829999999998</v>
      </c>
      <c r="K117" s="4">
        <v>633.46559999999999</v>
      </c>
      <c r="L117" s="4">
        <v>147.1951</v>
      </c>
      <c r="M117" s="4">
        <v>46.958399999999997</v>
      </c>
      <c r="N117" s="4">
        <v>24.410399999999999</v>
      </c>
      <c r="O117" s="4">
        <v>0</v>
      </c>
      <c r="P117" s="4">
        <v>0</v>
      </c>
      <c r="Q117" s="4">
        <v>0</v>
      </c>
      <c r="R117" s="4">
        <v>0</v>
      </c>
      <c r="S117" s="4">
        <v>20190305</v>
      </c>
      <c r="T117">
        <f t="shared" si="3"/>
        <v>1754.3023999999998</v>
      </c>
    </row>
    <row r="118" spans="1:20" x14ac:dyDescent="0.35">
      <c r="A118" s="4" t="s">
        <v>19</v>
      </c>
      <c r="B118" s="4">
        <v>2018</v>
      </c>
      <c r="C118" s="4">
        <v>1</v>
      </c>
      <c r="D118" s="4">
        <v>24</v>
      </c>
      <c r="E118" s="4">
        <v>11</v>
      </c>
      <c r="F118" s="4">
        <v>126436</v>
      </c>
      <c r="G118" s="4" t="s">
        <v>20</v>
      </c>
      <c r="H118" s="4">
        <v>0</v>
      </c>
      <c r="I118" s="4">
        <v>6</v>
      </c>
      <c r="J118" s="4">
        <v>612.85239999999999</v>
      </c>
      <c r="K118" s="4">
        <v>237.9119</v>
      </c>
      <c r="L118" s="4">
        <v>26.835699999999999</v>
      </c>
      <c r="M118" s="4">
        <v>4</v>
      </c>
      <c r="N118" s="4">
        <v>0.4</v>
      </c>
      <c r="O118" s="4">
        <v>0</v>
      </c>
      <c r="P118" s="4">
        <v>0</v>
      </c>
      <c r="Q118" s="4">
        <v>0</v>
      </c>
      <c r="R118" s="4">
        <v>0</v>
      </c>
      <c r="S118" s="4">
        <v>20190305</v>
      </c>
      <c r="T118">
        <f t="shared" si="3"/>
        <v>888</v>
      </c>
    </row>
    <row r="119" spans="1:20" x14ac:dyDescent="0.35">
      <c r="A119" s="4" t="s">
        <v>19</v>
      </c>
      <c r="B119" s="4">
        <v>2018</v>
      </c>
      <c r="C119" s="4">
        <v>1</v>
      </c>
      <c r="D119" s="4">
        <v>24</v>
      </c>
      <c r="E119" s="4">
        <v>8</v>
      </c>
      <c r="F119" s="4">
        <v>126436</v>
      </c>
      <c r="G119" s="4" t="s">
        <v>20</v>
      </c>
      <c r="H119" s="4">
        <v>0</v>
      </c>
      <c r="I119" s="4">
        <v>0</v>
      </c>
      <c r="J119" s="4">
        <v>169.15960000000001</v>
      </c>
      <c r="K119" s="4">
        <v>91.927300000000002</v>
      </c>
      <c r="L119" s="4">
        <v>11.6426</v>
      </c>
      <c r="M119" s="4">
        <v>2.6833999999999998</v>
      </c>
      <c r="N119" s="4">
        <v>0.51400000000000001</v>
      </c>
      <c r="O119" s="4">
        <v>0</v>
      </c>
      <c r="P119" s="4">
        <v>0</v>
      </c>
      <c r="Q119" s="4">
        <v>0</v>
      </c>
      <c r="R119" s="4">
        <v>0</v>
      </c>
      <c r="S119" s="4">
        <v>20190305</v>
      </c>
      <c r="T119">
        <f t="shared" si="3"/>
        <v>275.92690000000005</v>
      </c>
    </row>
    <row r="120" spans="1:20" x14ac:dyDescent="0.35">
      <c r="A120" s="4" t="s">
        <v>19</v>
      </c>
      <c r="B120" s="4">
        <v>2018</v>
      </c>
      <c r="C120" s="4">
        <v>1</v>
      </c>
      <c r="D120" s="4">
        <v>24</v>
      </c>
      <c r="E120" s="4">
        <v>9</v>
      </c>
      <c r="F120" s="4">
        <v>126436</v>
      </c>
      <c r="G120" s="4" t="s">
        <v>20</v>
      </c>
      <c r="H120" s="4">
        <v>0</v>
      </c>
      <c r="I120" s="4">
        <v>1.4564999999999999</v>
      </c>
      <c r="J120" s="4">
        <v>578.54510000000005</v>
      </c>
      <c r="K120" s="4">
        <v>397.03100000000001</v>
      </c>
      <c r="L120" s="4">
        <v>57.665799999999997</v>
      </c>
      <c r="M120" s="4">
        <v>9.7164999999999999</v>
      </c>
      <c r="N120" s="4">
        <v>2.4409000000000001</v>
      </c>
      <c r="O120" s="4">
        <v>0</v>
      </c>
      <c r="P120" s="4">
        <v>0</v>
      </c>
      <c r="Q120" s="4">
        <v>0</v>
      </c>
      <c r="R120" s="4">
        <v>0</v>
      </c>
      <c r="S120" s="4">
        <v>20190305</v>
      </c>
      <c r="T120">
        <f t="shared" si="3"/>
        <v>1046.8558</v>
      </c>
    </row>
    <row r="121" spans="1:20" x14ac:dyDescent="0.35">
      <c r="A121" s="4" t="s">
        <v>19</v>
      </c>
      <c r="B121" s="4">
        <v>2018</v>
      </c>
      <c r="C121" s="4">
        <v>1</v>
      </c>
      <c r="D121" s="4">
        <v>25</v>
      </c>
      <c r="E121" s="4">
        <v>10</v>
      </c>
      <c r="F121" s="4">
        <v>126436</v>
      </c>
      <c r="G121" s="4" t="s">
        <v>20</v>
      </c>
      <c r="H121" s="4">
        <v>0</v>
      </c>
      <c r="I121" s="4">
        <v>9.5351999999999997</v>
      </c>
      <c r="J121" s="4">
        <v>447.28530000000001</v>
      </c>
      <c r="K121" s="4">
        <v>316.42230000000001</v>
      </c>
      <c r="L121" s="4">
        <v>127.8312</v>
      </c>
      <c r="M121" s="4">
        <v>30.630299999999998</v>
      </c>
      <c r="N121" s="4">
        <v>9.8268000000000004</v>
      </c>
      <c r="O121" s="4">
        <v>0.59160000000000001</v>
      </c>
      <c r="P121" s="4">
        <v>0.55049999999999999</v>
      </c>
      <c r="Q121" s="4">
        <v>0</v>
      </c>
      <c r="R121" s="4">
        <v>0</v>
      </c>
      <c r="S121" s="4">
        <v>20190305</v>
      </c>
      <c r="T121">
        <f t="shared" si="3"/>
        <v>942.67320000000007</v>
      </c>
    </row>
    <row r="122" spans="1:20" x14ac:dyDescent="0.35">
      <c r="A122" s="4" t="s">
        <v>19</v>
      </c>
      <c r="B122" s="4">
        <v>2018</v>
      </c>
      <c r="C122" s="4">
        <v>1</v>
      </c>
      <c r="D122" s="4">
        <v>25</v>
      </c>
      <c r="E122" s="4">
        <v>11</v>
      </c>
      <c r="F122" s="4">
        <v>126436</v>
      </c>
      <c r="G122" s="4" t="s">
        <v>20</v>
      </c>
      <c r="H122" s="4">
        <v>0</v>
      </c>
      <c r="I122" s="4">
        <v>2.3816000000000002</v>
      </c>
      <c r="J122" s="4">
        <v>183.44810000000001</v>
      </c>
      <c r="K122" s="4">
        <v>204.4306</v>
      </c>
      <c r="L122" s="4">
        <v>149.5301</v>
      </c>
      <c r="M122" s="4">
        <v>37.7517</v>
      </c>
      <c r="N122" s="4">
        <v>11.374000000000001</v>
      </c>
      <c r="O122" s="4">
        <v>0.55600000000000005</v>
      </c>
      <c r="P122" s="4">
        <v>0.56669999999999998</v>
      </c>
      <c r="Q122" s="4">
        <v>0</v>
      </c>
      <c r="R122" s="4">
        <v>0</v>
      </c>
      <c r="S122" s="4">
        <v>20190305</v>
      </c>
      <c r="T122">
        <f t="shared" si="3"/>
        <v>590.03880000000015</v>
      </c>
    </row>
    <row r="123" spans="1:20" x14ac:dyDescent="0.35">
      <c r="A123" s="4" t="s">
        <v>19</v>
      </c>
      <c r="B123" s="4">
        <v>2018</v>
      </c>
      <c r="C123" s="4">
        <v>1</v>
      </c>
      <c r="D123" s="4">
        <v>25</v>
      </c>
      <c r="E123" s="4">
        <v>12</v>
      </c>
      <c r="F123" s="4">
        <v>126436</v>
      </c>
      <c r="G123" s="4" t="s">
        <v>20</v>
      </c>
      <c r="H123" s="4">
        <v>0</v>
      </c>
      <c r="I123" s="4">
        <v>0.4</v>
      </c>
      <c r="J123" s="4">
        <v>5.3224</v>
      </c>
      <c r="K123" s="4">
        <v>24.5792</v>
      </c>
      <c r="L123" s="4">
        <v>41.188299999999998</v>
      </c>
      <c r="M123" s="4">
        <v>15.286300000000001</v>
      </c>
      <c r="N123" s="4">
        <v>5.7248000000000001</v>
      </c>
      <c r="O123" s="4">
        <v>0.36559999999999998</v>
      </c>
      <c r="P123" s="4">
        <v>0.33329999999999999</v>
      </c>
      <c r="Q123" s="4">
        <v>0</v>
      </c>
      <c r="R123" s="4">
        <v>0</v>
      </c>
      <c r="S123" s="4">
        <v>20190305</v>
      </c>
      <c r="T123">
        <f t="shared" si="3"/>
        <v>93.1999</v>
      </c>
    </row>
    <row r="124" spans="1:20" x14ac:dyDescent="0.35">
      <c r="A124" s="4" t="s">
        <v>19</v>
      </c>
      <c r="B124" s="4">
        <v>2018</v>
      </c>
      <c r="C124" s="4">
        <v>1</v>
      </c>
      <c r="D124" s="4">
        <v>25</v>
      </c>
      <c r="E124" s="4">
        <v>9</v>
      </c>
      <c r="F124" s="4">
        <v>126436</v>
      </c>
      <c r="G124" s="4" t="s">
        <v>20</v>
      </c>
      <c r="H124" s="4">
        <v>0</v>
      </c>
      <c r="I124" s="4">
        <v>1.8125</v>
      </c>
      <c r="J124" s="4">
        <v>12.184900000000001</v>
      </c>
      <c r="K124" s="4">
        <v>67.873800000000003</v>
      </c>
      <c r="L124" s="4">
        <v>74.9846</v>
      </c>
      <c r="M124" s="4">
        <v>16.140899999999998</v>
      </c>
      <c r="N124" s="4">
        <v>4.6177999999999999</v>
      </c>
      <c r="O124" s="4">
        <v>0.27829999999999999</v>
      </c>
      <c r="P124" s="4">
        <v>0.1071</v>
      </c>
      <c r="Q124" s="4">
        <v>0</v>
      </c>
      <c r="R124" s="4">
        <v>0</v>
      </c>
      <c r="S124" s="4">
        <v>20190305</v>
      </c>
      <c r="T124">
        <f t="shared" si="3"/>
        <v>177.99989999999997</v>
      </c>
    </row>
    <row r="125" spans="1:20" x14ac:dyDescent="0.35">
      <c r="A125" s="4" t="s">
        <v>19</v>
      </c>
      <c r="B125" s="4">
        <v>2018</v>
      </c>
      <c r="C125" s="4">
        <v>1</v>
      </c>
      <c r="D125" s="4">
        <v>26</v>
      </c>
      <c r="E125" s="4">
        <v>10</v>
      </c>
      <c r="F125" s="4">
        <v>126436</v>
      </c>
      <c r="G125" s="4" t="s">
        <v>20</v>
      </c>
      <c r="H125" s="4">
        <v>0</v>
      </c>
      <c r="I125" s="4">
        <v>17.328499999999998</v>
      </c>
      <c r="J125" s="4">
        <v>348.00360000000001</v>
      </c>
      <c r="K125" s="4">
        <v>90.428700000000006</v>
      </c>
      <c r="L125" s="4">
        <v>53.033700000000003</v>
      </c>
      <c r="M125" s="4">
        <v>42.098999999999997</v>
      </c>
      <c r="N125" s="4">
        <v>13.1731</v>
      </c>
      <c r="O125" s="4">
        <v>4.9690000000000003</v>
      </c>
      <c r="P125" s="4">
        <v>1.3137000000000001</v>
      </c>
      <c r="Q125" s="4">
        <v>0.23230000000000001</v>
      </c>
      <c r="R125" s="4">
        <v>0</v>
      </c>
      <c r="S125" s="4">
        <v>20190305</v>
      </c>
      <c r="T125">
        <f t="shared" si="3"/>
        <v>570.58160000000009</v>
      </c>
    </row>
    <row r="126" spans="1:20" x14ac:dyDescent="0.35">
      <c r="A126" s="4" t="s">
        <v>19</v>
      </c>
      <c r="B126" s="4">
        <v>2018</v>
      </c>
      <c r="C126" s="4">
        <v>1</v>
      </c>
      <c r="D126" s="4">
        <v>26</v>
      </c>
      <c r="E126" s="4">
        <v>11</v>
      </c>
      <c r="F126" s="4">
        <v>126436</v>
      </c>
      <c r="G126" s="4" t="s">
        <v>20</v>
      </c>
      <c r="H126" s="4">
        <v>0</v>
      </c>
      <c r="I126" s="4">
        <v>136.74889999999999</v>
      </c>
      <c r="J126" s="4">
        <v>780.34990000000005</v>
      </c>
      <c r="K126" s="4">
        <v>138.809</v>
      </c>
      <c r="L126" s="4">
        <v>96.480999999999995</v>
      </c>
      <c r="M126" s="4">
        <v>87.689800000000005</v>
      </c>
      <c r="N126" s="4">
        <v>29.976400000000002</v>
      </c>
      <c r="O126" s="4">
        <v>14.345499999999999</v>
      </c>
      <c r="P126" s="4">
        <v>9.6768000000000001</v>
      </c>
      <c r="Q126" s="4">
        <v>2.6951999999999998</v>
      </c>
      <c r="R126" s="4">
        <v>0.2273</v>
      </c>
      <c r="S126" s="4">
        <v>20190305</v>
      </c>
      <c r="T126">
        <f t="shared" si="3"/>
        <v>1296.9998000000001</v>
      </c>
    </row>
    <row r="127" spans="1:20" x14ac:dyDescent="0.35">
      <c r="A127" s="4" t="s">
        <v>19</v>
      </c>
      <c r="B127" s="4">
        <v>2018</v>
      </c>
      <c r="C127" s="4">
        <v>1</v>
      </c>
      <c r="D127" s="4">
        <v>26</v>
      </c>
      <c r="E127" s="4">
        <v>12</v>
      </c>
      <c r="F127" s="4">
        <v>126436</v>
      </c>
      <c r="G127" s="4" t="s">
        <v>20</v>
      </c>
      <c r="H127" s="4">
        <v>0</v>
      </c>
      <c r="I127" s="4">
        <v>6.5799999999999997E-2</v>
      </c>
      <c r="J127" s="4">
        <v>4.9983000000000004</v>
      </c>
      <c r="K127" s="4">
        <v>5.5263</v>
      </c>
      <c r="L127" s="4">
        <v>5.6334999999999997</v>
      </c>
      <c r="M127" s="4">
        <v>4.6298000000000004</v>
      </c>
      <c r="N127" s="4">
        <v>1.1456</v>
      </c>
      <c r="O127" s="4">
        <v>0.36159999999999998</v>
      </c>
      <c r="P127" s="4">
        <v>2.4199999999999999E-2</v>
      </c>
      <c r="Q127" s="4">
        <v>1.4800000000000001E-2</v>
      </c>
      <c r="R127" s="4">
        <v>0</v>
      </c>
      <c r="S127" s="4">
        <v>20190305</v>
      </c>
      <c r="T127">
        <f t="shared" si="3"/>
        <v>22.399899999999999</v>
      </c>
    </row>
    <row r="128" spans="1:20" x14ac:dyDescent="0.35">
      <c r="A128" s="4" t="s">
        <v>19</v>
      </c>
      <c r="B128" s="4">
        <v>2018</v>
      </c>
      <c r="C128" s="4">
        <v>1</v>
      </c>
      <c r="D128" s="4">
        <v>26</v>
      </c>
      <c r="E128" s="4">
        <v>13</v>
      </c>
      <c r="F128" s="4">
        <v>126436</v>
      </c>
      <c r="G128" s="4" t="s">
        <v>20</v>
      </c>
      <c r="H128" s="4">
        <v>0</v>
      </c>
      <c r="I128" s="4">
        <v>0.25</v>
      </c>
      <c r="J128" s="4">
        <v>0</v>
      </c>
      <c r="K128" s="4">
        <v>0.16489999999999999</v>
      </c>
      <c r="L128" s="4">
        <v>0.30430000000000001</v>
      </c>
      <c r="M128" s="4">
        <v>0.27410000000000001</v>
      </c>
      <c r="N128" s="4">
        <v>6.7999999999999996E-3</v>
      </c>
      <c r="O128" s="4">
        <v>0</v>
      </c>
      <c r="P128" s="4">
        <v>0</v>
      </c>
      <c r="Q128" s="4">
        <v>0</v>
      </c>
      <c r="R128" s="4">
        <v>0</v>
      </c>
      <c r="S128" s="4">
        <v>20190305</v>
      </c>
      <c r="T128">
        <f t="shared" si="3"/>
        <v>1.0001</v>
      </c>
    </row>
    <row r="129" spans="1:20" x14ac:dyDescent="0.35">
      <c r="A129" s="4" t="s">
        <v>19</v>
      </c>
      <c r="B129" s="4">
        <v>2018</v>
      </c>
      <c r="C129" s="4">
        <v>1</v>
      </c>
      <c r="D129" s="4">
        <v>26</v>
      </c>
      <c r="E129" s="4">
        <v>14</v>
      </c>
      <c r="F129" s="4">
        <v>126436</v>
      </c>
      <c r="G129" s="4" t="s">
        <v>20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20190305</v>
      </c>
      <c r="T129">
        <f t="shared" si="3"/>
        <v>0</v>
      </c>
    </row>
    <row r="130" spans="1:20" x14ac:dyDescent="0.35">
      <c r="A130" s="4" t="s">
        <v>19</v>
      </c>
      <c r="B130" s="4">
        <v>2018</v>
      </c>
      <c r="C130" s="4">
        <v>1</v>
      </c>
      <c r="D130" s="4">
        <v>26</v>
      </c>
      <c r="E130" s="4">
        <v>9</v>
      </c>
      <c r="F130" s="4">
        <v>126436</v>
      </c>
      <c r="G130" s="4" t="s">
        <v>20</v>
      </c>
      <c r="H130" s="4">
        <v>0</v>
      </c>
      <c r="I130" s="4">
        <v>1.4879</v>
      </c>
      <c r="J130" s="4">
        <v>9.9525000000000006</v>
      </c>
      <c r="K130" s="4">
        <v>11.1286</v>
      </c>
      <c r="L130" s="4">
        <v>11.677099999999999</v>
      </c>
      <c r="M130" s="4">
        <v>10.0014</v>
      </c>
      <c r="N130" s="4">
        <v>2.4544999999999999</v>
      </c>
      <c r="O130" s="4">
        <v>0.53139999999999998</v>
      </c>
      <c r="P130" s="4">
        <v>2.5600000000000001E-2</v>
      </c>
      <c r="Q130" s="4">
        <v>7.4099999999999999E-2</v>
      </c>
      <c r="R130" s="4">
        <v>0</v>
      </c>
      <c r="S130" s="4">
        <v>20190305</v>
      </c>
      <c r="T130">
        <f t="shared" ref="T130:T136" si="4">SUM(I130:R130)</f>
        <v>47.333100000000002</v>
      </c>
    </row>
    <row r="131" spans="1:20" x14ac:dyDescent="0.35">
      <c r="A131" s="4" t="s">
        <v>19</v>
      </c>
      <c r="B131" s="4">
        <v>2018</v>
      </c>
      <c r="C131" s="4">
        <v>1</v>
      </c>
      <c r="D131" s="4">
        <v>27</v>
      </c>
      <c r="E131" s="4">
        <v>11</v>
      </c>
      <c r="F131" s="4">
        <v>126436</v>
      </c>
      <c r="G131" s="4" t="s">
        <v>20</v>
      </c>
      <c r="H131" s="4">
        <v>0</v>
      </c>
      <c r="I131" s="4">
        <v>0.5</v>
      </c>
      <c r="J131" s="4">
        <v>12</v>
      </c>
      <c r="K131" s="4">
        <v>5.75</v>
      </c>
      <c r="L131" s="4">
        <v>4.25</v>
      </c>
      <c r="M131" s="4">
        <v>0.5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20190305</v>
      </c>
      <c r="T131">
        <f t="shared" si="4"/>
        <v>23</v>
      </c>
    </row>
    <row r="132" spans="1:20" x14ac:dyDescent="0.35">
      <c r="A132" s="4" t="s">
        <v>19</v>
      </c>
      <c r="B132" s="4">
        <v>2018</v>
      </c>
      <c r="C132" s="4">
        <v>1</v>
      </c>
      <c r="D132" s="4">
        <v>27</v>
      </c>
      <c r="E132" s="4">
        <v>12</v>
      </c>
      <c r="F132" s="4">
        <v>126436</v>
      </c>
      <c r="G132" s="4" t="s">
        <v>20</v>
      </c>
      <c r="H132" s="4">
        <v>0</v>
      </c>
      <c r="I132" s="4">
        <v>0</v>
      </c>
      <c r="J132" s="4">
        <v>36</v>
      </c>
      <c r="K132" s="4">
        <v>18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20190305</v>
      </c>
      <c r="T132">
        <f t="shared" si="4"/>
        <v>54</v>
      </c>
    </row>
    <row r="133" spans="1:20" x14ac:dyDescent="0.35">
      <c r="A133" s="4" t="s">
        <v>19</v>
      </c>
      <c r="B133" s="4">
        <v>2018</v>
      </c>
      <c r="C133" s="4">
        <v>1</v>
      </c>
      <c r="D133" s="4">
        <v>28</v>
      </c>
      <c r="E133" s="4">
        <v>10</v>
      </c>
      <c r="F133" s="4">
        <v>126436</v>
      </c>
      <c r="G133" s="4" t="s">
        <v>20</v>
      </c>
      <c r="H133" s="4">
        <v>0</v>
      </c>
      <c r="I133" s="4">
        <v>2.0832999999999999</v>
      </c>
      <c r="J133" s="4">
        <v>6.9081000000000001</v>
      </c>
      <c r="K133" s="4">
        <v>2.5163000000000002</v>
      </c>
      <c r="L133" s="4">
        <v>2.3624999999999998</v>
      </c>
      <c r="M133" s="4">
        <v>1.7464</v>
      </c>
      <c r="N133" s="4">
        <v>0.25829999999999997</v>
      </c>
      <c r="O133" s="4">
        <v>0</v>
      </c>
      <c r="P133" s="4">
        <v>0</v>
      </c>
      <c r="Q133" s="4">
        <v>0</v>
      </c>
      <c r="R133" s="4">
        <v>0</v>
      </c>
      <c r="S133" s="4">
        <v>20190305</v>
      </c>
      <c r="T133">
        <f t="shared" si="4"/>
        <v>15.8749</v>
      </c>
    </row>
    <row r="134" spans="1:20" x14ac:dyDescent="0.35">
      <c r="A134" s="4" t="s">
        <v>19</v>
      </c>
      <c r="B134" s="4">
        <v>2018</v>
      </c>
      <c r="C134" s="4">
        <v>1</v>
      </c>
      <c r="D134" s="4">
        <v>28</v>
      </c>
      <c r="E134" s="4">
        <v>11</v>
      </c>
      <c r="F134" s="4">
        <v>126436</v>
      </c>
      <c r="G134" s="4" t="s">
        <v>20</v>
      </c>
      <c r="H134" s="4">
        <v>0</v>
      </c>
      <c r="I134" s="4">
        <v>2.7732999999999999</v>
      </c>
      <c r="J134" s="4">
        <v>30.173500000000001</v>
      </c>
      <c r="K134" s="4">
        <v>8.0876999999999999</v>
      </c>
      <c r="L134" s="4">
        <v>4.8343999999999996</v>
      </c>
      <c r="M134" s="4">
        <v>2.0975999999999999</v>
      </c>
      <c r="N134" s="4">
        <v>0.43330000000000002</v>
      </c>
      <c r="O134" s="4">
        <v>0</v>
      </c>
      <c r="P134" s="4">
        <v>0</v>
      </c>
      <c r="Q134" s="4">
        <v>0</v>
      </c>
      <c r="R134" s="4">
        <v>0</v>
      </c>
      <c r="S134" s="4">
        <v>20190305</v>
      </c>
      <c r="T134">
        <f t="shared" si="4"/>
        <v>48.399800000000006</v>
      </c>
    </row>
    <row r="135" spans="1:20" x14ac:dyDescent="0.35">
      <c r="A135" s="4" t="s">
        <v>19</v>
      </c>
      <c r="B135" s="4">
        <v>2018</v>
      </c>
      <c r="C135" s="4">
        <v>1</v>
      </c>
      <c r="D135" s="4">
        <v>28</v>
      </c>
      <c r="E135" s="4">
        <v>12</v>
      </c>
      <c r="F135" s="4">
        <v>126436</v>
      </c>
      <c r="G135" s="4" t="s">
        <v>20</v>
      </c>
      <c r="H135" s="4">
        <v>0</v>
      </c>
      <c r="I135" s="4">
        <v>0.2</v>
      </c>
      <c r="J135" s="4">
        <v>18.8446</v>
      </c>
      <c r="K135" s="4">
        <v>3.0626000000000002</v>
      </c>
      <c r="L135" s="4">
        <v>0.5</v>
      </c>
      <c r="M135" s="4">
        <v>0.39290000000000003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20190305</v>
      </c>
      <c r="T135">
        <f t="shared" si="4"/>
        <v>23.0001</v>
      </c>
    </row>
    <row r="136" spans="1:20" x14ac:dyDescent="0.35">
      <c r="A136" s="4" t="s">
        <v>19</v>
      </c>
      <c r="B136" s="4">
        <v>2018</v>
      </c>
      <c r="C136" s="4">
        <v>1</v>
      </c>
      <c r="D136" s="4">
        <v>28</v>
      </c>
      <c r="E136" s="4">
        <v>9</v>
      </c>
      <c r="F136" s="4">
        <v>126436</v>
      </c>
      <c r="G136" s="4" t="s">
        <v>20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20190305</v>
      </c>
      <c r="T136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CPUE per area</vt:lpstr>
      <vt:lpstr>CPUE per area and depth strata</vt:lpstr>
      <vt:lpstr>CPUE per age per subarea_2018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2017-03-02T19:30:48Z</dcterms:created>
  <dcterms:modified xsi:type="dcterms:W3CDTF">2019-04-09T14:12:50Z</dcterms:modified>
</cp:coreProperties>
</file>