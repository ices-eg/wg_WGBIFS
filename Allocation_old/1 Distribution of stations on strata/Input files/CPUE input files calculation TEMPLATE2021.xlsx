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ctive nonsystem\ICES WG\WGBIFS\Surveys\Allocating of BITS stations\Allocation\1 Distribution of stations on strata\Input files\"/>
    </mc:Choice>
  </mc:AlternateContent>
  <bookViews>
    <workbookView xWindow="-285" yWindow="0" windowWidth="25440" windowHeight="12585" firstSheet="1" activeTab="2"/>
  </bookViews>
  <sheets>
    <sheet name="Read me" sheetId="5" r:id="rId1"/>
    <sheet name="CPUE per area" sheetId="2" r:id="rId2"/>
    <sheet name="CPUE per area and depth strata" sheetId="4" r:id="rId3"/>
    <sheet name="CPUE per age per subarea_2020" sheetId="1" r:id="rId4"/>
  </sheets>
  <calcPr calcId="162913"/>
  <pivotCaches>
    <pivotCache cacheId="14" r:id="rId5"/>
    <pivotCache cacheId="22" r:id="rId6"/>
  </pivotCaches>
</workbook>
</file>

<file path=xl/calcChain.xml><?xml version="1.0" encoding="utf-8"?>
<calcChain xmlns="http://schemas.openxmlformats.org/spreadsheetml/2006/main">
  <c r="T137" i="1" l="1"/>
  <c r="T138" i="1"/>
  <c r="T139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S6" i="2"/>
  <c r="X36" i="4" l="1"/>
  <c r="Y36" i="4"/>
  <c r="X37" i="4"/>
  <c r="Y37" i="4"/>
  <c r="Z37" i="4" s="1"/>
  <c r="X38" i="4"/>
  <c r="Y38" i="4"/>
  <c r="X39" i="4"/>
  <c r="Y39" i="4"/>
  <c r="Z39" i="4"/>
  <c r="X40" i="4"/>
  <c r="Y40" i="4"/>
  <c r="Z40" i="4" s="1"/>
  <c r="Z28" i="4"/>
  <c r="Z29" i="4"/>
  <c r="Z30" i="4"/>
  <c r="Z6" i="4"/>
  <c r="Z7" i="4"/>
  <c r="Z8" i="4"/>
  <c r="Z13" i="4"/>
  <c r="Z14" i="4"/>
  <c r="Z15" i="4"/>
  <c r="Z16" i="4"/>
  <c r="Z21" i="4"/>
  <c r="Z22" i="4"/>
  <c r="Z23" i="4"/>
  <c r="Z24" i="4"/>
  <c r="Y6" i="4"/>
  <c r="Y7" i="4"/>
  <c r="Y8" i="4"/>
  <c r="Y9" i="4"/>
  <c r="Z9" i="4" s="1"/>
  <c r="Y10" i="4"/>
  <c r="Z10" i="4" s="1"/>
  <c r="Y11" i="4"/>
  <c r="Z11" i="4" s="1"/>
  <c r="Y12" i="4"/>
  <c r="Z12" i="4" s="1"/>
  <c r="Y13" i="4"/>
  <c r="Y14" i="4"/>
  <c r="Y15" i="4"/>
  <c r="Y16" i="4"/>
  <c r="Y17" i="4"/>
  <c r="Z17" i="4" s="1"/>
  <c r="Y18" i="4"/>
  <c r="Z18" i="4" s="1"/>
  <c r="Y19" i="4"/>
  <c r="Z19" i="4" s="1"/>
  <c r="Y20" i="4"/>
  <c r="Z20" i="4" s="1"/>
  <c r="Y21" i="4"/>
  <c r="Y22" i="4"/>
  <c r="Y23" i="4"/>
  <c r="Y24" i="4"/>
  <c r="Y25" i="4"/>
  <c r="Z25" i="4" s="1"/>
  <c r="Y26" i="4"/>
  <c r="Z26" i="4" s="1"/>
  <c r="Y27" i="4"/>
  <c r="Y28" i="4"/>
  <c r="Y29" i="4"/>
  <c r="Y30" i="4"/>
  <c r="Y31" i="4"/>
  <c r="Z31" i="4" s="1"/>
  <c r="Y32" i="4"/>
  <c r="Z32" i="4" s="1"/>
  <c r="Y33" i="4"/>
  <c r="Z33" i="4" s="1"/>
  <c r="Y34" i="4"/>
  <c r="Z35" i="4" s="1"/>
  <c r="Y35" i="4"/>
  <c r="Y5" i="4"/>
  <c r="Z5" i="4" s="1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5" i="4"/>
  <c r="S12" i="2"/>
  <c r="S11" i="2"/>
  <c r="S9" i="2"/>
  <c r="S8" i="2"/>
  <c r="S7" i="2"/>
  <c r="Z34" i="4" l="1"/>
  <c r="Z27" i="4"/>
  <c r="Z36" i="4"/>
  <c r="Z38" i="4"/>
</calcChain>
</file>

<file path=xl/sharedStrings.xml><?xml version="1.0" encoding="utf-8"?>
<sst xmlns="http://schemas.openxmlformats.org/spreadsheetml/2006/main" count="316" uniqueCount="33">
  <si>
    <t>Survey</t>
  </si>
  <si>
    <t>Year</t>
  </si>
  <si>
    <t>Quarter</t>
  </si>
  <si>
    <t>Area</t>
  </si>
  <si>
    <t>SubArea</t>
  </si>
  <si>
    <t>AphiaID</t>
  </si>
  <si>
    <t>Species</t>
  </si>
  <si>
    <t>Age_0</t>
  </si>
  <si>
    <t>Age_1</t>
  </si>
  <si>
    <t>Age_2</t>
  </si>
  <si>
    <t>Age_3</t>
  </si>
  <si>
    <t>Age_4</t>
  </si>
  <si>
    <t>Age_5</t>
  </si>
  <si>
    <t>Age_6</t>
  </si>
  <si>
    <t>Age_7</t>
  </si>
  <si>
    <t>Age_8</t>
  </si>
  <si>
    <t>Age_9</t>
  </si>
  <si>
    <t>Age_10</t>
  </si>
  <si>
    <t>DateofCalculation</t>
  </si>
  <si>
    <t>BITS</t>
  </si>
  <si>
    <t>Gadus morhua</t>
  </si>
  <si>
    <t>Column Labels</t>
  </si>
  <si>
    <t>Grand Total</t>
  </si>
  <si>
    <t>Row Labels</t>
  </si>
  <si>
    <t>Age_1+</t>
  </si>
  <si>
    <t>Average of Age_1+</t>
  </si>
  <si>
    <t>Arrange a copy of this so it fits into the input stratification</t>
  </si>
  <si>
    <t>Copy from Pivot to the left</t>
  </si>
  <si>
    <t>SD</t>
  </si>
  <si>
    <t>AreaSection</t>
  </si>
  <si>
    <t>Cpue</t>
  </si>
  <si>
    <t>Output to BITS haul allocation program</t>
  </si>
  <si>
    <t>Input from DATRAS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</si>
</sst>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33" borderId="0" xfId="0" applyFill="1"/>
    <xf numFmtId="0" fontId="0" fillId="0" borderId="0" xfId="0" applyFill="1"/>
    <xf numFmtId="0" fontId="0" fillId="0" borderId="0" xfId="0" applyFill="1" applyAlignment="1"/>
    <xf numFmtId="0" fontId="0" fillId="35" borderId="0" xfId="0" applyFill="1"/>
    <xf numFmtId="0" fontId="0" fillId="34" borderId="0" xfId="0" applyFill="1" applyAlignment="1">
      <alignment horizontal="center"/>
    </xf>
    <xf numFmtId="0" fontId="0" fillId="34" borderId="0" xfId="0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enrik Degel" refreshedDate="44285.307397569442" createdVersion="6" refreshedVersion="6" minRefreshableVersion="3" recordCount="138">
  <cacheSource type="worksheet">
    <worksheetSource ref="A1:T139" sheet="CPUE per age per subarea_2020"/>
  </cacheSource>
  <cacheFields count="20">
    <cacheField name="Survey" numFmtId="0">
      <sharedItems/>
    </cacheField>
    <cacheField name="Year" numFmtId="0">
      <sharedItems containsSemiMixedTypes="0" containsString="0" containsNumber="1" containsInteger="1" minValue="2016" maxValue="2020" count="5">
        <n v="2016"/>
        <n v="2017"/>
        <n v="2018"/>
        <n v="2019"/>
        <n v="2020"/>
      </sharedItems>
    </cacheField>
    <cacheField name="Quarter" numFmtId="0">
      <sharedItems containsSemiMixedTypes="0" containsString="0" containsNumber="1" containsInteger="1" minValue="1" maxValue="1"/>
    </cacheField>
    <cacheField name="Area" numFmtId="0">
      <sharedItems containsSemiMixedTypes="0" containsString="0" containsNumber="1" containsInteger="1" minValue="21" maxValue="28" count="8">
        <n v="21"/>
        <n v="22"/>
        <n v="23"/>
        <n v="24"/>
        <n v="25"/>
        <n v="26"/>
        <n v="27"/>
        <n v="28"/>
      </sharedItems>
    </cacheField>
    <cacheField name="SubArea" numFmtId="0">
      <sharedItems containsSemiMixedTypes="0" containsString="0" containsNumber="1" containsInteger="1" minValue="8" maxValue="14" count="7">
        <n v="10"/>
        <n v="11"/>
        <n v="9"/>
        <n v="8"/>
        <n v="12"/>
        <n v="13"/>
        <n v="14"/>
      </sharedItems>
    </cacheField>
    <cacheField name="AphiaID" numFmtId="0">
      <sharedItems containsSemiMixedTypes="0" containsString="0" containsNumber="1" containsInteger="1" minValue="126436" maxValue="126436"/>
    </cacheField>
    <cacheField name="Species" numFmtId="0">
      <sharedItems/>
    </cacheField>
    <cacheField name="Age_0" numFmtId="0">
      <sharedItems containsSemiMixedTypes="0" containsString="0" containsNumber="1" containsInteger="1" minValue="0" maxValue="0"/>
    </cacheField>
    <cacheField name="Age_1" numFmtId="0">
      <sharedItems containsSemiMixedTypes="0" containsString="0" containsNumber="1" minValue="0" maxValue="466.12299999999999"/>
    </cacheField>
    <cacheField name="Age_2" numFmtId="0">
      <sharedItems containsSemiMixedTypes="0" containsString="0" containsNumber="1" minValue="0" maxValue="5370.3814000000002"/>
    </cacheField>
    <cacheField name="Age_3" numFmtId="0">
      <sharedItems containsSemiMixedTypes="0" containsString="0" containsNumber="1" minValue="0" maxValue="1697.4685999999999"/>
    </cacheField>
    <cacheField name="Age_4" numFmtId="0">
      <sharedItems containsSemiMixedTypes="0" containsString="0" containsNumber="1" minValue="0" maxValue="3185.069"/>
    </cacheField>
    <cacheField name="Age_5" numFmtId="0">
      <sharedItems containsSemiMixedTypes="0" containsString="0" containsNumber="1" minValue="0" maxValue="297.65710000000001"/>
    </cacheField>
    <cacheField name="Age_6" numFmtId="0">
      <sharedItems containsSemiMixedTypes="0" containsString="0" containsNumber="1" minValue="0" maxValue="174.74510000000001"/>
    </cacheField>
    <cacheField name="Age_7" numFmtId="0">
      <sharedItems containsSemiMixedTypes="0" containsString="0" containsNumber="1" minValue="0" maxValue="20.837800000000001"/>
    </cacheField>
    <cacheField name="Age_8" numFmtId="0">
      <sharedItems containsSemiMixedTypes="0" containsString="0" containsNumber="1" minValue="0" maxValue="13.058400000000001"/>
    </cacheField>
    <cacheField name="Age_9" numFmtId="0">
      <sharedItems containsSemiMixedTypes="0" containsString="0" containsNumber="1" minValue="0" maxValue="13.3362"/>
    </cacheField>
    <cacheField name="Age_10" numFmtId="0">
      <sharedItems containsSemiMixedTypes="0" containsString="0" containsNumber="1" minValue="0" maxValue="0.2273"/>
    </cacheField>
    <cacheField name="DateofCalculation" numFmtId="0">
      <sharedItems containsSemiMixedTypes="0" containsString="0" containsNumber="1" containsInteger="1" minValue="20210325" maxValue="20210329"/>
    </cacheField>
    <cacheField name="Age_1+" numFmtId="0">
      <sharedItems containsSemiMixedTypes="0" containsString="0" containsNumber="1" minValue="0" maxValue="5712.73040000000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Henrik Degel" refreshedDate="44285.320847685187" createdVersion="6" refreshedVersion="6" minRefreshableVersion="3" recordCount="139">
  <cacheSource type="worksheet">
    <worksheetSource ref="A1:T1048576" sheet="CPUE per age per subarea_2020"/>
  </cacheSource>
  <cacheFields count="20">
    <cacheField name="Survey" numFmtId="0">
      <sharedItems containsBlank="1"/>
    </cacheField>
    <cacheField name="Year" numFmtId="0">
      <sharedItems containsString="0" containsBlank="1" containsNumber="1" containsInteger="1" minValue="2014" maxValue="2020" count="8">
        <n v="2016"/>
        <n v="2017"/>
        <n v="2018"/>
        <n v="2019"/>
        <n v="2020"/>
        <m/>
        <n v="2015" u="1"/>
        <n v="2014" u="1"/>
      </sharedItems>
    </cacheField>
    <cacheField name="Quarter" numFmtId="0">
      <sharedItems containsString="0" containsBlank="1" containsNumber="1" containsInteger="1" minValue="1" maxValue="1"/>
    </cacheField>
    <cacheField name="Area" numFmtId="0">
      <sharedItems containsString="0" containsBlank="1" containsNumber="1" containsInteger="1" minValue="21" maxValue="28" count="9">
        <n v="21"/>
        <n v="22"/>
        <n v="23"/>
        <n v="24"/>
        <n v="25"/>
        <n v="26"/>
        <n v="27"/>
        <n v="28"/>
        <m/>
      </sharedItems>
    </cacheField>
    <cacheField name="SubArea" numFmtId="0">
      <sharedItems containsString="0" containsBlank="1" containsNumber="1" containsInteger="1" minValue="8" maxValue="14"/>
    </cacheField>
    <cacheField name="AphiaID" numFmtId="0">
      <sharedItems containsString="0" containsBlank="1" containsNumber="1" containsInteger="1" minValue="126436" maxValue="126436"/>
    </cacheField>
    <cacheField name="Species" numFmtId="0">
      <sharedItems containsBlank="1"/>
    </cacheField>
    <cacheField name="Age_0" numFmtId="0">
      <sharedItems containsString="0" containsBlank="1" containsNumber="1" containsInteger="1" minValue="0" maxValue="0"/>
    </cacheField>
    <cacheField name="Age_1" numFmtId="0">
      <sharedItems containsString="0" containsBlank="1" containsNumber="1" minValue="0" maxValue="466.12299999999999"/>
    </cacheField>
    <cacheField name="Age_2" numFmtId="0">
      <sharedItems containsString="0" containsBlank="1" containsNumber="1" minValue="0" maxValue="5370.3814000000002"/>
    </cacheField>
    <cacheField name="Age_3" numFmtId="0">
      <sharedItems containsString="0" containsBlank="1" containsNumber="1" minValue="0" maxValue="1697.4685999999999"/>
    </cacheField>
    <cacheField name="Age_4" numFmtId="0">
      <sharedItems containsString="0" containsBlank="1" containsNumber="1" minValue="0" maxValue="3185.069"/>
    </cacheField>
    <cacheField name="Age_5" numFmtId="0">
      <sharedItems containsString="0" containsBlank="1" containsNumber="1" minValue="0" maxValue="297.65710000000001"/>
    </cacheField>
    <cacheField name="Age_6" numFmtId="0">
      <sharedItems containsString="0" containsBlank="1" containsNumber="1" minValue="0" maxValue="174.74510000000001"/>
    </cacheField>
    <cacheField name="Age_7" numFmtId="0">
      <sharedItems containsString="0" containsBlank="1" containsNumber="1" minValue="0" maxValue="20.837800000000001"/>
    </cacheField>
    <cacheField name="Age_8" numFmtId="0">
      <sharedItems containsString="0" containsBlank="1" containsNumber="1" minValue="0" maxValue="13.058400000000001"/>
    </cacheField>
    <cacheField name="Age_9" numFmtId="0">
      <sharedItems containsString="0" containsBlank="1" containsNumber="1" minValue="0" maxValue="13.3362"/>
    </cacheField>
    <cacheField name="Age_10" numFmtId="0">
      <sharedItems containsString="0" containsBlank="1" containsNumber="1" minValue="0" maxValue="0.2273"/>
    </cacheField>
    <cacheField name="DateofCalculation" numFmtId="0">
      <sharedItems containsString="0" containsBlank="1" containsNumber="1" containsInteger="1" minValue="20210325" maxValue="20210329"/>
    </cacheField>
    <cacheField name="Age_1+" numFmtId="0">
      <sharedItems containsString="0" containsBlank="1" containsNumber="1" minValue="0" maxValue="5712.73040000000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8">
  <r>
    <s v="BITS"/>
    <x v="0"/>
    <n v="1"/>
    <x v="0"/>
    <x v="0"/>
    <n v="126436"/>
    <s v="Gadus morhua"/>
    <n v="0"/>
    <n v="0.11"/>
    <n v="1.2114"/>
    <n v="2.8786"/>
    <n v="0.33210000000000001"/>
    <n v="0.44290000000000002"/>
    <n v="0"/>
    <n v="0"/>
    <n v="0"/>
    <n v="0"/>
    <n v="0"/>
    <n v="20210325"/>
    <n v="4.9749999999999996"/>
  </r>
  <r>
    <s v="BITS"/>
    <x v="0"/>
    <n v="1"/>
    <x v="0"/>
    <x v="1"/>
    <n v="126436"/>
    <s v="Gadus morhua"/>
    <n v="0"/>
    <n v="0"/>
    <n v="11.7"/>
    <n v="0"/>
    <n v="0"/>
    <n v="0"/>
    <n v="0"/>
    <n v="0"/>
    <n v="0"/>
    <n v="0"/>
    <n v="0"/>
    <n v="20210325"/>
    <n v="11.7"/>
  </r>
  <r>
    <s v="BITS"/>
    <x v="0"/>
    <n v="1"/>
    <x v="0"/>
    <x v="2"/>
    <n v="126436"/>
    <s v="Gadus morhua"/>
    <n v="0"/>
    <n v="3.085"/>
    <n v="12.476800000000001"/>
    <n v="4.1093000000000002"/>
    <n v="15.622199999999999"/>
    <n v="10.192500000000001"/>
    <n v="0.43719999999999998"/>
    <n v="0.23849999999999999"/>
    <n v="0"/>
    <n v="0"/>
    <n v="0"/>
    <n v="20210325"/>
    <n v="46.161500000000004"/>
  </r>
  <r>
    <s v="BITS"/>
    <x v="0"/>
    <n v="1"/>
    <x v="1"/>
    <x v="3"/>
    <n v="126436"/>
    <s v="Gadus morhua"/>
    <n v="0"/>
    <n v="0.79269999999999996"/>
    <n v="2.4495"/>
    <n v="0.36230000000000001"/>
    <n v="1.2217"/>
    <n v="0.40660000000000002"/>
    <n v="0.20349999999999999"/>
    <n v="0"/>
    <n v="0"/>
    <n v="0"/>
    <n v="0"/>
    <n v="20210325"/>
    <n v="5.4363000000000001"/>
  </r>
  <r>
    <s v="BITS"/>
    <x v="0"/>
    <n v="1"/>
    <x v="1"/>
    <x v="2"/>
    <n v="126436"/>
    <s v="Gadus morhua"/>
    <n v="0"/>
    <n v="0.51559999999999995"/>
    <n v="9.0245999999999995"/>
    <n v="17.326799999999999"/>
    <n v="8.6265999999999998"/>
    <n v="2.6324000000000001"/>
    <n v="0.80730000000000002"/>
    <n v="0.12920000000000001"/>
    <n v="0"/>
    <n v="0"/>
    <n v="0"/>
    <n v="20210325"/>
    <n v="39.062499999999993"/>
  </r>
  <r>
    <s v="BITS"/>
    <x v="0"/>
    <n v="1"/>
    <x v="2"/>
    <x v="3"/>
    <n v="126436"/>
    <s v="Gadus morhua"/>
    <n v="0"/>
    <n v="0"/>
    <n v="268.19299999999998"/>
    <n v="249.26730000000001"/>
    <n v="157.45939999999999"/>
    <n v="15.4475"/>
    <n v="0"/>
    <n v="0"/>
    <n v="0"/>
    <n v="0"/>
    <n v="0"/>
    <n v="20210325"/>
    <n v="690.36719999999991"/>
  </r>
  <r>
    <s v="BITS"/>
    <x v="0"/>
    <n v="1"/>
    <x v="2"/>
    <x v="2"/>
    <n v="126436"/>
    <s v="Gadus morhua"/>
    <n v="0"/>
    <n v="0"/>
    <n v="4.1333000000000002"/>
    <n v="4.1333000000000002"/>
    <n v="21.8033"/>
    <n v="13.33"/>
    <n v="0"/>
    <n v="0"/>
    <n v="0"/>
    <n v="0"/>
    <n v="0"/>
    <n v="20210325"/>
    <n v="43.399900000000002"/>
  </r>
  <r>
    <s v="BITS"/>
    <x v="0"/>
    <n v="1"/>
    <x v="3"/>
    <x v="0"/>
    <n v="126436"/>
    <s v="Gadus morhua"/>
    <n v="0"/>
    <n v="59.535200000000003"/>
    <n v="542.43209999999999"/>
    <n v="386.01729999999998"/>
    <n v="160.3287"/>
    <n v="28.606400000000001"/>
    <n v="0"/>
    <n v="0"/>
    <n v="0"/>
    <n v="0"/>
    <n v="0"/>
    <n v="20210325"/>
    <n v="1176.9196999999999"/>
  </r>
  <r>
    <s v="BITS"/>
    <x v="0"/>
    <n v="1"/>
    <x v="3"/>
    <x v="3"/>
    <n v="126436"/>
    <s v="Gadus morhua"/>
    <n v="0"/>
    <n v="0.67689999999999995"/>
    <n v="13.715299999999999"/>
    <n v="12.4903"/>
    <n v="7.0583999999999998"/>
    <n v="1.6284000000000001"/>
    <n v="0"/>
    <n v="0"/>
    <n v="0"/>
    <n v="0"/>
    <n v="0"/>
    <n v="20210325"/>
    <n v="35.569299999999998"/>
  </r>
  <r>
    <s v="BITS"/>
    <x v="0"/>
    <n v="1"/>
    <x v="3"/>
    <x v="2"/>
    <n v="126436"/>
    <s v="Gadus morhua"/>
    <n v="0"/>
    <n v="2.9622000000000002"/>
    <n v="164.53440000000001"/>
    <n v="115.14279999999999"/>
    <n v="39.374499999999998"/>
    <n v="6.8396999999999997"/>
    <n v="0"/>
    <n v="0"/>
    <n v="0"/>
    <n v="0"/>
    <n v="0"/>
    <n v="20210325"/>
    <n v="328.85360000000003"/>
  </r>
  <r>
    <s v="BITS"/>
    <x v="0"/>
    <n v="1"/>
    <x v="4"/>
    <x v="0"/>
    <n v="126436"/>
    <s v="Gadus morhua"/>
    <n v="0"/>
    <n v="14.610099999999999"/>
    <n v="812.86019999999996"/>
    <n v="1006.7113000000001"/>
    <n v="409.51100000000002"/>
    <n v="44.914200000000001"/>
    <n v="3.1815000000000002"/>
    <n v="0.83560000000000001"/>
    <n v="0.41049999999999998"/>
    <n v="0"/>
    <n v="0"/>
    <n v="20210325"/>
    <n v="2293.0344"/>
  </r>
  <r>
    <s v="BITS"/>
    <x v="0"/>
    <n v="1"/>
    <x v="4"/>
    <x v="1"/>
    <n v="126436"/>
    <s v="Gadus morhua"/>
    <n v="0"/>
    <n v="2.4045000000000001"/>
    <n v="471.30650000000003"/>
    <n v="741.42529999999999"/>
    <n v="337.77870000000001"/>
    <n v="31.090299999999999"/>
    <n v="1.7542"/>
    <n v="0.63129999999999997"/>
    <n v="0.16089999999999999"/>
    <n v="0"/>
    <n v="0"/>
    <n v="20210325"/>
    <n v="1586.5517000000004"/>
  </r>
  <r>
    <s v="BITS"/>
    <x v="0"/>
    <n v="1"/>
    <x v="4"/>
    <x v="4"/>
    <n v="126436"/>
    <s v="Gadus morhua"/>
    <n v="0"/>
    <n v="0.13070000000000001"/>
    <n v="102.55110000000001"/>
    <n v="559.52139999999997"/>
    <n v="372.16989999999998"/>
    <n v="37.121099999999998"/>
    <n v="2.1522000000000001"/>
    <n v="0.94920000000000004"/>
    <n v="0.4103"/>
    <n v="0"/>
    <n v="0"/>
    <n v="20210325"/>
    <n v="1075.0058999999999"/>
  </r>
  <r>
    <s v="BITS"/>
    <x v="0"/>
    <n v="1"/>
    <x v="4"/>
    <x v="2"/>
    <n v="126436"/>
    <s v="Gadus morhua"/>
    <n v="0"/>
    <n v="0.33329999999999999"/>
    <n v="7.6231"/>
    <n v="169.2835"/>
    <n v="149.62690000000001"/>
    <n v="13.964700000000001"/>
    <n v="0.74009999999999998"/>
    <n v="0.20619999999999999"/>
    <n v="5.5599999999999997E-2"/>
    <n v="0"/>
    <n v="0"/>
    <n v="20210325"/>
    <n v="341.83340000000004"/>
  </r>
  <r>
    <s v="BITS"/>
    <x v="0"/>
    <n v="1"/>
    <x v="5"/>
    <x v="0"/>
    <n v="126436"/>
    <s v="Gadus morhua"/>
    <n v="0"/>
    <n v="13.537699999999999"/>
    <n v="54.408099999999997"/>
    <n v="102.5322"/>
    <n v="75.475399999999993"/>
    <n v="40.125399999999999"/>
    <n v="10.2691"/>
    <n v="0.92120000000000002"/>
    <n v="0.1"/>
    <n v="9.0899999999999995E-2"/>
    <n v="0"/>
    <n v="20210325"/>
    <n v="297.45999999999998"/>
  </r>
  <r>
    <s v="BITS"/>
    <x v="0"/>
    <n v="1"/>
    <x v="5"/>
    <x v="1"/>
    <n v="126436"/>
    <s v="Gadus morhua"/>
    <n v="0"/>
    <n v="2.8618999999999999"/>
    <n v="327.18650000000002"/>
    <n v="233.5667"/>
    <n v="117.6147"/>
    <n v="64.657200000000003"/>
    <n v="13.1927"/>
    <n v="0.62929999999999997"/>
    <n v="0"/>
    <n v="0.1885"/>
    <n v="0"/>
    <n v="20210325"/>
    <n v="759.89749999999981"/>
  </r>
  <r>
    <s v="BITS"/>
    <x v="0"/>
    <n v="1"/>
    <x v="5"/>
    <x v="4"/>
    <n v="126436"/>
    <s v="Gadus morhua"/>
    <n v="0"/>
    <n v="1.6783999999999999"/>
    <n v="198.06880000000001"/>
    <n v="443.61759999999998"/>
    <n v="251.4913"/>
    <n v="145.65379999999999"/>
    <n v="28.7454"/>
    <n v="1.4291"/>
    <n v="0"/>
    <n v="0.25669999999999998"/>
    <n v="0"/>
    <n v="20210325"/>
    <n v="1070.9411"/>
  </r>
  <r>
    <s v="BITS"/>
    <x v="0"/>
    <n v="1"/>
    <x v="5"/>
    <x v="5"/>
    <n v="126436"/>
    <s v="Gadus morhua"/>
    <n v="0"/>
    <n v="0"/>
    <n v="18.069299999999998"/>
    <n v="138.49160000000001"/>
    <n v="98.906099999999995"/>
    <n v="65.174599999999998"/>
    <n v="13.7912"/>
    <n v="2.4763000000000002"/>
    <n v="0.25"/>
    <n v="9.0899999999999995E-2"/>
    <n v="0"/>
    <n v="20210325"/>
    <n v="337.24999999999994"/>
  </r>
  <r>
    <s v="BITS"/>
    <x v="0"/>
    <n v="1"/>
    <x v="5"/>
    <x v="6"/>
    <n v="126436"/>
    <s v="Gadus morhua"/>
    <n v="0"/>
    <n v="0"/>
    <n v="109.0431"/>
    <n v="602.68769999999995"/>
    <n v="503.12009999999998"/>
    <n v="297.65710000000001"/>
    <n v="80.775700000000001"/>
    <n v="8.3526000000000007"/>
    <n v="0"/>
    <n v="2.3635999999999999"/>
    <n v="0"/>
    <n v="20210325"/>
    <n v="1603.9998999999996"/>
  </r>
  <r>
    <s v="BITS"/>
    <x v="0"/>
    <n v="1"/>
    <x v="5"/>
    <x v="2"/>
    <n v="126436"/>
    <s v="Gadus morhua"/>
    <n v="0"/>
    <n v="2.5295999999999998"/>
    <n v="44.688200000000002"/>
    <n v="54.451700000000002"/>
    <n v="28.580500000000001"/>
    <n v="13.0739"/>
    <n v="3.5303"/>
    <n v="0.23860000000000001"/>
    <n v="0"/>
    <n v="4.0399999999999998E-2"/>
    <n v="0"/>
    <n v="20210325"/>
    <n v="147.13320000000002"/>
  </r>
  <r>
    <s v="BITS"/>
    <x v="0"/>
    <n v="1"/>
    <x v="6"/>
    <x v="1"/>
    <n v="126436"/>
    <s v="Gadus morhua"/>
    <n v="0"/>
    <n v="0"/>
    <n v="18.083300000000001"/>
    <n v="15.333299999999999"/>
    <n v="5.5833000000000004"/>
    <n v="1"/>
    <n v="0"/>
    <n v="0"/>
    <n v="0"/>
    <n v="0"/>
    <n v="0"/>
    <n v="20210325"/>
    <n v="39.999900000000004"/>
  </r>
  <r>
    <s v="BITS"/>
    <x v="0"/>
    <n v="1"/>
    <x v="6"/>
    <x v="4"/>
    <n v="126436"/>
    <s v="Gadus morhua"/>
    <n v="0"/>
    <n v="0"/>
    <n v="0"/>
    <n v="0"/>
    <n v="0"/>
    <n v="0"/>
    <n v="0"/>
    <n v="0"/>
    <n v="0"/>
    <n v="0"/>
    <n v="0"/>
    <n v="20210325"/>
    <n v="0"/>
  </r>
  <r>
    <s v="BITS"/>
    <x v="0"/>
    <n v="1"/>
    <x v="6"/>
    <x v="5"/>
    <n v="126436"/>
    <s v="Gadus morhua"/>
    <n v="0"/>
    <n v="0"/>
    <n v="0"/>
    <n v="0"/>
    <n v="0"/>
    <n v="0"/>
    <n v="0"/>
    <n v="0"/>
    <n v="0"/>
    <n v="0"/>
    <n v="0"/>
    <n v="20210325"/>
    <n v="0"/>
  </r>
  <r>
    <s v="BITS"/>
    <x v="0"/>
    <n v="1"/>
    <x v="7"/>
    <x v="0"/>
    <n v="126436"/>
    <s v="Gadus morhua"/>
    <n v="0"/>
    <n v="1"/>
    <n v="4.1666999999999996"/>
    <n v="3"/>
    <n v="0.83330000000000004"/>
    <n v="0"/>
    <n v="0"/>
    <n v="0"/>
    <n v="0"/>
    <n v="0"/>
    <n v="0"/>
    <n v="20210325"/>
    <n v="8.9999999999999982"/>
  </r>
  <r>
    <s v="BITS"/>
    <x v="0"/>
    <n v="1"/>
    <x v="7"/>
    <x v="1"/>
    <n v="126436"/>
    <s v="Gadus morhua"/>
    <n v="0"/>
    <n v="0.44440000000000002"/>
    <n v="18.555499999999999"/>
    <n v="7.0369999999999999"/>
    <n v="3.6295999999999999"/>
    <n v="2.2222"/>
    <n v="1"/>
    <n v="0"/>
    <n v="0"/>
    <n v="0"/>
    <n v="0"/>
    <n v="20210325"/>
    <n v="32.8887"/>
  </r>
  <r>
    <s v="BITS"/>
    <x v="0"/>
    <n v="1"/>
    <x v="7"/>
    <x v="4"/>
    <n v="126436"/>
    <s v="Gadus morhua"/>
    <n v="0"/>
    <n v="0"/>
    <n v="0.57140000000000002"/>
    <n v="1.6667000000000001"/>
    <n v="0.85709999999999997"/>
    <n v="0"/>
    <n v="0.33329999999999999"/>
    <n v="0"/>
    <n v="0"/>
    <n v="0"/>
    <n v="0"/>
    <n v="20210325"/>
    <n v="3.4285000000000001"/>
  </r>
  <r>
    <s v="BITS"/>
    <x v="0"/>
    <n v="1"/>
    <x v="7"/>
    <x v="2"/>
    <n v="126436"/>
    <s v="Gadus morhua"/>
    <n v="0"/>
    <n v="0.33329999999999999"/>
    <n v="0.58330000000000004"/>
    <n v="0.91669999999999996"/>
    <n v="0.38890000000000002"/>
    <n v="0.55559999999999998"/>
    <n v="0.22220000000000001"/>
    <n v="0"/>
    <n v="0"/>
    <n v="0"/>
    <n v="0"/>
    <n v="20210325"/>
    <n v="3"/>
  </r>
  <r>
    <s v="BITS"/>
    <x v="1"/>
    <n v="1"/>
    <x v="0"/>
    <x v="0"/>
    <n v="126436"/>
    <s v="Gadus morhua"/>
    <n v="0"/>
    <n v="23.080400000000001"/>
    <n v="1.1696"/>
    <n v="0"/>
    <n v="1.3286"/>
    <n v="0.22140000000000001"/>
    <n v="0"/>
    <n v="0"/>
    <n v="0"/>
    <n v="0"/>
    <n v="0"/>
    <n v="20210329"/>
    <n v="25.8"/>
  </r>
  <r>
    <s v="BITS"/>
    <x v="1"/>
    <n v="1"/>
    <x v="0"/>
    <x v="1"/>
    <n v="126436"/>
    <s v="Gadus morhua"/>
    <n v="0"/>
    <n v="0"/>
    <n v="0"/>
    <n v="0"/>
    <n v="0"/>
    <n v="0"/>
    <n v="0"/>
    <n v="0"/>
    <n v="0"/>
    <n v="0"/>
    <n v="0"/>
    <n v="20210329"/>
    <n v="0"/>
  </r>
  <r>
    <s v="BITS"/>
    <x v="1"/>
    <n v="1"/>
    <x v="0"/>
    <x v="4"/>
    <n v="126436"/>
    <s v="Gadus morhua"/>
    <n v="0"/>
    <n v="358.01510000000002"/>
    <n v="9.3849"/>
    <n v="0"/>
    <n v="3.1"/>
    <n v="0"/>
    <n v="0"/>
    <n v="0"/>
    <n v="0"/>
    <n v="0"/>
    <n v="0"/>
    <n v="20210329"/>
    <n v="370.50000000000006"/>
  </r>
  <r>
    <s v="BITS"/>
    <x v="1"/>
    <n v="1"/>
    <x v="0"/>
    <x v="2"/>
    <n v="126436"/>
    <s v="Gadus morhua"/>
    <n v="0"/>
    <n v="114.2486"/>
    <n v="4.7201000000000004"/>
    <n v="6.1708999999999996"/>
    <n v="17.186800000000002"/>
    <n v="9.1829000000000001"/>
    <n v="2.0598000000000001"/>
    <n v="0"/>
    <n v="0"/>
    <n v="0"/>
    <n v="0"/>
    <n v="20210329"/>
    <n v="153.56909999999999"/>
  </r>
  <r>
    <s v="BITS"/>
    <x v="1"/>
    <n v="1"/>
    <x v="1"/>
    <x v="3"/>
    <n v="126436"/>
    <s v="Gadus morhua"/>
    <n v="0"/>
    <n v="76.455299999999994"/>
    <n v="1.8243"/>
    <n v="6.8587999999999996"/>
    <n v="1.0707"/>
    <n v="0.33210000000000001"/>
    <n v="0"/>
    <n v="0"/>
    <n v="0"/>
    <n v="0"/>
    <n v="0"/>
    <n v="20210329"/>
    <n v="86.541199999999989"/>
  </r>
  <r>
    <s v="BITS"/>
    <x v="1"/>
    <n v="1"/>
    <x v="1"/>
    <x v="2"/>
    <n v="126436"/>
    <s v="Gadus morhua"/>
    <n v="0"/>
    <n v="155.3844"/>
    <n v="6.0464000000000002"/>
    <n v="23.953399999999998"/>
    <n v="9.7277000000000005"/>
    <n v="5.7534000000000001"/>
    <n v="0.89119999999999999"/>
    <n v="0.4133"/>
    <n v="0.46500000000000002"/>
    <n v="0"/>
    <n v="0"/>
    <n v="20210329"/>
    <n v="202.63479999999998"/>
  </r>
  <r>
    <s v="BITS"/>
    <x v="1"/>
    <n v="1"/>
    <x v="2"/>
    <x v="3"/>
    <n v="126436"/>
    <s v="Gadus morhua"/>
    <n v="0"/>
    <n v="466.12299999999999"/>
    <n v="32.575800000000001"/>
    <n v="956.88610000000006"/>
    <n v="156.54509999999999"/>
    <n v="10.1928"/>
    <n v="0"/>
    <n v="0"/>
    <n v="0"/>
    <n v="0"/>
    <n v="0"/>
    <n v="20210329"/>
    <n v="1622.3228000000001"/>
  </r>
  <r>
    <s v="BITS"/>
    <x v="1"/>
    <n v="1"/>
    <x v="2"/>
    <x v="2"/>
    <n v="126436"/>
    <s v="Gadus morhua"/>
    <n v="0"/>
    <n v="215.9333"/>
    <n v="31.2361"/>
    <n v="675.95500000000004"/>
    <n v="73.642200000000003"/>
    <n v="12.4"/>
    <n v="2.0667"/>
    <n v="0"/>
    <n v="0"/>
    <n v="0"/>
    <n v="0"/>
    <n v="20210329"/>
    <n v="1011.2333"/>
  </r>
  <r>
    <s v="BITS"/>
    <x v="1"/>
    <n v="1"/>
    <x v="3"/>
    <x v="0"/>
    <n v="126436"/>
    <s v="Gadus morhua"/>
    <n v="0"/>
    <n v="227.15260000000001"/>
    <n v="266.09309999999999"/>
    <n v="419.76190000000003"/>
    <n v="175.89580000000001"/>
    <n v="105.8704"/>
    <n v="5.0644999999999998"/>
    <n v="1.7584"/>
    <n v="1.4326000000000001"/>
    <n v="0"/>
    <n v="0"/>
    <n v="20210329"/>
    <n v="1203.0293000000001"/>
  </r>
  <r>
    <s v="BITS"/>
    <x v="1"/>
    <n v="1"/>
    <x v="3"/>
    <x v="3"/>
    <n v="126436"/>
    <s v="Gadus morhua"/>
    <n v="0"/>
    <n v="82.791499999999999"/>
    <n v="26.1053"/>
    <n v="13.9712"/>
    <n v="8.7497000000000007"/>
    <n v="7.6087999999999996"/>
    <n v="0.44130000000000003"/>
    <n v="0.1845"/>
    <n v="0.14760000000000001"/>
    <n v="0"/>
    <n v="0"/>
    <n v="20210329"/>
    <n v="139.99990000000003"/>
  </r>
  <r>
    <s v="BITS"/>
    <x v="1"/>
    <n v="1"/>
    <x v="3"/>
    <x v="2"/>
    <n v="126436"/>
    <s v="Gadus morhua"/>
    <n v="0"/>
    <n v="145.3896"/>
    <n v="103.2773"/>
    <n v="128.756"/>
    <n v="59.065899999999999"/>
    <n v="33.429900000000004"/>
    <n v="1.0408999999999999"/>
    <n v="0.47799999999999998"/>
    <n v="0.18790000000000001"/>
    <n v="0"/>
    <n v="0"/>
    <n v="20210329"/>
    <n v="471.6255000000001"/>
  </r>
  <r>
    <s v="BITS"/>
    <x v="1"/>
    <n v="1"/>
    <x v="4"/>
    <x v="0"/>
    <n v="126436"/>
    <s v="Gadus morhua"/>
    <n v="0"/>
    <n v="37.144599999999997"/>
    <n v="254.0686"/>
    <n v="294.06970000000001"/>
    <n v="110.0476"/>
    <n v="25.7605"/>
    <n v="4.1820000000000004"/>
    <n v="0.45040000000000002"/>
    <n v="6.0299999999999999E-2"/>
    <n v="0"/>
    <n v="0"/>
    <n v="20210329"/>
    <n v="725.78369999999995"/>
  </r>
  <r>
    <s v="BITS"/>
    <x v="1"/>
    <n v="1"/>
    <x v="4"/>
    <x v="1"/>
    <n v="126436"/>
    <s v="Gadus morhua"/>
    <n v="0"/>
    <n v="17.157800000000002"/>
    <n v="201.4282"/>
    <n v="416.49130000000002"/>
    <n v="220.46019999999999"/>
    <n v="51.317900000000002"/>
    <n v="8.2119"/>
    <n v="0.50670000000000004"/>
    <n v="5.2299999999999999E-2"/>
    <n v="0"/>
    <n v="0"/>
    <n v="20210329"/>
    <n v="915.62630000000001"/>
  </r>
  <r>
    <s v="BITS"/>
    <x v="1"/>
    <n v="1"/>
    <x v="4"/>
    <x v="4"/>
    <n v="126436"/>
    <s v="Gadus morhua"/>
    <n v="0"/>
    <n v="0.71809999999999996"/>
    <n v="49.7209"/>
    <n v="276.5514"/>
    <n v="236.6474"/>
    <n v="69.703800000000001"/>
    <n v="12.2803"/>
    <n v="0.97399999999999998"/>
    <n v="0.27750000000000002"/>
    <n v="0"/>
    <n v="0"/>
    <n v="20210329"/>
    <n v="646.87340000000006"/>
  </r>
  <r>
    <s v="BITS"/>
    <x v="1"/>
    <n v="1"/>
    <x v="4"/>
    <x v="2"/>
    <n v="126436"/>
    <s v="Gadus morhua"/>
    <n v="0"/>
    <n v="6.9603999999999999"/>
    <n v="12.3203"/>
    <n v="84.109700000000004"/>
    <n v="59.264800000000001"/>
    <n v="11.2986"/>
    <n v="1.6085"/>
    <n v="4.7600000000000003E-2"/>
    <n v="3.3000000000000002E-2"/>
    <n v="0"/>
    <n v="0"/>
    <n v="20210329"/>
    <n v="175.64289999999997"/>
  </r>
  <r>
    <s v="BITS"/>
    <x v="1"/>
    <n v="1"/>
    <x v="5"/>
    <x v="0"/>
    <n v="126436"/>
    <s v="Gadus morhua"/>
    <n v="0"/>
    <n v="27.3611"/>
    <n v="15.074"/>
    <n v="11.782999999999999"/>
    <n v="10.249499999999999"/>
    <n v="8.0734999999999992"/>
    <n v="3.6789000000000001"/>
    <n v="0.87890000000000001"/>
    <n v="0.1915"/>
    <n v="5.9499999999999997E-2"/>
    <n v="0"/>
    <n v="20210329"/>
    <n v="77.349900000000005"/>
  </r>
  <r>
    <s v="BITS"/>
    <x v="1"/>
    <n v="1"/>
    <x v="5"/>
    <x v="1"/>
    <n v="126436"/>
    <s v="Gadus morhua"/>
    <n v="0"/>
    <n v="10.5228"/>
    <n v="58.414400000000001"/>
    <n v="145.67609999999999"/>
    <n v="93.258499999999998"/>
    <n v="56.4193"/>
    <n v="23.003299999999999"/>
    <n v="4.8178999999999998"/>
    <n v="0.61439999999999995"/>
    <n v="0.1333"/>
    <n v="0"/>
    <n v="20210329"/>
    <n v="392.86000000000007"/>
  </r>
  <r>
    <s v="BITS"/>
    <x v="1"/>
    <n v="1"/>
    <x v="5"/>
    <x v="4"/>
    <n v="126436"/>
    <s v="Gadus morhua"/>
    <n v="0"/>
    <n v="2.3313000000000001"/>
    <n v="31.961600000000001"/>
    <n v="174.00409999999999"/>
    <n v="126.5444"/>
    <n v="78.964200000000005"/>
    <n v="32.5398"/>
    <n v="5.4264000000000001"/>
    <n v="0.67679999999999996"/>
    <n v="0.14019999999999999"/>
    <n v="0"/>
    <n v="20210329"/>
    <n v="452.58880000000005"/>
  </r>
  <r>
    <s v="BITS"/>
    <x v="1"/>
    <n v="1"/>
    <x v="5"/>
    <x v="5"/>
    <n v="126436"/>
    <s v="Gadus morhua"/>
    <n v="0"/>
    <n v="6.25"/>
    <n v="20.662800000000001"/>
    <n v="186.191"/>
    <n v="165.10830000000001"/>
    <n v="123.8942"/>
    <n v="46.843600000000002"/>
    <n v="10.284599999999999"/>
    <n v="1.8369"/>
    <n v="0.17860000000000001"/>
    <n v="0"/>
    <n v="20210329"/>
    <n v="561.25"/>
  </r>
  <r>
    <s v="BITS"/>
    <x v="1"/>
    <n v="1"/>
    <x v="5"/>
    <x v="2"/>
    <n v="126436"/>
    <s v="Gadus morhua"/>
    <n v="0"/>
    <n v="13.683299999999999"/>
    <n v="4.3371000000000004"/>
    <n v="6.9370000000000003"/>
    <n v="8.5966000000000005"/>
    <n v="7.7137000000000002"/>
    <n v="4.3810000000000002"/>
    <n v="0.97819999999999996"/>
    <n v="0.2762"/>
    <n v="9.6799999999999997E-2"/>
    <n v="0"/>
    <n v="20210329"/>
    <n v="46.999900000000011"/>
  </r>
  <r>
    <s v="BITS"/>
    <x v="1"/>
    <n v="1"/>
    <x v="6"/>
    <x v="0"/>
    <n v="126436"/>
    <s v="Gadus morhua"/>
    <n v="0"/>
    <n v="0"/>
    <n v="0"/>
    <n v="1"/>
    <n v="0"/>
    <n v="0"/>
    <n v="0"/>
    <n v="0"/>
    <n v="0"/>
    <n v="0"/>
    <n v="0"/>
    <n v="20210329"/>
    <n v="1"/>
  </r>
  <r>
    <s v="BITS"/>
    <x v="1"/>
    <n v="1"/>
    <x v="6"/>
    <x v="1"/>
    <n v="126436"/>
    <s v="Gadus morhua"/>
    <n v="0"/>
    <n v="0"/>
    <n v="0.16669999999999999"/>
    <n v="6.1238000000000001"/>
    <n v="2.2094999999999998"/>
    <n v="0.5"/>
    <n v="0"/>
    <n v="0"/>
    <n v="0"/>
    <n v="0"/>
    <n v="0"/>
    <n v="20210329"/>
    <n v="9"/>
  </r>
  <r>
    <s v="BITS"/>
    <x v="1"/>
    <n v="1"/>
    <x v="6"/>
    <x v="4"/>
    <n v="126436"/>
    <s v="Gadus morhua"/>
    <n v="0"/>
    <n v="0"/>
    <n v="0"/>
    <n v="0"/>
    <n v="0"/>
    <n v="0"/>
    <n v="0"/>
    <n v="0"/>
    <n v="0"/>
    <n v="0"/>
    <n v="0"/>
    <n v="20210329"/>
    <n v="0"/>
  </r>
  <r>
    <s v="BITS"/>
    <x v="1"/>
    <n v="1"/>
    <x v="6"/>
    <x v="5"/>
    <n v="126436"/>
    <s v="Gadus morhua"/>
    <n v="0"/>
    <n v="0"/>
    <n v="0"/>
    <n v="0"/>
    <n v="0"/>
    <n v="0"/>
    <n v="0"/>
    <n v="0"/>
    <n v="0"/>
    <n v="0"/>
    <n v="0"/>
    <n v="20210329"/>
    <n v="0"/>
  </r>
  <r>
    <s v="BITS"/>
    <x v="1"/>
    <n v="1"/>
    <x v="7"/>
    <x v="0"/>
    <n v="126436"/>
    <s v="Gadus morhua"/>
    <n v="0"/>
    <n v="3.6"/>
    <n v="1.2796000000000001"/>
    <n v="4.0728999999999997"/>
    <n v="3.6452"/>
    <n v="2.6675"/>
    <n v="0.80100000000000005"/>
    <n v="0.1157"/>
    <n v="0"/>
    <n v="1.8200000000000001E-2"/>
    <n v="0"/>
    <n v="20210329"/>
    <n v="16.200099999999999"/>
  </r>
  <r>
    <s v="BITS"/>
    <x v="1"/>
    <n v="1"/>
    <x v="7"/>
    <x v="1"/>
    <n v="126436"/>
    <s v="Gadus morhua"/>
    <n v="0"/>
    <n v="0"/>
    <n v="1.3229"/>
    <n v="5.3677000000000001"/>
    <n v="4.1722000000000001"/>
    <n v="2.92"/>
    <n v="1.2347999999999999"/>
    <n v="0.1641"/>
    <n v="0"/>
    <n v="1.8200000000000001E-2"/>
    <n v="0"/>
    <n v="20210329"/>
    <n v="15.1999"/>
  </r>
  <r>
    <s v="BITS"/>
    <x v="1"/>
    <n v="1"/>
    <x v="7"/>
    <x v="4"/>
    <n v="126436"/>
    <s v="Gadus morhua"/>
    <n v="0"/>
    <n v="0"/>
    <n v="48.4726"/>
    <n v="286.1026"/>
    <n v="155.45769999999999"/>
    <n v="117.0508"/>
    <n v="34.126300000000001"/>
    <n v="7.0080999999999998"/>
    <n v="0.8"/>
    <n v="0.58179999999999998"/>
    <n v="0"/>
    <n v="20210329"/>
    <n v="649.59990000000005"/>
  </r>
  <r>
    <s v="BITS"/>
    <x v="1"/>
    <n v="1"/>
    <x v="7"/>
    <x v="5"/>
    <n v="126436"/>
    <s v="Gadus morhua"/>
    <n v="0"/>
    <n v="0"/>
    <n v="7.3578999999999999"/>
    <n v="50.912100000000002"/>
    <n v="34.494199999999999"/>
    <n v="25.611000000000001"/>
    <n v="8.5338999999999992"/>
    <n v="0.72729999999999995"/>
    <n v="0"/>
    <n v="0.36359999999999998"/>
    <n v="0"/>
    <n v="20210329"/>
    <n v="128"/>
  </r>
  <r>
    <s v="BITS"/>
    <x v="1"/>
    <n v="1"/>
    <x v="7"/>
    <x v="2"/>
    <n v="126436"/>
    <s v="Gadus morhua"/>
    <n v="0"/>
    <n v="0"/>
    <n v="0"/>
    <n v="0"/>
    <n v="0"/>
    <n v="0"/>
    <n v="0"/>
    <n v="0"/>
    <n v="0"/>
    <n v="0"/>
    <n v="0"/>
    <n v="20210329"/>
    <n v="0"/>
  </r>
  <r>
    <s v="BITS"/>
    <x v="2"/>
    <n v="1"/>
    <x v="0"/>
    <x v="0"/>
    <n v="126436"/>
    <s v="Gadus morhua"/>
    <n v="0"/>
    <n v="5.3144"/>
    <n v="10.855600000000001"/>
    <n v="0.63"/>
    <n v="1.24"/>
    <n v="0"/>
    <n v="0"/>
    <n v="0"/>
    <n v="0"/>
    <n v="0"/>
    <n v="0"/>
    <n v="20210329"/>
    <n v="18.04"/>
  </r>
  <r>
    <s v="BITS"/>
    <x v="2"/>
    <n v="1"/>
    <x v="0"/>
    <x v="1"/>
    <n v="126436"/>
    <s v="Gadus morhua"/>
    <n v="0"/>
    <n v="1.75"/>
    <n v="5.9249999999999998"/>
    <n v="2.3250000000000002"/>
    <n v="0"/>
    <n v="0"/>
    <n v="0"/>
    <n v="0"/>
    <n v="0"/>
    <n v="0"/>
    <n v="0"/>
    <n v="20210329"/>
    <n v="10"/>
  </r>
  <r>
    <s v="BITS"/>
    <x v="2"/>
    <n v="1"/>
    <x v="0"/>
    <x v="2"/>
    <n v="126436"/>
    <s v="Gadus morhua"/>
    <n v="0"/>
    <n v="4.2765000000000004"/>
    <n v="20.835000000000001"/>
    <n v="2.2730999999999999"/>
    <n v="27.9"/>
    <n v="12.1615"/>
    <n v="4.0537999999999998"/>
    <n v="0"/>
    <n v="0"/>
    <n v="0"/>
    <n v="0"/>
    <n v="20210329"/>
    <n v="71.499899999999997"/>
  </r>
  <r>
    <s v="BITS"/>
    <x v="2"/>
    <n v="1"/>
    <x v="1"/>
    <x v="3"/>
    <n v="126436"/>
    <s v="Gadus morhua"/>
    <n v="0"/>
    <n v="1.694"/>
    <n v="23.126000000000001"/>
    <n v="0"/>
    <n v="0"/>
    <n v="0"/>
    <n v="0.62"/>
    <n v="0"/>
    <n v="0"/>
    <n v="0"/>
    <n v="0"/>
    <n v="20210329"/>
    <n v="25.44"/>
  </r>
  <r>
    <s v="BITS"/>
    <x v="2"/>
    <n v="1"/>
    <x v="1"/>
    <x v="2"/>
    <n v="126436"/>
    <s v="Gadus morhua"/>
    <n v="0"/>
    <n v="4.5392999999999999"/>
    <n v="734.78869999999995"/>
    <n v="13.6937"/>
    <n v="17.4693"/>
    <n v="6.1132999999999997"/>
    <n v="0.70020000000000004"/>
    <n v="0.34899999999999998"/>
    <n v="0.1163"/>
    <n v="0"/>
    <n v="0"/>
    <n v="20210329"/>
    <n v="777.76980000000003"/>
  </r>
  <r>
    <s v="BITS"/>
    <x v="2"/>
    <n v="1"/>
    <x v="2"/>
    <x v="3"/>
    <n v="126436"/>
    <s v="Gadus morhua"/>
    <n v="0"/>
    <n v="10.2667"/>
    <n v="1381.8643999999999"/>
    <n v="18.944400000000002"/>
    <n v="489.52440000000001"/>
    <n v="146.73330000000001"/>
    <n v="10.333299999999999"/>
    <n v="2.0667"/>
    <n v="0"/>
    <n v="0"/>
    <n v="0"/>
    <n v="20210329"/>
    <n v="2059.7331999999997"/>
  </r>
  <r>
    <s v="BITS"/>
    <x v="2"/>
    <n v="1"/>
    <x v="2"/>
    <x v="2"/>
    <n v="126436"/>
    <s v="Gadus morhua"/>
    <n v="0"/>
    <n v="2.3045"/>
    <n v="5370.3814000000002"/>
    <n v="70.388599999999997"/>
    <n v="269.65589999999997"/>
    <n v="0"/>
    <n v="0"/>
    <n v="0"/>
    <n v="0"/>
    <n v="0"/>
    <n v="0"/>
    <n v="20210329"/>
    <n v="5712.7304000000004"/>
  </r>
  <r>
    <s v="BITS"/>
    <x v="2"/>
    <n v="1"/>
    <x v="3"/>
    <x v="0"/>
    <n v="126436"/>
    <s v="Gadus morhua"/>
    <n v="0"/>
    <n v="1.2846"/>
    <n v="900.98829999999998"/>
    <n v="633.46559999999999"/>
    <n v="147.1951"/>
    <n v="46.958399999999997"/>
    <n v="24.410399999999999"/>
    <n v="0"/>
    <n v="0"/>
    <n v="0"/>
    <n v="0"/>
    <n v="20210329"/>
    <n v="1754.3023999999998"/>
  </r>
  <r>
    <s v="BITS"/>
    <x v="2"/>
    <n v="1"/>
    <x v="3"/>
    <x v="1"/>
    <n v="126436"/>
    <s v="Gadus morhua"/>
    <n v="0"/>
    <n v="6"/>
    <n v="612.85239999999999"/>
    <n v="237.9119"/>
    <n v="26.835699999999999"/>
    <n v="4"/>
    <n v="0.4"/>
    <n v="0"/>
    <n v="0"/>
    <n v="0"/>
    <n v="0"/>
    <n v="20210329"/>
    <n v="888"/>
  </r>
  <r>
    <s v="BITS"/>
    <x v="2"/>
    <n v="1"/>
    <x v="3"/>
    <x v="3"/>
    <n v="126436"/>
    <s v="Gadus morhua"/>
    <n v="0"/>
    <n v="0"/>
    <n v="175.95060000000001"/>
    <n v="98.251999999999995"/>
    <n v="13.5664"/>
    <n v="2.8178000000000001"/>
    <n v="0.51400000000000001"/>
    <n v="0"/>
    <n v="0"/>
    <n v="0"/>
    <n v="0"/>
    <n v="20210329"/>
    <n v="291.10079999999999"/>
  </r>
  <r>
    <s v="BITS"/>
    <x v="2"/>
    <n v="1"/>
    <x v="3"/>
    <x v="2"/>
    <n v="126436"/>
    <s v="Gadus morhua"/>
    <n v="0"/>
    <n v="1.4564999999999999"/>
    <n v="578.54510000000005"/>
    <n v="397.03100000000001"/>
    <n v="57.665799999999997"/>
    <n v="9.7164999999999999"/>
    <n v="2.4409000000000001"/>
    <n v="0"/>
    <n v="0"/>
    <n v="0"/>
    <n v="0"/>
    <n v="20210329"/>
    <n v="1046.8558"/>
  </r>
  <r>
    <s v="BITS"/>
    <x v="2"/>
    <n v="1"/>
    <x v="4"/>
    <x v="0"/>
    <n v="126436"/>
    <s v="Gadus morhua"/>
    <n v="0"/>
    <n v="9.5351999999999997"/>
    <n v="447.28530000000001"/>
    <n v="316.42230000000001"/>
    <n v="127.8312"/>
    <n v="30.630299999999998"/>
    <n v="9.8268000000000004"/>
    <n v="0.59160000000000001"/>
    <n v="0.55049999999999999"/>
    <n v="0"/>
    <n v="0"/>
    <n v="20210329"/>
    <n v="942.67320000000007"/>
  </r>
  <r>
    <s v="BITS"/>
    <x v="2"/>
    <n v="1"/>
    <x v="4"/>
    <x v="1"/>
    <n v="126436"/>
    <s v="Gadus morhua"/>
    <n v="0"/>
    <n v="2.3816000000000002"/>
    <n v="183.44810000000001"/>
    <n v="204.4306"/>
    <n v="149.5301"/>
    <n v="37.7517"/>
    <n v="11.374000000000001"/>
    <n v="0.55600000000000005"/>
    <n v="0.56669999999999998"/>
    <n v="0"/>
    <n v="0"/>
    <n v="20210329"/>
    <n v="590.03880000000015"/>
  </r>
  <r>
    <s v="BITS"/>
    <x v="2"/>
    <n v="1"/>
    <x v="4"/>
    <x v="4"/>
    <n v="126436"/>
    <s v="Gadus morhua"/>
    <n v="0"/>
    <n v="0.4"/>
    <n v="5.3224"/>
    <n v="24.5792"/>
    <n v="41.188299999999998"/>
    <n v="15.286300000000001"/>
    <n v="5.7248000000000001"/>
    <n v="0.36559999999999998"/>
    <n v="0.33329999999999999"/>
    <n v="0"/>
    <n v="0"/>
    <n v="20210329"/>
    <n v="93.1999"/>
  </r>
  <r>
    <s v="BITS"/>
    <x v="2"/>
    <n v="1"/>
    <x v="4"/>
    <x v="2"/>
    <n v="126436"/>
    <s v="Gadus morhua"/>
    <n v="0"/>
    <n v="1.8125"/>
    <n v="12.184900000000001"/>
    <n v="67.873800000000003"/>
    <n v="74.9846"/>
    <n v="16.140899999999998"/>
    <n v="4.6177999999999999"/>
    <n v="0.27829999999999999"/>
    <n v="0.1071"/>
    <n v="0"/>
    <n v="0"/>
    <n v="20210329"/>
    <n v="177.99989999999997"/>
  </r>
  <r>
    <s v="BITS"/>
    <x v="2"/>
    <n v="1"/>
    <x v="5"/>
    <x v="0"/>
    <n v="126436"/>
    <s v="Gadus morhua"/>
    <n v="0"/>
    <n v="17.328499999999998"/>
    <n v="348.00360000000001"/>
    <n v="90.428700000000006"/>
    <n v="53.033700000000003"/>
    <n v="42.098999999999997"/>
    <n v="13.1731"/>
    <n v="4.9690000000000003"/>
    <n v="1.3137000000000001"/>
    <n v="0.23230000000000001"/>
    <n v="0"/>
    <n v="20210329"/>
    <n v="570.58160000000009"/>
  </r>
  <r>
    <s v="BITS"/>
    <x v="2"/>
    <n v="1"/>
    <x v="5"/>
    <x v="1"/>
    <n v="126436"/>
    <s v="Gadus morhua"/>
    <n v="0"/>
    <n v="136.74889999999999"/>
    <n v="780.34990000000005"/>
    <n v="138.809"/>
    <n v="96.480999999999995"/>
    <n v="87.689800000000005"/>
    <n v="29.976400000000002"/>
    <n v="14.345499999999999"/>
    <n v="9.6768000000000001"/>
    <n v="2.6951999999999998"/>
    <n v="0.2273"/>
    <n v="20210329"/>
    <n v="1296.9998000000001"/>
  </r>
  <r>
    <s v="BITS"/>
    <x v="2"/>
    <n v="1"/>
    <x v="5"/>
    <x v="4"/>
    <n v="126436"/>
    <s v="Gadus morhua"/>
    <n v="0"/>
    <n v="6.5799999999999997E-2"/>
    <n v="4.9983000000000004"/>
    <n v="5.5263"/>
    <n v="5.6334999999999997"/>
    <n v="4.6298000000000004"/>
    <n v="1.1456"/>
    <n v="0.36159999999999998"/>
    <n v="2.4199999999999999E-2"/>
    <n v="1.4800000000000001E-2"/>
    <n v="0"/>
    <n v="20210329"/>
    <n v="22.399899999999999"/>
  </r>
  <r>
    <s v="BITS"/>
    <x v="2"/>
    <n v="1"/>
    <x v="5"/>
    <x v="5"/>
    <n v="126436"/>
    <s v="Gadus morhua"/>
    <n v="0"/>
    <n v="0.25"/>
    <n v="0"/>
    <n v="0.16489999999999999"/>
    <n v="0.30430000000000001"/>
    <n v="0.27410000000000001"/>
    <n v="6.7999999999999996E-3"/>
    <n v="0"/>
    <n v="0"/>
    <n v="0"/>
    <n v="0"/>
    <n v="20210329"/>
    <n v="1.0001"/>
  </r>
  <r>
    <s v="BITS"/>
    <x v="2"/>
    <n v="1"/>
    <x v="5"/>
    <x v="6"/>
    <n v="126436"/>
    <s v="Gadus morhua"/>
    <n v="0"/>
    <n v="0"/>
    <n v="0"/>
    <n v="0"/>
    <n v="0"/>
    <n v="0"/>
    <n v="0"/>
    <n v="0"/>
    <n v="0"/>
    <n v="0"/>
    <n v="0"/>
    <n v="20210329"/>
    <n v="0"/>
  </r>
  <r>
    <s v="BITS"/>
    <x v="2"/>
    <n v="1"/>
    <x v="5"/>
    <x v="2"/>
    <n v="126436"/>
    <s v="Gadus morhua"/>
    <n v="0"/>
    <n v="1.4879"/>
    <n v="9.9525000000000006"/>
    <n v="11.1286"/>
    <n v="11.677099999999999"/>
    <n v="10.0014"/>
    <n v="2.4544999999999999"/>
    <n v="0.53139999999999998"/>
    <n v="2.5600000000000001E-2"/>
    <n v="7.4099999999999999E-2"/>
    <n v="0"/>
    <n v="20210329"/>
    <n v="47.333100000000002"/>
  </r>
  <r>
    <s v="BITS"/>
    <x v="2"/>
    <n v="1"/>
    <x v="6"/>
    <x v="1"/>
    <n v="126436"/>
    <s v="Gadus morhua"/>
    <n v="0"/>
    <n v="0.5"/>
    <n v="12"/>
    <n v="5.75"/>
    <n v="4.25"/>
    <n v="0.5"/>
    <n v="0"/>
    <n v="0"/>
    <n v="0"/>
    <n v="0"/>
    <n v="0"/>
    <n v="20210329"/>
    <n v="23"/>
  </r>
  <r>
    <s v="BITS"/>
    <x v="2"/>
    <n v="1"/>
    <x v="6"/>
    <x v="4"/>
    <n v="126436"/>
    <s v="Gadus morhua"/>
    <n v="0"/>
    <n v="0"/>
    <n v="36"/>
    <n v="18"/>
    <n v="0"/>
    <n v="0"/>
    <n v="0"/>
    <n v="0"/>
    <n v="0"/>
    <n v="0"/>
    <n v="0"/>
    <n v="20210329"/>
    <n v="54"/>
  </r>
  <r>
    <s v="BITS"/>
    <x v="2"/>
    <n v="1"/>
    <x v="7"/>
    <x v="0"/>
    <n v="126436"/>
    <s v="Gadus morhua"/>
    <n v="0"/>
    <n v="2.0832999999999999"/>
    <n v="6.9081000000000001"/>
    <n v="2.5163000000000002"/>
    <n v="2.3624999999999998"/>
    <n v="1.7464"/>
    <n v="0.25829999999999997"/>
    <n v="0"/>
    <n v="0"/>
    <n v="0"/>
    <n v="0"/>
    <n v="20210329"/>
    <n v="15.8749"/>
  </r>
  <r>
    <s v="BITS"/>
    <x v="2"/>
    <n v="1"/>
    <x v="7"/>
    <x v="1"/>
    <n v="126436"/>
    <s v="Gadus morhua"/>
    <n v="0"/>
    <n v="2.7732999999999999"/>
    <n v="30.173500000000001"/>
    <n v="8.0876999999999999"/>
    <n v="4.8343999999999996"/>
    <n v="2.0975999999999999"/>
    <n v="0.43330000000000002"/>
    <n v="0"/>
    <n v="0"/>
    <n v="0"/>
    <n v="0"/>
    <n v="20210329"/>
    <n v="48.399800000000006"/>
  </r>
  <r>
    <s v="BITS"/>
    <x v="2"/>
    <n v="1"/>
    <x v="7"/>
    <x v="4"/>
    <n v="126436"/>
    <s v="Gadus morhua"/>
    <n v="0"/>
    <n v="0.2"/>
    <n v="18.8446"/>
    <n v="3.0626000000000002"/>
    <n v="0.5"/>
    <n v="0.39290000000000003"/>
    <n v="0"/>
    <n v="0"/>
    <n v="0"/>
    <n v="0"/>
    <n v="0"/>
    <n v="20210329"/>
    <n v="23.0001"/>
  </r>
  <r>
    <s v="BITS"/>
    <x v="2"/>
    <n v="1"/>
    <x v="7"/>
    <x v="2"/>
    <n v="126436"/>
    <s v="Gadus morhua"/>
    <n v="0"/>
    <n v="0"/>
    <n v="0"/>
    <n v="0"/>
    <n v="0"/>
    <n v="0"/>
    <n v="0"/>
    <n v="0"/>
    <n v="0"/>
    <n v="0"/>
    <n v="0"/>
    <n v="20210329"/>
    <n v="0"/>
  </r>
  <r>
    <s v="BITS"/>
    <x v="3"/>
    <n v="1"/>
    <x v="0"/>
    <x v="0"/>
    <n v="126436"/>
    <s v="Gadus morhua"/>
    <n v="0"/>
    <n v="0.36670000000000003"/>
    <n v="0.36670000000000003"/>
    <n v="1.0333000000000001"/>
    <n v="3.1"/>
    <n v="0"/>
    <n v="0"/>
    <n v="0.51670000000000005"/>
    <n v="0"/>
    <n v="0"/>
    <n v="0"/>
    <n v="20210325"/>
    <n v="5.3834"/>
  </r>
  <r>
    <s v="BITS"/>
    <x v="3"/>
    <n v="1"/>
    <x v="0"/>
    <x v="1"/>
    <n v="126436"/>
    <s v="Gadus morhua"/>
    <n v="0"/>
    <n v="0"/>
    <n v="3.3"/>
    <n v="0"/>
    <n v="0"/>
    <n v="0"/>
    <n v="0"/>
    <n v="0"/>
    <n v="0"/>
    <n v="0"/>
    <n v="0"/>
    <n v="20210325"/>
    <n v="3.3"/>
  </r>
  <r>
    <s v="BITS"/>
    <x v="3"/>
    <n v="1"/>
    <x v="0"/>
    <x v="2"/>
    <n v="126436"/>
    <s v="Gadus morhua"/>
    <n v="0"/>
    <n v="0"/>
    <n v="2.9315000000000002"/>
    <n v="3.8351999999999999"/>
    <n v="2.4110999999999998"/>
    <n v="1.3777999999999999"/>
    <n v="0"/>
    <n v="0"/>
    <n v="0"/>
    <n v="0"/>
    <n v="0"/>
    <n v="20210325"/>
    <n v="10.5556"/>
  </r>
  <r>
    <s v="BITS"/>
    <x v="3"/>
    <n v="1"/>
    <x v="1"/>
    <x v="3"/>
    <n v="126436"/>
    <s v="Gadus morhua"/>
    <n v="0"/>
    <n v="0.28810000000000002"/>
    <n v="1.3997999999999999"/>
    <n v="2.6997"/>
    <n v="0.23949999999999999"/>
    <n v="0.93"/>
    <n v="0"/>
    <n v="0"/>
    <n v="0"/>
    <n v="0"/>
    <n v="0"/>
    <n v="20210325"/>
    <n v="5.5570999999999993"/>
  </r>
  <r>
    <s v="BITS"/>
    <x v="3"/>
    <n v="1"/>
    <x v="1"/>
    <x v="2"/>
    <n v="126436"/>
    <s v="Gadus morhua"/>
    <n v="0"/>
    <n v="2.8658000000000001"/>
    <n v="97.535700000000006"/>
    <n v="1697.4685999999999"/>
    <n v="33.086199999999998"/>
    <n v="6.1746999999999996"/>
    <n v="0.16320000000000001"/>
    <n v="0"/>
    <n v="0"/>
    <n v="0"/>
    <n v="0"/>
    <n v="20210325"/>
    <n v="1837.2941999999998"/>
  </r>
  <r>
    <s v="BITS"/>
    <x v="3"/>
    <n v="1"/>
    <x v="2"/>
    <x v="3"/>
    <n v="126436"/>
    <s v="Gadus morhua"/>
    <n v="0"/>
    <n v="0.66"/>
    <n v="107.0741"/>
    <n v="1552.7879"/>
    <n v="103.3185"/>
    <n v="21.438400000000001"/>
    <n v="0"/>
    <n v="0"/>
    <n v="0"/>
    <n v="0"/>
    <n v="0"/>
    <n v="20210325"/>
    <n v="1785.2789"/>
  </r>
  <r>
    <s v="BITS"/>
    <x v="3"/>
    <n v="1"/>
    <x v="2"/>
    <x v="2"/>
    <n v="126436"/>
    <s v="Gadus morhua"/>
    <n v="0"/>
    <n v="0"/>
    <n v="1.9039999999999999"/>
    <n v="8.5790000000000006"/>
    <n v="20.573699999999999"/>
    <n v="23.043299999999999"/>
    <n v="4.34"/>
    <n v="0"/>
    <n v="0"/>
    <n v="0"/>
    <n v="0"/>
    <n v="20210325"/>
    <n v="58.44"/>
  </r>
  <r>
    <s v="BITS"/>
    <x v="3"/>
    <n v="1"/>
    <x v="3"/>
    <x v="0"/>
    <n v="126436"/>
    <s v="Gadus morhua"/>
    <n v="0"/>
    <n v="3.7241"/>
    <n v="131.03210000000001"/>
    <n v="552.24480000000005"/>
    <n v="166.20939999999999"/>
    <n v="55.540500000000002"/>
    <n v="8.9792000000000005"/>
    <n v="0"/>
    <n v="0"/>
    <n v="0"/>
    <n v="0"/>
    <n v="20210325"/>
    <n v="917.73009999999999"/>
  </r>
  <r>
    <s v="BITS"/>
    <x v="3"/>
    <n v="1"/>
    <x v="3"/>
    <x v="3"/>
    <n v="126436"/>
    <s v="Gadus morhua"/>
    <n v="0"/>
    <n v="1.6667000000000001"/>
    <n v="13.933299999999999"/>
    <n v="148.47329999999999"/>
    <n v="48.500700000000002"/>
    <n v="15.866099999999999"/>
    <n v="2.8416999999999999"/>
    <n v="0"/>
    <n v="0"/>
    <n v="0"/>
    <n v="0"/>
    <n v="20210325"/>
    <n v="231.28179999999998"/>
  </r>
  <r>
    <s v="BITS"/>
    <x v="3"/>
    <n v="1"/>
    <x v="3"/>
    <x v="2"/>
    <n v="126436"/>
    <s v="Gadus morhua"/>
    <n v="0"/>
    <n v="2.2667000000000002"/>
    <n v="19.164999999999999"/>
    <n v="132.95169999999999"/>
    <n v="40.036499999999997"/>
    <n v="11.2326"/>
    <n v="2.2099000000000002"/>
    <n v="0"/>
    <n v="0"/>
    <n v="0"/>
    <n v="0"/>
    <n v="20210325"/>
    <n v="207.86239999999998"/>
  </r>
  <r>
    <s v="BITS"/>
    <x v="3"/>
    <n v="1"/>
    <x v="4"/>
    <x v="0"/>
    <n v="126436"/>
    <s v="Gadus morhua"/>
    <n v="0"/>
    <n v="13.0831"/>
    <n v="427.95870000000002"/>
    <n v="142.69220000000001"/>
    <n v="31.657599999999999"/>
    <n v="5.0620000000000003"/>
    <n v="0.67010000000000003"/>
    <n v="0.40970000000000001"/>
    <n v="0"/>
    <n v="0"/>
    <n v="0"/>
    <n v="20210325"/>
    <n v="621.53340000000014"/>
  </r>
  <r>
    <s v="BITS"/>
    <x v="3"/>
    <n v="1"/>
    <x v="4"/>
    <x v="1"/>
    <n v="126436"/>
    <s v="Gadus morhua"/>
    <n v="0"/>
    <n v="6.3727999999999998"/>
    <n v="329.96440000000001"/>
    <n v="342.77339999999998"/>
    <n v="89.283799999999999"/>
    <n v="12.092599999999999"/>
    <n v="1.5599000000000001"/>
    <n v="0.77010000000000001"/>
    <n v="0"/>
    <n v="0"/>
    <n v="0"/>
    <n v="20210325"/>
    <n v="782.81699999999989"/>
  </r>
  <r>
    <s v="BITS"/>
    <x v="3"/>
    <n v="1"/>
    <x v="4"/>
    <x v="4"/>
    <n v="126436"/>
    <s v="Gadus morhua"/>
    <n v="0"/>
    <n v="0.95279999999999998"/>
    <n v="189.3801"/>
    <n v="418.15339999999998"/>
    <n v="151.38030000000001"/>
    <n v="22.756399999999999"/>
    <n v="2.7641"/>
    <n v="1.9460999999999999"/>
    <n v="0"/>
    <n v="0"/>
    <n v="0"/>
    <n v="20210325"/>
    <n v="787.33320000000003"/>
  </r>
  <r>
    <s v="BITS"/>
    <x v="3"/>
    <n v="1"/>
    <x v="4"/>
    <x v="2"/>
    <n v="126436"/>
    <s v="Gadus morhua"/>
    <n v="0"/>
    <n v="1"/>
    <n v="5.2889999999999997"/>
    <n v="30.590800000000002"/>
    <n v="11.5898"/>
    <n v="1.6483000000000001"/>
    <n v="0.18129999999999999"/>
    <n v="7.5800000000000006E-2"/>
    <n v="0"/>
    <n v="0"/>
    <n v="0"/>
    <n v="20210325"/>
    <n v="50.375"/>
  </r>
  <r>
    <s v="BITS"/>
    <x v="3"/>
    <n v="1"/>
    <x v="5"/>
    <x v="0"/>
    <n v="126436"/>
    <s v="Gadus morhua"/>
    <n v="0"/>
    <n v="3.85"/>
    <n v="175.48939999999999"/>
    <n v="210.661"/>
    <n v="24.0166"/>
    <n v="3.8744999999999998"/>
    <n v="0.42320000000000002"/>
    <n v="0.05"/>
    <n v="0"/>
    <n v="0"/>
    <n v="0"/>
    <n v="20210325"/>
    <n v="418.36470000000003"/>
  </r>
  <r>
    <s v="BITS"/>
    <x v="3"/>
    <n v="1"/>
    <x v="5"/>
    <x v="1"/>
    <n v="126436"/>
    <s v="Gadus morhua"/>
    <n v="0"/>
    <n v="9.7543000000000006"/>
    <n v="447.71899999999999"/>
    <n v="263.3109"/>
    <n v="28.409099999999999"/>
    <n v="3.7147000000000001"/>
    <n v="1.8989"/>
    <n v="0.12379999999999999"/>
    <n v="0"/>
    <n v="0"/>
    <n v="0"/>
    <n v="20210325"/>
    <n v="754.9307"/>
  </r>
  <r>
    <s v="BITS"/>
    <x v="3"/>
    <n v="1"/>
    <x v="5"/>
    <x v="4"/>
    <n v="126436"/>
    <s v="Gadus morhua"/>
    <n v="0"/>
    <n v="0.40560000000000002"/>
    <n v="227.1112"/>
    <n v="332.1628"/>
    <n v="42.510199999999998"/>
    <n v="5.1497000000000002"/>
    <n v="1.1218999999999999"/>
    <n v="0.15379999999999999"/>
    <n v="0"/>
    <n v="0"/>
    <n v="0"/>
    <n v="20210325"/>
    <n v="608.61519999999996"/>
  </r>
  <r>
    <s v="BITS"/>
    <x v="3"/>
    <n v="1"/>
    <x v="5"/>
    <x v="5"/>
    <n v="126436"/>
    <s v="Gadus morhua"/>
    <n v="0"/>
    <n v="0"/>
    <n v="1.837"/>
    <n v="4.3921000000000001"/>
    <n v="1.6324000000000001"/>
    <n v="8.8499999999999995E-2"/>
    <n v="0"/>
    <n v="0.05"/>
    <n v="0"/>
    <n v="0"/>
    <n v="0"/>
    <n v="20210325"/>
    <n v="7.9999999999999991"/>
  </r>
  <r>
    <s v="BITS"/>
    <x v="3"/>
    <n v="1"/>
    <x v="5"/>
    <x v="6"/>
    <n v="126436"/>
    <s v="Gadus morhua"/>
    <n v="0"/>
    <n v="0"/>
    <n v="0"/>
    <n v="0"/>
    <n v="0"/>
    <n v="0"/>
    <n v="0"/>
    <n v="0"/>
    <n v="0"/>
    <n v="0"/>
    <n v="0"/>
    <n v="20210325"/>
    <n v="0"/>
  </r>
  <r>
    <s v="BITS"/>
    <x v="3"/>
    <n v="1"/>
    <x v="5"/>
    <x v="2"/>
    <n v="126436"/>
    <s v="Gadus morhua"/>
    <n v="0"/>
    <n v="0.54769999999999996"/>
    <n v="33.043199999999999"/>
    <n v="72.622200000000007"/>
    <n v="17.3993"/>
    <n v="2.2017000000000002"/>
    <n v="0.69699999999999995"/>
    <n v="8.8800000000000004E-2"/>
    <n v="0"/>
    <n v="0"/>
    <n v="0"/>
    <n v="20210325"/>
    <n v="126.59990000000001"/>
  </r>
  <r>
    <s v="BITS"/>
    <x v="3"/>
    <n v="1"/>
    <x v="6"/>
    <x v="1"/>
    <n v="126436"/>
    <s v="Gadus morhua"/>
    <n v="0"/>
    <n v="0"/>
    <n v="10.119"/>
    <n v="3.7381000000000002"/>
    <n v="0"/>
    <n v="0"/>
    <n v="0"/>
    <n v="0"/>
    <n v="0"/>
    <n v="0"/>
    <n v="0"/>
    <n v="20210325"/>
    <n v="13.857099999999999"/>
  </r>
  <r>
    <s v="BITS"/>
    <x v="3"/>
    <n v="1"/>
    <x v="6"/>
    <x v="4"/>
    <n v="126436"/>
    <s v="Gadus morhua"/>
    <n v="0"/>
    <n v="0"/>
    <n v="0"/>
    <n v="0"/>
    <n v="0"/>
    <n v="0"/>
    <n v="0"/>
    <n v="0"/>
    <n v="0"/>
    <n v="0"/>
    <n v="0"/>
    <n v="20210325"/>
    <n v="0"/>
  </r>
  <r>
    <s v="BITS"/>
    <x v="3"/>
    <n v="1"/>
    <x v="7"/>
    <x v="0"/>
    <n v="126436"/>
    <s v="Gadus morhua"/>
    <n v="0"/>
    <n v="0"/>
    <n v="20.937799999999999"/>
    <n v="20.261600000000001"/>
    <n v="5.4034000000000004"/>
    <n v="0.6472"/>
    <n v="0.25"/>
    <n v="0.25"/>
    <n v="0"/>
    <n v="0"/>
    <n v="0"/>
    <n v="20210325"/>
    <n v="47.749999999999993"/>
  </r>
  <r>
    <s v="BITS"/>
    <x v="3"/>
    <n v="1"/>
    <x v="7"/>
    <x v="1"/>
    <n v="126436"/>
    <s v="Gadus morhua"/>
    <n v="0"/>
    <n v="0"/>
    <n v="34.598500000000001"/>
    <n v="20.752800000000001"/>
    <n v="3.0518999999999998"/>
    <n v="1.3746"/>
    <n v="0.44440000000000002"/>
    <n v="0"/>
    <n v="0"/>
    <n v="0"/>
    <n v="0"/>
    <n v="20210325"/>
    <n v="60.222200000000001"/>
  </r>
  <r>
    <s v="BITS"/>
    <x v="3"/>
    <n v="1"/>
    <x v="7"/>
    <x v="4"/>
    <n v="126436"/>
    <s v="Gadus morhua"/>
    <n v="0"/>
    <n v="0"/>
    <n v="14.0084"/>
    <n v="8.1692999999999998"/>
    <n v="0.33879999999999999"/>
    <n v="5.4899999999999997E-2"/>
    <n v="0"/>
    <n v="0"/>
    <n v="0"/>
    <n v="0"/>
    <n v="0"/>
    <n v="20210325"/>
    <n v="22.571400000000001"/>
  </r>
  <r>
    <s v="BITS"/>
    <x v="3"/>
    <n v="1"/>
    <x v="7"/>
    <x v="5"/>
    <n v="126436"/>
    <s v="Gadus morhua"/>
    <n v="0"/>
    <n v="0"/>
    <n v="0"/>
    <n v="0"/>
    <n v="0"/>
    <n v="0"/>
    <n v="0"/>
    <n v="0"/>
    <n v="0"/>
    <n v="0"/>
    <n v="0"/>
    <n v="20210325"/>
    <n v="0"/>
  </r>
  <r>
    <s v="BITS"/>
    <x v="3"/>
    <n v="1"/>
    <x v="7"/>
    <x v="2"/>
    <n v="126436"/>
    <s v="Gadus morhua"/>
    <n v="0"/>
    <n v="0.5"/>
    <n v="6.1609999999999996"/>
    <n v="12.3118"/>
    <n v="4.0624000000000002"/>
    <n v="0.4647"/>
    <n v="0"/>
    <n v="0"/>
    <n v="0"/>
    <n v="0"/>
    <n v="0"/>
    <n v="20210325"/>
    <n v="23.4999"/>
  </r>
  <r>
    <s v="BITS"/>
    <x v="4"/>
    <n v="1"/>
    <x v="0"/>
    <x v="0"/>
    <n v="126436"/>
    <s v="Gadus morhua"/>
    <n v="0"/>
    <n v="19.2089"/>
    <n v="2.7911000000000001"/>
    <n v="0"/>
    <n v="0"/>
    <n v="0"/>
    <n v="0"/>
    <n v="0"/>
    <n v="0"/>
    <n v="0"/>
    <n v="0"/>
    <n v="20210325"/>
    <n v="22"/>
  </r>
  <r>
    <s v="BITS"/>
    <x v="4"/>
    <n v="1"/>
    <x v="0"/>
    <x v="1"/>
    <n v="126436"/>
    <s v="Gadus morhua"/>
    <n v="0"/>
    <n v="34.130200000000002"/>
    <n v="9.2197999999999993"/>
    <n v="0"/>
    <n v="0"/>
    <n v="0"/>
    <n v="0"/>
    <n v="0"/>
    <n v="0"/>
    <n v="0"/>
    <n v="0"/>
    <n v="20210325"/>
    <n v="43.35"/>
  </r>
  <r>
    <s v="BITS"/>
    <x v="4"/>
    <n v="1"/>
    <x v="0"/>
    <x v="2"/>
    <n v="126436"/>
    <s v="Gadus morhua"/>
    <n v="0"/>
    <n v="21.050999999999998"/>
    <n v="9.2690000000000001"/>
    <n v="0.62"/>
    <n v="9.61"/>
    <n v="0.20669999999999999"/>
    <n v="3.2033"/>
    <n v="0"/>
    <n v="1.0333000000000001"/>
    <n v="0"/>
    <n v="0"/>
    <n v="20210325"/>
    <n v="44.993299999999991"/>
  </r>
  <r>
    <s v="BITS"/>
    <x v="4"/>
    <n v="1"/>
    <x v="1"/>
    <x v="3"/>
    <n v="126436"/>
    <s v="Gadus morhua"/>
    <n v="0"/>
    <n v="13.97"/>
    <n v="9.6588999999999992"/>
    <n v="3.0792000000000002"/>
    <n v="82.230699999999999"/>
    <n v="0.91049999999999998"/>
    <n v="7.9399999999999998E-2"/>
    <n v="0"/>
    <n v="0"/>
    <n v="0"/>
    <n v="0.20669999999999999"/>
    <n v="20210325"/>
    <n v="110.1354"/>
  </r>
  <r>
    <s v="BITS"/>
    <x v="4"/>
    <n v="1"/>
    <x v="1"/>
    <x v="2"/>
    <n v="126436"/>
    <s v="Gadus morhua"/>
    <n v="0"/>
    <n v="6.6314000000000002"/>
    <n v="3.0893000000000002"/>
    <n v="3.1415000000000002"/>
    <n v="185.1112"/>
    <n v="2.5365000000000002"/>
    <n v="1.4079999999999999"/>
    <n v="0.11070000000000001"/>
    <n v="0"/>
    <n v="0"/>
    <n v="0"/>
    <n v="20210325"/>
    <n v="202.02859999999998"/>
  </r>
  <r>
    <s v="BITS"/>
    <x v="4"/>
    <n v="1"/>
    <x v="2"/>
    <x v="3"/>
    <n v="126436"/>
    <s v="Gadus morhua"/>
    <n v="0"/>
    <n v="35.415999999999997"/>
    <n v="150.57230000000001"/>
    <n v="59.716500000000003"/>
    <n v="413.78870000000001"/>
    <n v="49.435600000000001"/>
    <n v="174.74510000000001"/>
    <n v="20.837800000000001"/>
    <n v="13.058400000000001"/>
    <n v="13.3362"/>
    <n v="0"/>
    <n v="20210325"/>
    <n v="930.90660000000003"/>
  </r>
  <r>
    <s v="BITS"/>
    <x v="4"/>
    <n v="1"/>
    <x v="2"/>
    <x v="2"/>
    <n v="126436"/>
    <s v="Gadus morhua"/>
    <n v="0"/>
    <n v="4.2789999999999999"/>
    <n v="67.102000000000004"/>
    <n v="302.06360000000001"/>
    <n v="3185.069"/>
    <n v="189.3263"/>
    <n v="104.91330000000001"/>
    <n v="3.0148000000000001"/>
    <n v="0"/>
    <n v="0"/>
    <n v="0"/>
    <n v="20210325"/>
    <n v="3855.7680000000005"/>
  </r>
  <r>
    <s v="BITS"/>
    <x v="4"/>
    <n v="1"/>
    <x v="3"/>
    <x v="0"/>
    <n v="126436"/>
    <s v="Gadus morhua"/>
    <n v="0"/>
    <n v="81.073899999999995"/>
    <n v="263.81700000000001"/>
    <n v="171.82599999999999"/>
    <n v="122.2017"/>
    <n v="1.8123"/>
    <n v="1.7031000000000001"/>
    <n v="1.4964999999999999"/>
    <n v="0.28610000000000002"/>
    <n v="0"/>
    <n v="0"/>
    <n v="20210325"/>
    <n v="644.21659999999997"/>
  </r>
  <r>
    <s v="BITS"/>
    <x v="4"/>
    <n v="1"/>
    <x v="3"/>
    <x v="1"/>
    <n v="126436"/>
    <s v="Gadus morhua"/>
    <n v="0"/>
    <n v="47.431699999999999"/>
    <n v="143.8142"/>
    <n v="132.6806"/>
    <n v="66.983500000000006"/>
    <n v="1.24"/>
    <n v="1.55"/>
    <n v="0"/>
    <n v="0"/>
    <n v="0"/>
    <n v="0"/>
    <n v="20210325"/>
    <n v="393.70000000000005"/>
  </r>
  <r>
    <s v="BITS"/>
    <x v="4"/>
    <n v="1"/>
    <x v="3"/>
    <x v="3"/>
    <n v="126436"/>
    <s v="Gadus morhua"/>
    <n v="0"/>
    <n v="41.1051"/>
    <n v="14.4681"/>
    <n v="31.776399999999999"/>
    <n v="81.156700000000001"/>
    <n v="3.1619999999999999"/>
    <n v="1.7050000000000001"/>
    <n v="3.0310999999999999"/>
    <n v="1.1022000000000001"/>
    <n v="0"/>
    <n v="0"/>
    <n v="20210325"/>
    <n v="177.50660000000005"/>
  </r>
  <r>
    <s v="BITS"/>
    <x v="4"/>
    <n v="1"/>
    <x v="3"/>
    <x v="2"/>
    <n v="126436"/>
    <s v="Gadus morhua"/>
    <n v="0"/>
    <n v="162.0573"/>
    <n v="230.79300000000001"/>
    <n v="116.2574"/>
    <n v="75.343900000000005"/>
    <n v="1.5474000000000001"/>
    <n v="0.77939999999999998"/>
    <n v="1.0206"/>
    <n v="0.28239999999999998"/>
    <n v="0"/>
    <n v="0"/>
    <n v="20210325"/>
    <n v="588.08140000000003"/>
  </r>
  <r>
    <s v="BITS"/>
    <x v="4"/>
    <n v="1"/>
    <x v="4"/>
    <x v="0"/>
    <n v="126436"/>
    <s v="Gadus morhua"/>
    <n v="0"/>
    <n v="48.702399999999997"/>
    <n v="198.93469999999999"/>
    <n v="204.6413"/>
    <n v="52.533200000000001"/>
    <n v="4.9824000000000002"/>
    <n v="0.1414"/>
    <n v="0.1857"/>
    <n v="0"/>
    <n v="0"/>
    <n v="0"/>
    <n v="20210325"/>
    <n v="510.12109999999996"/>
  </r>
  <r>
    <s v="BITS"/>
    <x v="4"/>
    <n v="1"/>
    <x v="4"/>
    <x v="1"/>
    <n v="126436"/>
    <s v="Gadus morhua"/>
    <n v="0"/>
    <n v="29.633199999999999"/>
    <n v="252.25370000000001"/>
    <n v="390.66860000000003"/>
    <n v="107.39100000000001"/>
    <n v="10.7255"/>
    <n v="0.42249999999999999"/>
    <n v="0.3513"/>
    <n v="0"/>
    <n v="0"/>
    <n v="0"/>
    <n v="20210325"/>
    <n v="791.44580000000008"/>
  </r>
  <r>
    <s v="BITS"/>
    <x v="4"/>
    <n v="1"/>
    <x v="4"/>
    <x v="4"/>
    <n v="126436"/>
    <s v="Gadus morhua"/>
    <n v="0"/>
    <n v="16.099399999999999"/>
    <n v="270.43540000000002"/>
    <n v="620.65790000000004"/>
    <n v="196.97550000000001"/>
    <n v="21.0716"/>
    <n v="0.6825"/>
    <n v="0.93479999999999996"/>
    <n v="0"/>
    <n v="0"/>
    <n v="0"/>
    <n v="20210325"/>
    <n v="1126.8570999999999"/>
  </r>
  <r>
    <s v="BITS"/>
    <x v="4"/>
    <n v="1"/>
    <x v="4"/>
    <x v="2"/>
    <n v="126436"/>
    <s v="Gadus morhua"/>
    <n v="0"/>
    <n v="23.886299999999999"/>
    <n v="168.54660000000001"/>
    <n v="127.89579999999999"/>
    <n v="30.5503"/>
    <n v="3.5442"/>
    <n v="0.22969999999999999"/>
    <n v="0.1706"/>
    <n v="0"/>
    <n v="0"/>
    <n v="0"/>
    <n v="20210325"/>
    <n v="354.82349999999997"/>
  </r>
  <r>
    <s v="BITS"/>
    <x v="4"/>
    <n v="1"/>
    <x v="5"/>
    <x v="0"/>
    <n v="126436"/>
    <s v="Gadus morhua"/>
    <n v="0"/>
    <n v="26.258600000000001"/>
    <n v="106.0111"/>
    <n v="341.90179999999998"/>
    <n v="233.08690000000001"/>
    <n v="53.7667"/>
    <n v="0.125"/>
    <n v="0"/>
    <n v="0"/>
    <n v="0"/>
    <n v="0"/>
    <n v="20210325"/>
    <n v="761.15009999999995"/>
  </r>
  <r>
    <s v="BITS"/>
    <x v="4"/>
    <n v="1"/>
    <x v="5"/>
    <x v="1"/>
    <n v="126436"/>
    <s v="Gadus morhua"/>
    <n v="0"/>
    <n v="10.0718"/>
    <n v="47.804299999999998"/>
    <n v="152.42660000000001"/>
    <n v="90.791499999999999"/>
    <n v="18.530799999999999"/>
    <n v="0.15379999999999999"/>
    <n v="0"/>
    <n v="0.15379999999999999"/>
    <n v="0"/>
    <n v="0"/>
    <n v="20210325"/>
    <n v="319.93259999999998"/>
  </r>
  <r>
    <s v="BITS"/>
    <x v="4"/>
    <n v="1"/>
    <x v="5"/>
    <x v="4"/>
    <n v="126436"/>
    <s v="Gadus morhua"/>
    <n v="0"/>
    <n v="0"/>
    <n v="4.1054000000000004"/>
    <n v="16.1831"/>
    <n v="9.5759000000000007"/>
    <n v="1.6758999999999999"/>
    <n v="0"/>
    <n v="0"/>
    <n v="0"/>
    <n v="0"/>
    <n v="0"/>
    <n v="20210325"/>
    <n v="31.540299999999998"/>
  </r>
  <r>
    <s v="BITS"/>
    <x v="4"/>
    <n v="1"/>
    <x v="5"/>
    <x v="5"/>
    <n v="126436"/>
    <s v="Gadus morhua"/>
    <n v="0"/>
    <n v="0"/>
    <n v="0"/>
    <n v="0"/>
    <n v="0"/>
    <n v="0"/>
    <n v="0"/>
    <n v="0"/>
    <n v="0"/>
    <n v="0"/>
    <n v="0"/>
    <n v="20210325"/>
    <n v="0"/>
  </r>
  <r>
    <s v="BITS"/>
    <x v="4"/>
    <n v="1"/>
    <x v="5"/>
    <x v="6"/>
    <n v="126436"/>
    <s v="Gadus morhua"/>
    <n v="0"/>
    <n v="0"/>
    <n v="0"/>
    <n v="0"/>
    <n v="0"/>
    <n v="0"/>
    <n v="0"/>
    <n v="0"/>
    <n v="0"/>
    <n v="0"/>
    <n v="0"/>
    <n v="20210325"/>
    <n v="0"/>
  </r>
  <r>
    <s v="BITS"/>
    <x v="4"/>
    <n v="1"/>
    <x v="5"/>
    <x v="2"/>
    <n v="126436"/>
    <s v="Gadus morhua"/>
    <n v="0"/>
    <n v="1.2111000000000001"/>
    <n v="22.790099999999999"/>
    <n v="64.401899999999998"/>
    <n v="43.569699999999997"/>
    <n v="12.027200000000001"/>
    <n v="0.16669999999999999"/>
    <n v="0"/>
    <n v="5.5599999999999997E-2"/>
    <n v="0"/>
    <n v="0"/>
    <n v="20210325"/>
    <n v="144.22229999999999"/>
  </r>
  <r>
    <s v="BITS"/>
    <x v="4"/>
    <n v="1"/>
    <x v="6"/>
    <x v="0"/>
    <n v="126436"/>
    <s v="Gadus morhua"/>
    <n v="0"/>
    <n v="3"/>
    <n v="2.625"/>
    <n v="1.875"/>
    <n v="0"/>
    <n v="0"/>
    <n v="0"/>
    <n v="0"/>
    <n v="0"/>
    <n v="0"/>
    <n v="0"/>
    <n v="20210325"/>
    <n v="7.5"/>
  </r>
  <r>
    <s v="BITS"/>
    <x v="4"/>
    <n v="1"/>
    <x v="6"/>
    <x v="1"/>
    <n v="126436"/>
    <s v="Gadus morhua"/>
    <n v="0"/>
    <n v="1.5713999999999999"/>
    <n v="3.3571"/>
    <n v="8.3571000000000009"/>
    <n v="1.5713999999999999"/>
    <n v="0"/>
    <n v="0"/>
    <n v="0"/>
    <n v="0"/>
    <n v="0"/>
    <n v="0"/>
    <n v="20210325"/>
    <n v="14.857000000000001"/>
  </r>
  <r>
    <s v="BITS"/>
    <x v="4"/>
    <n v="1"/>
    <x v="6"/>
    <x v="5"/>
    <n v="126436"/>
    <s v="Gadus morhua"/>
    <n v="0"/>
    <n v="0"/>
    <n v="0"/>
    <n v="0"/>
    <n v="0"/>
    <n v="0"/>
    <n v="0"/>
    <n v="0"/>
    <n v="0"/>
    <n v="0"/>
    <n v="0"/>
    <n v="20210325"/>
    <n v="0"/>
  </r>
  <r>
    <s v="BITS"/>
    <x v="4"/>
    <n v="1"/>
    <x v="7"/>
    <x v="0"/>
    <n v="126436"/>
    <s v="Gadus morhua"/>
    <n v="0"/>
    <n v="5.1429"/>
    <n v="7.6662999999999997"/>
    <n v="17.572500000000002"/>
    <n v="3.1335000000000002"/>
    <n v="0.1991"/>
    <n v="0"/>
    <n v="0"/>
    <n v="0"/>
    <n v="0"/>
    <n v="0"/>
    <n v="20210325"/>
    <n v="33.714300000000001"/>
  </r>
  <r>
    <s v="BITS"/>
    <x v="4"/>
    <n v="1"/>
    <x v="7"/>
    <x v="1"/>
    <n v="126436"/>
    <s v="Gadus morhua"/>
    <n v="0"/>
    <n v="0.22220000000000001"/>
    <n v="3.4373"/>
    <n v="16.671600000000002"/>
    <n v="3.5493000000000001"/>
    <n v="0.78620000000000001"/>
    <n v="0"/>
    <n v="0"/>
    <n v="0"/>
    <n v="0"/>
    <n v="0"/>
    <n v="20210325"/>
    <n v="24.666600000000003"/>
  </r>
  <r>
    <s v="BITS"/>
    <x v="4"/>
    <n v="1"/>
    <x v="7"/>
    <x v="4"/>
    <n v="126436"/>
    <s v="Gadus morhua"/>
    <n v="0"/>
    <n v="0"/>
    <n v="7.0699999999999999E-2"/>
    <n v="0.1515"/>
    <n v="0"/>
    <n v="0"/>
    <n v="0"/>
    <n v="0"/>
    <n v="0"/>
    <n v="0"/>
    <n v="0"/>
    <n v="20210325"/>
    <n v="0.22220000000000001"/>
  </r>
  <r>
    <s v="BITS"/>
    <x v="4"/>
    <n v="1"/>
    <x v="7"/>
    <x v="2"/>
    <n v="126436"/>
    <s v="Gadus morhua"/>
    <n v="0"/>
    <n v="0"/>
    <n v="0"/>
    <n v="0"/>
    <n v="0"/>
    <n v="0"/>
    <n v="0"/>
    <n v="0"/>
    <n v="0"/>
    <n v="0"/>
    <n v="0"/>
    <n v="20210325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39">
  <r>
    <s v="BITS"/>
    <x v="0"/>
    <n v="1"/>
    <x v="0"/>
    <n v="10"/>
    <n v="126436"/>
    <s v="Gadus morhua"/>
    <n v="0"/>
    <n v="0.11"/>
    <n v="1.2114"/>
    <n v="2.8786"/>
    <n v="0.33210000000000001"/>
    <n v="0.44290000000000002"/>
    <n v="0"/>
    <n v="0"/>
    <n v="0"/>
    <n v="0"/>
    <n v="0"/>
    <n v="20210325"/>
    <n v="4.9749999999999996"/>
  </r>
  <r>
    <s v="BITS"/>
    <x v="0"/>
    <n v="1"/>
    <x v="0"/>
    <n v="11"/>
    <n v="126436"/>
    <s v="Gadus morhua"/>
    <n v="0"/>
    <n v="0"/>
    <n v="11.7"/>
    <n v="0"/>
    <n v="0"/>
    <n v="0"/>
    <n v="0"/>
    <n v="0"/>
    <n v="0"/>
    <n v="0"/>
    <n v="0"/>
    <n v="20210325"/>
    <n v="11.7"/>
  </r>
  <r>
    <s v="BITS"/>
    <x v="0"/>
    <n v="1"/>
    <x v="0"/>
    <n v="9"/>
    <n v="126436"/>
    <s v="Gadus morhua"/>
    <n v="0"/>
    <n v="3.085"/>
    <n v="12.476800000000001"/>
    <n v="4.1093000000000002"/>
    <n v="15.622199999999999"/>
    <n v="10.192500000000001"/>
    <n v="0.43719999999999998"/>
    <n v="0.23849999999999999"/>
    <n v="0"/>
    <n v="0"/>
    <n v="0"/>
    <n v="20210325"/>
    <n v="46.161500000000004"/>
  </r>
  <r>
    <s v="BITS"/>
    <x v="0"/>
    <n v="1"/>
    <x v="1"/>
    <n v="8"/>
    <n v="126436"/>
    <s v="Gadus morhua"/>
    <n v="0"/>
    <n v="0.79269999999999996"/>
    <n v="2.4495"/>
    <n v="0.36230000000000001"/>
    <n v="1.2217"/>
    <n v="0.40660000000000002"/>
    <n v="0.20349999999999999"/>
    <n v="0"/>
    <n v="0"/>
    <n v="0"/>
    <n v="0"/>
    <n v="20210325"/>
    <n v="5.4363000000000001"/>
  </r>
  <r>
    <s v="BITS"/>
    <x v="0"/>
    <n v="1"/>
    <x v="1"/>
    <n v="9"/>
    <n v="126436"/>
    <s v="Gadus morhua"/>
    <n v="0"/>
    <n v="0.51559999999999995"/>
    <n v="9.0245999999999995"/>
    <n v="17.326799999999999"/>
    <n v="8.6265999999999998"/>
    <n v="2.6324000000000001"/>
    <n v="0.80730000000000002"/>
    <n v="0.12920000000000001"/>
    <n v="0"/>
    <n v="0"/>
    <n v="0"/>
    <n v="20210325"/>
    <n v="39.062499999999993"/>
  </r>
  <r>
    <s v="BITS"/>
    <x v="0"/>
    <n v="1"/>
    <x v="2"/>
    <n v="8"/>
    <n v="126436"/>
    <s v="Gadus morhua"/>
    <n v="0"/>
    <n v="0"/>
    <n v="268.19299999999998"/>
    <n v="249.26730000000001"/>
    <n v="157.45939999999999"/>
    <n v="15.4475"/>
    <n v="0"/>
    <n v="0"/>
    <n v="0"/>
    <n v="0"/>
    <n v="0"/>
    <n v="20210325"/>
    <n v="690.36719999999991"/>
  </r>
  <r>
    <s v="BITS"/>
    <x v="0"/>
    <n v="1"/>
    <x v="2"/>
    <n v="9"/>
    <n v="126436"/>
    <s v="Gadus morhua"/>
    <n v="0"/>
    <n v="0"/>
    <n v="4.1333000000000002"/>
    <n v="4.1333000000000002"/>
    <n v="21.8033"/>
    <n v="13.33"/>
    <n v="0"/>
    <n v="0"/>
    <n v="0"/>
    <n v="0"/>
    <n v="0"/>
    <n v="20210325"/>
    <n v="43.399900000000002"/>
  </r>
  <r>
    <s v="BITS"/>
    <x v="0"/>
    <n v="1"/>
    <x v="3"/>
    <n v="10"/>
    <n v="126436"/>
    <s v="Gadus morhua"/>
    <n v="0"/>
    <n v="59.535200000000003"/>
    <n v="542.43209999999999"/>
    <n v="386.01729999999998"/>
    <n v="160.3287"/>
    <n v="28.606400000000001"/>
    <n v="0"/>
    <n v="0"/>
    <n v="0"/>
    <n v="0"/>
    <n v="0"/>
    <n v="20210325"/>
    <n v="1176.9196999999999"/>
  </r>
  <r>
    <s v="BITS"/>
    <x v="0"/>
    <n v="1"/>
    <x v="3"/>
    <n v="8"/>
    <n v="126436"/>
    <s v="Gadus morhua"/>
    <n v="0"/>
    <n v="0.67689999999999995"/>
    <n v="13.715299999999999"/>
    <n v="12.4903"/>
    <n v="7.0583999999999998"/>
    <n v="1.6284000000000001"/>
    <n v="0"/>
    <n v="0"/>
    <n v="0"/>
    <n v="0"/>
    <n v="0"/>
    <n v="20210325"/>
    <n v="35.569299999999998"/>
  </r>
  <r>
    <s v="BITS"/>
    <x v="0"/>
    <n v="1"/>
    <x v="3"/>
    <n v="9"/>
    <n v="126436"/>
    <s v="Gadus morhua"/>
    <n v="0"/>
    <n v="2.9622000000000002"/>
    <n v="164.53440000000001"/>
    <n v="115.14279999999999"/>
    <n v="39.374499999999998"/>
    <n v="6.8396999999999997"/>
    <n v="0"/>
    <n v="0"/>
    <n v="0"/>
    <n v="0"/>
    <n v="0"/>
    <n v="20210325"/>
    <n v="328.85360000000003"/>
  </r>
  <r>
    <s v="BITS"/>
    <x v="0"/>
    <n v="1"/>
    <x v="4"/>
    <n v="10"/>
    <n v="126436"/>
    <s v="Gadus morhua"/>
    <n v="0"/>
    <n v="14.610099999999999"/>
    <n v="812.86019999999996"/>
    <n v="1006.7113000000001"/>
    <n v="409.51100000000002"/>
    <n v="44.914200000000001"/>
    <n v="3.1815000000000002"/>
    <n v="0.83560000000000001"/>
    <n v="0.41049999999999998"/>
    <n v="0"/>
    <n v="0"/>
    <n v="20210325"/>
    <n v="2293.0344"/>
  </r>
  <r>
    <s v="BITS"/>
    <x v="0"/>
    <n v="1"/>
    <x v="4"/>
    <n v="11"/>
    <n v="126436"/>
    <s v="Gadus morhua"/>
    <n v="0"/>
    <n v="2.4045000000000001"/>
    <n v="471.30650000000003"/>
    <n v="741.42529999999999"/>
    <n v="337.77870000000001"/>
    <n v="31.090299999999999"/>
    <n v="1.7542"/>
    <n v="0.63129999999999997"/>
    <n v="0.16089999999999999"/>
    <n v="0"/>
    <n v="0"/>
    <n v="20210325"/>
    <n v="1586.5517000000004"/>
  </r>
  <r>
    <s v="BITS"/>
    <x v="0"/>
    <n v="1"/>
    <x v="4"/>
    <n v="12"/>
    <n v="126436"/>
    <s v="Gadus morhua"/>
    <n v="0"/>
    <n v="0.13070000000000001"/>
    <n v="102.55110000000001"/>
    <n v="559.52139999999997"/>
    <n v="372.16989999999998"/>
    <n v="37.121099999999998"/>
    <n v="2.1522000000000001"/>
    <n v="0.94920000000000004"/>
    <n v="0.4103"/>
    <n v="0"/>
    <n v="0"/>
    <n v="20210325"/>
    <n v="1075.0058999999999"/>
  </r>
  <r>
    <s v="BITS"/>
    <x v="0"/>
    <n v="1"/>
    <x v="4"/>
    <n v="9"/>
    <n v="126436"/>
    <s v="Gadus morhua"/>
    <n v="0"/>
    <n v="0.33329999999999999"/>
    <n v="7.6231"/>
    <n v="169.2835"/>
    <n v="149.62690000000001"/>
    <n v="13.964700000000001"/>
    <n v="0.74009999999999998"/>
    <n v="0.20619999999999999"/>
    <n v="5.5599999999999997E-2"/>
    <n v="0"/>
    <n v="0"/>
    <n v="20210325"/>
    <n v="341.83340000000004"/>
  </r>
  <r>
    <s v="BITS"/>
    <x v="0"/>
    <n v="1"/>
    <x v="5"/>
    <n v="10"/>
    <n v="126436"/>
    <s v="Gadus morhua"/>
    <n v="0"/>
    <n v="13.537699999999999"/>
    <n v="54.408099999999997"/>
    <n v="102.5322"/>
    <n v="75.475399999999993"/>
    <n v="40.125399999999999"/>
    <n v="10.2691"/>
    <n v="0.92120000000000002"/>
    <n v="0.1"/>
    <n v="9.0899999999999995E-2"/>
    <n v="0"/>
    <n v="20210325"/>
    <n v="297.45999999999998"/>
  </r>
  <r>
    <s v="BITS"/>
    <x v="0"/>
    <n v="1"/>
    <x v="5"/>
    <n v="11"/>
    <n v="126436"/>
    <s v="Gadus morhua"/>
    <n v="0"/>
    <n v="2.8618999999999999"/>
    <n v="327.18650000000002"/>
    <n v="233.5667"/>
    <n v="117.6147"/>
    <n v="64.657200000000003"/>
    <n v="13.1927"/>
    <n v="0.62929999999999997"/>
    <n v="0"/>
    <n v="0.1885"/>
    <n v="0"/>
    <n v="20210325"/>
    <n v="759.89749999999981"/>
  </r>
  <r>
    <s v="BITS"/>
    <x v="0"/>
    <n v="1"/>
    <x v="5"/>
    <n v="12"/>
    <n v="126436"/>
    <s v="Gadus morhua"/>
    <n v="0"/>
    <n v="1.6783999999999999"/>
    <n v="198.06880000000001"/>
    <n v="443.61759999999998"/>
    <n v="251.4913"/>
    <n v="145.65379999999999"/>
    <n v="28.7454"/>
    <n v="1.4291"/>
    <n v="0"/>
    <n v="0.25669999999999998"/>
    <n v="0"/>
    <n v="20210325"/>
    <n v="1070.9411"/>
  </r>
  <r>
    <s v="BITS"/>
    <x v="0"/>
    <n v="1"/>
    <x v="5"/>
    <n v="13"/>
    <n v="126436"/>
    <s v="Gadus morhua"/>
    <n v="0"/>
    <n v="0"/>
    <n v="18.069299999999998"/>
    <n v="138.49160000000001"/>
    <n v="98.906099999999995"/>
    <n v="65.174599999999998"/>
    <n v="13.7912"/>
    <n v="2.4763000000000002"/>
    <n v="0.25"/>
    <n v="9.0899999999999995E-2"/>
    <n v="0"/>
    <n v="20210325"/>
    <n v="337.24999999999994"/>
  </r>
  <r>
    <s v="BITS"/>
    <x v="0"/>
    <n v="1"/>
    <x v="5"/>
    <n v="14"/>
    <n v="126436"/>
    <s v="Gadus morhua"/>
    <n v="0"/>
    <n v="0"/>
    <n v="109.0431"/>
    <n v="602.68769999999995"/>
    <n v="503.12009999999998"/>
    <n v="297.65710000000001"/>
    <n v="80.775700000000001"/>
    <n v="8.3526000000000007"/>
    <n v="0"/>
    <n v="2.3635999999999999"/>
    <n v="0"/>
    <n v="20210325"/>
    <n v="1603.9998999999996"/>
  </r>
  <r>
    <s v="BITS"/>
    <x v="0"/>
    <n v="1"/>
    <x v="5"/>
    <n v="9"/>
    <n v="126436"/>
    <s v="Gadus morhua"/>
    <n v="0"/>
    <n v="2.5295999999999998"/>
    <n v="44.688200000000002"/>
    <n v="54.451700000000002"/>
    <n v="28.580500000000001"/>
    <n v="13.0739"/>
    <n v="3.5303"/>
    <n v="0.23860000000000001"/>
    <n v="0"/>
    <n v="4.0399999999999998E-2"/>
    <n v="0"/>
    <n v="20210325"/>
    <n v="147.13320000000002"/>
  </r>
  <r>
    <s v="BITS"/>
    <x v="0"/>
    <n v="1"/>
    <x v="6"/>
    <n v="11"/>
    <n v="126436"/>
    <s v="Gadus morhua"/>
    <n v="0"/>
    <n v="0"/>
    <n v="18.083300000000001"/>
    <n v="15.333299999999999"/>
    <n v="5.5833000000000004"/>
    <n v="1"/>
    <n v="0"/>
    <n v="0"/>
    <n v="0"/>
    <n v="0"/>
    <n v="0"/>
    <n v="20210325"/>
    <n v="39.999900000000004"/>
  </r>
  <r>
    <s v="BITS"/>
    <x v="0"/>
    <n v="1"/>
    <x v="6"/>
    <n v="12"/>
    <n v="126436"/>
    <s v="Gadus morhua"/>
    <n v="0"/>
    <n v="0"/>
    <n v="0"/>
    <n v="0"/>
    <n v="0"/>
    <n v="0"/>
    <n v="0"/>
    <n v="0"/>
    <n v="0"/>
    <n v="0"/>
    <n v="0"/>
    <n v="20210325"/>
    <n v="0"/>
  </r>
  <r>
    <s v="BITS"/>
    <x v="0"/>
    <n v="1"/>
    <x v="6"/>
    <n v="13"/>
    <n v="126436"/>
    <s v="Gadus morhua"/>
    <n v="0"/>
    <n v="0"/>
    <n v="0"/>
    <n v="0"/>
    <n v="0"/>
    <n v="0"/>
    <n v="0"/>
    <n v="0"/>
    <n v="0"/>
    <n v="0"/>
    <n v="0"/>
    <n v="20210325"/>
    <n v="0"/>
  </r>
  <r>
    <s v="BITS"/>
    <x v="0"/>
    <n v="1"/>
    <x v="7"/>
    <n v="10"/>
    <n v="126436"/>
    <s v="Gadus morhua"/>
    <n v="0"/>
    <n v="1"/>
    <n v="4.1666999999999996"/>
    <n v="3"/>
    <n v="0.83330000000000004"/>
    <n v="0"/>
    <n v="0"/>
    <n v="0"/>
    <n v="0"/>
    <n v="0"/>
    <n v="0"/>
    <n v="20210325"/>
    <n v="8.9999999999999982"/>
  </r>
  <r>
    <s v="BITS"/>
    <x v="0"/>
    <n v="1"/>
    <x v="7"/>
    <n v="11"/>
    <n v="126436"/>
    <s v="Gadus morhua"/>
    <n v="0"/>
    <n v="0.44440000000000002"/>
    <n v="18.555499999999999"/>
    <n v="7.0369999999999999"/>
    <n v="3.6295999999999999"/>
    <n v="2.2222"/>
    <n v="1"/>
    <n v="0"/>
    <n v="0"/>
    <n v="0"/>
    <n v="0"/>
    <n v="20210325"/>
    <n v="32.8887"/>
  </r>
  <r>
    <s v="BITS"/>
    <x v="0"/>
    <n v="1"/>
    <x v="7"/>
    <n v="12"/>
    <n v="126436"/>
    <s v="Gadus morhua"/>
    <n v="0"/>
    <n v="0"/>
    <n v="0.57140000000000002"/>
    <n v="1.6667000000000001"/>
    <n v="0.85709999999999997"/>
    <n v="0"/>
    <n v="0.33329999999999999"/>
    <n v="0"/>
    <n v="0"/>
    <n v="0"/>
    <n v="0"/>
    <n v="20210325"/>
    <n v="3.4285000000000001"/>
  </r>
  <r>
    <s v="BITS"/>
    <x v="0"/>
    <n v="1"/>
    <x v="7"/>
    <n v="9"/>
    <n v="126436"/>
    <s v="Gadus morhua"/>
    <n v="0"/>
    <n v="0.33329999999999999"/>
    <n v="0.58330000000000004"/>
    <n v="0.91669999999999996"/>
    <n v="0.38890000000000002"/>
    <n v="0.55559999999999998"/>
    <n v="0.22220000000000001"/>
    <n v="0"/>
    <n v="0"/>
    <n v="0"/>
    <n v="0"/>
    <n v="20210325"/>
    <n v="3"/>
  </r>
  <r>
    <s v="BITS"/>
    <x v="1"/>
    <n v="1"/>
    <x v="0"/>
    <n v="10"/>
    <n v="126436"/>
    <s v="Gadus morhua"/>
    <n v="0"/>
    <n v="23.080400000000001"/>
    <n v="1.1696"/>
    <n v="0"/>
    <n v="1.3286"/>
    <n v="0.22140000000000001"/>
    <n v="0"/>
    <n v="0"/>
    <n v="0"/>
    <n v="0"/>
    <n v="0"/>
    <n v="20210329"/>
    <n v="25.8"/>
  </r>
  <r>
    <s v="BITS"/>
    <x v="1"/>
    <n v="1"/>
    <x v="0"/>
    <n v="11"/>
    <n v="126436"/>
    <s v="Gadus morhua"/>
    <n v="0"/>
    <n v="0"/>
    <n v="0"/>
    <n v="0"/>
    <n v="0"/>
    <n v="0"/>
    <n v="0"/>
    <n v="0"/>
    <n v="0"/>
    <n v="0"/>
    <n v="0"/>
    <n v="20210329"/>
    <n v="0"/>
  </r>
  <r>
    <s v="BITS"/>
    <x v="1"/>
    <n v="1"/>
    <x v="0"/>
    <n v="12"/>
    <n v="126436"/>
    <s v="Gadus morhua"/>
    <n v="0"/>
    <n v="358.01510000000002"/>
    <n v="9.3849"/>
    <n v="0"/>
    <n v="3.1"/>
    <n v="0"/>
    <n v="0"/>
    <n v="0"/>
    <n v="0"/>
    <n v="0"/>
    <n v="0"/>
    <n v="20210329"/>
    <n v="370.50000000000006"/>
  </r>
  <r>
    <s v="BITS"/>
    <x v="1"/>
    <n v="1"/>
    <x v="0"/>
    <n v="9"/>
    <n v="126436"/>
    <s v="Gadus morhua"/>
    <n v="0"/>
    <n v="114.2486"/>
    <n v="4.7201000000000004"/>
    <n v="6.1708999999999996"/>
    <n v="17.186800000000002"/>
    <n v="9.1829000000000001"/>
    <n v="2.0598000000000001"/>
    <n v="0"/>
    <n v="0"/>
    <n v="0"/>
    <n v="0"/>
    <n v="20210329"/>
    <n v="153.56909999999999"/>
  </r>
  <r>
    <s v="BITS"/>
    <x v="1"/>
    <n v="1"/>
    <x v="1"/>
    <n v="8"/>
    <n v="126436"/>
    <s v="Gadus morhua"/>
    <n v="0"/>
    <n v="76.455299999999994"/>
    <n v="1.8243"/>
    <n v="6.8587999999999996"/>
    <n v="1.0707"/>
    <n v="0.33210000000000001"/>
    <n v="0"/>
    <n v="0"/>
    <n v="0"/>
    <n v="0"/>
    <n v="0"/>
    <n v="20210329"/>
    <n v="86.541199999999989"/>
  </r>
  <r>
    <s v="BITS"/>
    <x v="1"/>
    <n v="1"/>
    <x v="1"/>
    <n v="9"/>
    <n v="126436"/>
    <s v="Gadus morhua"/>
    <n v="0"/>
    <n v="155.3844"/>
    <n v="6.0464000000000002"/>
    <n v="23.953399999999998"/>
    <n v="9.7277000000000005"/>
    <n v="5.7534000000000001"/>
    <n v="0.89119999999999999"/>
    <n v="0.4133"/>
    <n v="0.46500000000000002"/>
    <n v="0"/>
    <n v="0"/>
    <n v="20210329"/>
    <n v="202.63479999999998"/>
  </r>
  <r>
    <s v="BITS"/>
    <x v="1"/>
    <n v="1"/>
    <x v="2"/>
    <n v="8"/>
    <n v="126436"/>
    <s v="Gadus morhua"/>
    <n v="0"/>
    <n v="466.12299999999999"/>
    <n v="32.575800000000001"/>
    <n v="956.88610000000006"/>
    <n v="156.54509999999999"/>
    <n v="10.1928"/>
    <n v="0"/>
    <n v="0"/>
    <n v="0"/>
    <n v="0"/>
    <n v="0"/>
    <n v="20210329"/>
    <n v="1622.3228000000001"/>
  </r>
  <r>
    <s v="BITS"/>
    <x v="1"/>
    <n v="1"/>
    <x v="2"/>
    <n v="9"/>
    <n v="126436"/>
    <s v="Gadus morhua"/>
    <n v="0"/>
    <n v="215.9333"/>
    <n v="31.2361"/>
    <n v="675.95500000000004"/>
    <n v="73.642200000000003"/>
    <n v="12.4"/>
    <n v="2.0667"/>
    <n v="0"/>
    <n v="0"/>
    <n v="0"/>
    <n v="0"/>
    <n v="20210329"/>
    <n v="1011.2333"/>
  </r>
  <r>
    <s v="BITS"/>
    <x v="1"/>
    <n v="1"/>
    <x v="3"/>
    <n v="10"/>
    <n v="126436"/>
    <s v="Gadus morhua"/>
    <n v="0"/>
    <n v="227.15260000000001"/>
    <n v="266.09309999999999"/>
    <n v="419.76190000000003"/>
    <n v="175.89580000000001"/>
    <n v="105.8704"/>
    <n v="5.0644999999999998"/>
    <n v="1.7584"/>
    <n v="1.4326000000000001"/>
    <n v="0"/>
    <n v="0"/>
    <n v="20210329"/>
    <n v="1203.0293000000001"/>
  </r>
  <r>
    <s v="BITS"/>
    <x v="1"/>
    <n v="1"/>
    <x v="3"/>
    <n v="8"/>
    <n v="126436"/>
    <s v="Gadus morhua"/>
    <n v="0"/>
    <n v="82.791499999999999"/>
    <n v="26.1053"/>
    <n v="13.9712"/>
    <n v="8.7497000000000007"/>
    <n v="7.6087999999999996"/>
    <n v="0.44130000000000003"/>
    <n v="0.1845"/>
    <n v="0.14760000000000001"/>
    <n v="0"/>
    <n v="0"/>
    <n v="20210329"/>
    <n v="139.99990000000003"/>
  </r>
  <r>
    <s v="BITS"/>
    <x v="1"/>
    <n v="1"/>
    <x v="3"/>
    <n v="9"/>
    <n v="126436"/>
    <s v="Gadus morhua"/>
    <n v="0"/>
    <n v="145.3896"/>
    <n v="103.2773"/>
    <n v="128.756"/>
    <n v="59.065899999999999"/>
    <n v="33.429900000000004"/>
    <n v="1.0408999999999999"/>
    <n v="0.47799999999999998"/>
    <n v="0.18790000000000001"/>
    <n v="0"/>
    <n v="0"/>
    <n v="20210329"/>
    <n v="471.6255000000001"/>
  </r>
  <r>
    <s v="BITS"/>
    <x v="1"/>
    <n v="1"/>
    <x v="4"/>
    <n v="10"/>
    <n v="126436"/>
    <s v="Gadus morhua"/>
    <n v="0"/>
    <n v="37.144599999999997"/>
    <n v="254.0686"/>
    <n v="294.06970000000001"/>
    <n v="110.0476"/>
    <n v="25.7605"/>
    <n v="4.1820000000000004"/>
    <n v="0.45040000000000002"/>
    <n v="6.0299999999999999E-2"/>
    <n v="0"/>
    <n v="0"/>
    <n v="20210329"/>
    <n v="725.78369999999995"/>
  </r>
  <r>
    <s v="BITS"/>
    <x v="1"/>
    <n v="1"/>
    <x v="4"/>
    <n v="11"/>
    <n v="126436"/>
    <s v="Gadus morhua"/>
    <n v="0"/>
    <n v="17.157800000000002"/>
    <n v="201.4282"/>
    <n v="416.49130000000002"/>
    <n v="220.46019999999999"/>
    <n v="51.317900000000002"/>
    <n v="8.2119"/>
    <n v="0.50670000000000004"/>
    <n v="5.2299999999999999E-2"/>
    <n v="0"/>
    <n v="0"/>
    <n v="20210329"/>
    <n v="915.62630000000001"/>
  </r>
  <r>
    <s v="BITS"/>
    <x v="1"/>
    <n v="1"/>
    <x v="4"/>
    <n v="12"/>
    <n v="126436"/>
    <s v="Gadus morhua"/>
    <n v="0"/>
    <n v="0.71809999999999996"/>
    <n v="49.7209"/>
    <n v="276.5514"/>
    <n v="236.6474"/>
    <n v="69.703800000000001"/>
    <n v="12.2803"/>
    <n v="0.97399999999999998"/>
    <n v="0.27750000000000002"/>
    <n v="0"/>
    <n v="0"/>
    <n v="20210329"/>
    <n v="646.87340000000006"/>
  </r>
  <r>
    <s v="BITS"/>
    <x v="1"/>
    <n v="1"/>
    <x v="4"/>
    <n v="9"/>
    <n v="126436"/>
    <s v="Gadus morhua"/>
    <n v="0"/>
    <n v="6.9603999999999999"/>
    <n v="12.3203"/>
    <n v="84.109700000000004"/>
    <n v="59.264800000000001"/>
    <n v="11.2986"/>
    <n v="1.6085"/>
    <n v="4.7600000000000003E-2"/>
    <n v="3.3000000000000002E-2"/>
    <n v="0"/>
    <n v="0"/>
    <n v="20210329"/>
    <n v="175.64289999999997"/>
  </r>
  <r>
    <s v="BITS"/>
    <x v="1"/>
    <n v="1"/>
    <x v="5"/>
    <n v="10"/>
    <n v="126436"/>
    <s v="Gadus morhua"/>
    <n v="0"/>
    <n v="27.3611"/>
    <n v="15.074"/>
    <n v="11.782999999999999"/>
    <n v="10.249499999999999"/>
    <n v="8.0734999999999992"/>
    <n v="3.6789000000000001"/>
    <n v="0.87890000000000001"/>
    <n v="0.1915"/>
    <n v="5.9499999999999997E-2"/>
    <n v="0"/>
    <n v="20210329"/>
    <n v="77.349900000000005"/>
  </r>
  <r>
    <s v="BITS"/>
    <x v="1"/>
    <n v="1"/>
    <x v="5"/>
    <n v="11"/>
    <n v="126436"/>
    <s v="Gadus morhua"/>
    <n v="0"/>
    <n v="10.5228"/>
    <n v="58.414400000000001"/>
    <n v="145.67609999999999"/>
    <n v="93.258499999999998"/>
    <n v="56.4193"/>
    <n v="23.003299999999999"/>
    <n v="4.8178999999999998"/>
    <n v="0.61439999999999995"/>
    <n v="0.1333"/>
    <n v="0"/>
    <n v="20210329"/>
    <n v="392.86000000000007"/>
  </r>
  <r>
    <s v="BITS"/>
    <x v="1"/>
    <n v="1"/>
    <x v="5"/>
    <n v="12"/>
    <n v="126436"/>
    <s v="Gadus morhua"/>
    <n v="0"/>
    <n v="2.3313000000000001"/>
    <n v="31.961600000000001"/>
    <n v="174.00409999999999"/>
    <n v="126.5444"/>
    <n v="78.964200000000005"/>
    <n v="32.5398"/>
    <n v="5.4264000000000001"/>
    <n v="0.67679999999999996"/>
    <n v="0.14019999999999999"/>
    <n v="0"/>
    <n v="20210329"/>
    <n v="452.58880000000005"/>
  </r>
  <r>
    <s v="BITS"/>
    <x v="1"/>
    <n v="1"/>
    <x v="5"/>
    <n v="13"/>
    <n v="126436"/>
    <s v="Gadus morhua"/>
    <n v="0"/>
    <n v="6.25"/>
    <n v="20.662800000000001"/>
    <n v="186.191"/>
    <n v="165.10830000000001"/>
    <n v="123.8942"/>
    <n v="46.843600000000002"/>
    <n v="10.284599999999999"/>
    <n v="1.8369"/>
    <n v="0.17860000000000001"/>
    <n v="0"/>
    <n v="20210329"/>
    <n v="561.25"/>
  </r>
  <r>
    <s v="BITS"/>
    <x v="1"/>
    <n v="1"/>
    <x v="5"/>
    <n v="9"/>
    <n v="126436"/>
    <s v="Gadus morhua"/>
    <n v="0"/>
    <n v="13.683299999999999"/>
    <n v="4.3371000000000004"/>
    <n v="6.9370000000000003"/>
    <n v="8.5966000000000005"/>
    <n v="7.7137000000000002"/>
    <n v="4.3810000000000002"/>
    <n v="0.97819999999999996"/>
    <n v="0.2762"/>
    <n v="9.6799999999999997E-2"/>
    <n v="0"/>
    <n v="20210329"/>
    <n v="46.999900000000011"/>
  </r>
  <r>
    <s v="BITS"/>
    <x v="1"/>
    <n v="1"/>
    <x v="6"/>
    <n v="10"/>
    <n v="126436"/>
    <s v="Gadus morhua"/>
    <n v="0"/>
    <n v="0"/>
    <n v="0"/>
    <n v="1"/>
    <n v="0"/>
    <n v="0"/>
    <n v="0"/>
    <n v="0"/>
    <n v="0"/>
    <n v="0"/>
    <n v="0"/>
    <n v="20210329"/>
    <n v="1"/>
  </r>
  <r>
    <s v="BITS"/>
    <x v="1"/>
    <n v="1"/>
    <x v="6"/>
    <n v="11"/>
    <n v="126436"/>
    <s v="Gadus morhua"/>
    <n v="0"/>
    <n v="0"/>
    <n v="0.16669999999999999"/>
    <n v="6.1238000000000001"/>
    <n v="2.2094999999999998"/>
    <n v="0.5"/>
    <n v="0"/>
    <n v="0"/>
    <n v="0"/>
    <n v="0"/>
    <n v="0"/>
    <n v="20210329"/>
    <n v="9"/>
  </r>
  <r>
    <s v="BITS"/>
    <x v="1"/>
    <n v="1"/>
    <x v="6"/>
    <n v="12"/>
    <n v="126436"/>
    <s v="Gadus morhua"/>
    <n v="0"/>
    <n v="0"/>
    <n v="0"/>
    <n v="0"/>
    <n v="0"/>
    <n v="0"/>
    <n v="0"/>
    <n v="0"/>
    <n v="0"/>
    <n v="0"/>
    <n v="0"/>
    <n v="20210329"/>
    <n v="0"/>
  </r>
  <r>
    <s v="BITS"/>
    <x v="1"/>
    <n v="1"/>
    <x v="6"/>
    <n v="13"/>
    <n v="126436"/>
    <s v="Gadus morhua"/>
    <n v="0"/>
    <n v="0"/>
    <n v="0"/>
    <n v="0"/>
    <n v="0"/>
    <n v="0"/>
    <n v="0"/>
    <n v="0"/>
    <n v="0"/>
    <n v="0"/>
    <n v="0"/>
    <n v="20210329"/>
    <n v="0"/>
  </r>
  <r>
    <s v="BITS"/>
    <x v="1"/>
    <n v="1"/>
    <x v="7"/>
    <n v="10"/>
    <n v="126436"/>
    <s v="Gadus morhua"/>
    <n v="0"/>
    <n v="3.6"/>
    <n v="1.2796000000000001"/>
    <n v="4.0728999999999997"/>
    <n v="3.6452"/>
    <n v="2.6675"/>
    <n v="0.80100000000000005"/>
    <n v="0.1157"/>
    <n v="0"/>
    <n v="1.8200000000000001E-2"/>
    <n v="0"/>
    <n v="20210329"/>
    <n v="16.200099999999999"/>
  </r>
  <r>
    <s v="BITS"/>
    <x v="1"/>
    <n v="1"/>
    <x v="7"/>
    <n v="11"/>
    <n v="126436"/>
    <s v="Gadus morhua"/>
    <n v="0"/>
    <n v="0"/>
    <n v="1.3229"/>
    <n v="5.3677000000000001"/>
    <n v="4.1722000000000001"/>
    <n v="2.92"/>
    <n v="1.2347999999999999"/>
    <n v="0.1641"/>
    <n v="0"/>
    <n v="1.8200000000000001E-2"/>
    <n v="0"/>
    <n v="20210329"/>
    <n v="15.1999"/>
  </r>
  <r>
    <s v="BITS"/>
    <x v="1"/>
    <n v="1"/>
    <x v="7"/>
    <n v="12"/>
    <n v="126436"/>
    <s v="Gadus morhua"/>
    <n v="0"/>
    <n v="0"/>
    <n v="48.4726"/>
    <n v="286.1026"/>
    <n v="155.45769999999999"/>
    <n v="117.0508"/>
    <n v="34.126300000000001"/>
    <n v="7.0080999999999998"/>
    <n v="0.8"/>
    <n v="0.58179999999999998"/>
    <n v="0"/>
    <n v="20210329"/>
    <n v="649.59990000000005"/>
  </r>
  <r>
    <s v="BITS"/>
    <x v="1"/>
    <n v="1"/>
    <x v="7"/>
    <n v="13"/>
    <n v="126436"/>
    <s v="Gadus morhua"/>
    <n v="0"/>
    <n v="0"/>
    <n v="7.3578999999999999"/>
    <n v="50.912100000000002"/>
    <n v="34.494199999999999"/>
    <n v="25.611000000000001"/>
    <n v="8.5338999999999992"/>
    <n v="0.72729999999999995"/>
    <n v="0"/>
    <n v="0.36359999999999998"/>
    <n v="0"/>
    <n v="20210329"/>
    <n v="128"/>
  </r>
  <r>
    <s v="BITS"/>
    <x v="1"/>
    <n v="1"/>
    <x v="7"/>
    <n v="9"/>
    <n v="126436"/>
    <s v="Gadus morhua"/>
    <n v="0"/>
    <n v="0"/>
    <n v="0"/>
    <n v="0"/>
    <n v="0"/>
    <n v="0"/>
    <n v="0"/>
    <n v="0"/>
    <n v="0"/>
    <n v="0"/>
    <n v="0"/>
    <n v="20210329"/>
    <n v="0"/>
  </r>
  <r>
    <s v="BITS"/>
    <x v="2"/>
    <n v="1"/>
    <x v="0"/>
    <n v="10"/>
    <n v="126436"/>
    <s v="Gadus morhua"/>
    <n v="0"/>
    <n v="5.3144"/>
    <n v="10.855600000000001"/>
    <n v="0.63"/>
    <n v="1.24"/>
    <n v="0"/>
    <n v="0"/>
    <n v="0"/>
    <n v="0"/>
    <n v="0"/>
    <n v="0"/>
    <n v="20210329"/>
    <n v="18.04"/>
  </r>
  <r>
    <s v="BITS"/>
    <x v="2"/>
    <n v="1"/>
    <x v="0"/>
    <n v="11"/>
    <n v="126436"/>
    <s v="Gadus morhua"/>
    <n v="0"/>
    <n v="1.75"/>
    <n v="5.9249999999999998"/>
    <n v="2.3250000000000002"/>
    <n v="0"/>
    <n v="0"/>
    <n v="0"/>
    <n v="0"/>
    <n v="0"/>
    <n v="0"/>
    <n v="0"/>
    <n v="20210329"/>
    <n v="10"/>
  </r>
  <r>
    <s v="BITS"/>
    <x v="2"/>
    <n v="1"/>
    <x v="0"/>
    <n v="9"/>
    <n v="126436"/>
    <s v="Gadus morhua"/>
    <n v="0"/>
    <n v="4.2765000000000004"/>
    <n v="20.835000000000001"/>
    <n v="2.2730999999999999"/>
    <n v="27.9"/>
    <n v="12.1615"/>
    <n v="4.0537999999999998"/>
    <n v="0"/>
    <n v="0"/>
    <n v="0"/>
    <n v="0"/>
    <n v="20210329"/>
    <n v="71.499899999999997"/>
  </r>
  <r>
    <s v="BITS"/>
    <x v="2"/>
    <n v="1"/>
    <x v="1"/>
    <n v="8"/>
    <n v="126436"/>
    <s v="Gadus morhua"/>
    <n v="0"/>
    <n v="1.694"/>
    <n v="23.126000000000001"/>
    <n v="0"/>
    <n v="0"/>
    <n v="0"/>
    <n v="0.62"/>
    <n v="0"/>
    <n v="0"/>
    <n v="0"/>
    <n v="0"/>
    <n v="20210329"/>
    <n v="25.44"/>
  </r>
  <r>
    <s v="BITS"/>
    <x v="2"/>
    <n v="1"/>
    <x v="1"/>
    <n v="9"/>
    <n v="126436"/>
    <s v="Gadus morhua"/>
    <n v="0"/>
    <n v="4.5392999999999999"/>
    <n v="734.78869999999995"/>
    <n v="13.6937"/>
    <n v="17.4693"/>
    <n v="6.1132999999999997"/>
    <n v="0.70020000000000004"/>
    <n v="0.34899999999999998"/>
    <n v="0.1163"/>
    <n v="0"/>
    <n v="0"/>
    <n v="20210329"/>
    <n v="777.76980000000003"/>
  </r>
  <r>
    <s v="BITS"/>
    <x v="2"/>
    <n v="1"/>
    <x v="2"/>
    <n v="8"/>
    <n v="126436"/>
    <s v="Gadus morhua"/>
    <n v="0"/>
    <n v="10.2667"/>
    <n v="1381.8643999999999"/>
    <n v="18.944400000000002"/>
    <n v="489.52440000000001"/>
    <n v="146.73330000000001"/>
    <n v="10.333299999999999"/>
    <n v="2.0667"/>
    <n v="0"/>
    <n v="0"/>
    <n v="0"/>
    <n v="20210329"/>
    <n v="2059.7331999999997"/>
  </r>
  <r>
    <s v="BITS"/>
    <x v="2"/>
    <n v="1"/>
    <x v="2"/>
    <n v="9"/>
    <n v="126436"/>
    <s v="Gadus morhua"/>
    <n v="0"/>
    <n v="2.3045"/>
    <n v="5370.3814000000002"/>
    <n v="70.388599999999997"/>
    <n v="269.65589999999997"/>
    <n v="0"/>
    <n v="0"/>
    <n v="0"/>
    <n v="0"/>
    <n v="0"/>
    <n v="0"/>
    <n v="20210329"/>
    <n v="5712.7304000000004"/>
  </r>
  <r>
    <s v="BITS"/>
    <x v="2"/>
    <n v="1"/>
    <x v="3"/>
    <n v="10"/>
    <n v="126436"/>
    <s v="Gadus morhua"/>
    <n v="0"/>
    <n v="1.2846"/>
    <n v="900.98829999999998"/>
    <n v="633.46559999999999"/>
    <n v="147.1951"/>
    <n v="46.958399999999997"/>
    <n v="24.410399999999999"/>
    <n v="0"/>
    <n v="0"/>
    <n v="0"/>
    <n v="0"/>
    <n v="20210329"/>
    <n v="1754.3023999999998"/>
  </r>
  <r>
    <s v="BITS"/>
    <x v="2"/>
    <n v="1"/>
    <x v="3"/>
    <n v="11"/>
    <n v="126436"/>
    <s v="Gadus morhua"/>
    <n v="0"/>
    <n v="6"/>
    <n v="612.85239999999999"/>
    <n v="237.9119"/>
    <n v="26.835699999999999"/>
    <n v="4"/>
    <n v="0.4"/>
    <n v="0"/>
    <n v="0"/>
    <n v="0"/>
    <n v="0"/>
    <n v="20210329"/>
    <n v="888"/>
  </r>
  <r>
    <s v="BITS"/>
    <x v="2"/>
    <n v="1"/>
    <x v="3"/>
    <n v="8"/>
    <n v="126436"/>
    <s v="Gadus morhua"/>
    <n v="0"/>
    <n v="0"/>
    <n v="175.95060000000001"/>
    <n v="98.251999999999995"/>
    <n v="13.5664"/>
    <n v="2.8178000000000001"/>
    <n v="0.51400000000000001"/>
    <n v="0"/>
    <n v="0"/>
    <n v="0"/>
    <n v="0"/>
    <n v="20210329"/>
    <n v="291.10079999999999"/>
  </r>
  <r>
    <s v="BITS"/>
    <x v="2"/>
    <n v="1"/>
    <x v="3"/>
    <n v="9"/>
    <n v="126436"/>
    <s v="Gadus morhua"/>
    <n v="0"/>
    <n v="1.4564999999999999"/>
    <n v="578.54510000000005"/>
    <n v="397.03100000000001"/>
    <n v="57.665799999999997"/>
    <n v="9.7164999999999999"/>
    <n v="2.4409000000000001"/>
    <n v="0"/>
    <n v="0"/>
    <n v="0"/>
    <n v="0"/>
    <n v="20210329"/>
    <n v="1046.8558"/>
  </r>
  <r>
    <s v="BITS"/>
    <x v="2"/>
    <n v="1"/>
    <x v="4"/>
    <n v="10"/>
    <n v="126436"/>
    <s v="Gadus morhua"/>
    <n v="0"/>
    <n v="9.5351999999999997"/>
    <n v="447.28530000000001"/>
    <n v="316.42230000000001"/>
    <n v="127.8312"/>
    <n v="30.630299999999998"/>
    <n v="9.8268000000000004"/>
    <n v="0.59160000000000001"/>
    <n v="0.55049999999999999"/>
    <n v="0"/>
    <n v="0"/>
    <n v="20210329"/>
    <n v="942.67320000000007"/>
  </r>
  <r>
    <s v="BITS"/>
    <x v="2"/>
    <n v="1"/>
    <x v="4"/>
    <n v="11"/>
    <n v="126436"/>
    <s v="Gadus morhua"/>
    <n v="0"/>
    <n v="2.3816000000000002"/>
    <n v="183.44810000000001"/>
    <n v="204.4306"/>
    <n v="149.5301"/>
    <n v="37.7517"/>
    <n v="11.374000000000001"/>
    <n v="0.55600000000000005"/>
    <n v="0.56669999999999998"/>
    <n v="0"/>
    <n v="0"/>
    <n v="20210329"/>
    <n v="590.03880000000015"/>
  </r>
  <r>
    <s v="BITS"/>
    <x v="2"/>
    <n v="1"/>
    <x v="4"/>
    <n v="12"/>
    <n v="126436"/>
    <s v="Gadus morhua"/>
    <n v="0"/>
    <n v="0.4"/>
    <n v="5.3224"/>
    <n v="24.5792"/>
    <n v="41.188299999999998"/>
    <n v="15.286300000000001"/>
    <n v="5.7248000000000001"/>
    <n v="0.36559999999999998"/>
    <n v="0.33329999999999999"/>
    <n v="0"/>
    <n v="0"/>
    <n v="20210329"/>
    <n v="93.1999"/>
  </r>
  <r>
    <s v="BITS"/>
    <x v="2"/>
    <n v="1"/>
    <x v="4"/>
    <n v="9"/>
    <n v="126436"/>
    <s v="Gadus morhua"/>
    <n v="0"/>
    <n v="1.8125"/>
    <n v="12.184900000000001"/>
    <n v="67.873800000000003"/>
    <n v="74.9846"/>
    <n v="16.140899999999998"/>
    <n v="4.6177999999999999"/>
    <n v="0.27829999999999999"/>
    <n v="0.1071"/>
    <n v="0"/>
    <n v="0"/>
    <n v="20210329"/>
    <n v="177.99989999999997"/>
  </r>
  <r>
    <s v="BITS"/>
    <x v="2"/>
    <n v="1"/>
    <x v="5"/>
    <n v="10"/>
    <n v="126436"/>
    <s v="Gadus morhua"/>
    <n v="0"/>
    <n v="17.328499999999998"/>
    <n v="348.00360000000001"/>
    <n v="90.428700000000006"/>
    <n v="53.033700000000003"/>
    <n v="42.098999999999997"/>
    <n v="13.1731"/>
    <n v="4.9690000000000003"/>
    <n v="1.3137000000000001"/>
    <n v="0.23230000000000001"/>
    <n v="0"/>
    <n v="20210329"/>
    <n v="570.58160000000009"/>
  </r>
  <r>
    <s v="BITS"/>
    <x v="2"/>
    <n v="1"/>
    <x v="5"/>
    <n v="11"/>
    <n v="126436"/>
    <s v="Gadus morhua"/>
    <n v="0"/>
    <n v="136.74889999999999"/>
    <n v="780.34990000000005"/>
    <n v="138.809"/>
    <n v="96.480999999999995"/>
    <n v="87.689800000000005"/>
    <n v="29.976400000000002"/>
    <n v="14.345499999999999"/>
    <n v="9.6768000000000001"/>
    <n v="2.6951999999999998"/>
    <n v="0.2273"/>
    <n v="20210329"/>
    <n v="1296.9998000000001"/>
  </r>
  <r>
    <s v="BITS"/>
    <x v="2"/>
    <n v="1"/>
    <x v="5"/>
    <n v="12"/>
    <n v="126436"/>
    <s v="Gadus morhua"/>
    <n v="0"/>
    <n v="6.5799999999999997E-2"/>
    <n v="4.9983000000000004"/>
    <n v="5.5263"/>
    <n v="5.6334999999999997"/>
    <n v="4.6298000000000004"/>
    <n v="1.1456"/>
    <n v="0.36159999999999998"/>
    <n v="2.4199999999999999E-2"/>
    <n v="1.4800000000000001E-2"/>
    <n v="0"/>
    <n v="20210329"/>
    <n v="22.399899999999999"/>
  </r>
  <r>
    <s v="BITS"/>
    <x v="2"/>
    <n v="1"/>
    <x v="5"/>
    <n v="13"/>
    <n v="126436"/>
    <s v="Gadus morhua"/>
    <n v="0"/>
    <n v="0.25"/>
    <n v="0"/>
    <n v="0.16489999999999999"/>
    <n v="0.30430000000000001"/>
    <n v="0.27410000000000001"/>
    <n v="6.7999999999999996E-3"/>
    <n v="0"/>
    <n v="0"/>
    <n v="0"/>
    <n v="0"/>
    <n v="20210329"/>
    <n v="1.0001"/>
  </r>
  <r>
    <s v="BITS"/>
    <x v="2"/>
    <n v="1"/>
    <x v="5"/>
    <n v="14"/>
    <n v="126436"/>
    <s v="Gadus morhua"/>
    <n v="0"/>
    <n v="0"/>
    <n v="0"/>
    <n v="0"/>
    <n v="0"/>
    <n v="0"/>
    <n v="0"/>
    <n v="0"/>
    <n v="0"/>
    <n v="0"/>
    <n v="0"/>
    <n v="20210329"/>
    <n v="0"/>
  </r>
  <r>
    <s v="BITS"/>
    <x v="2"/>
    <n v="1"/>
    <x v="5"/>
    <n v="9"/>
    <n v="126436"/>
    <s v="Gadus morhua"/>
    <n v="0"/>
    <n v="1.4879"/>
    <n v="9.9525000000000006"/>
    <n v="11.1286"/>
    <n v="11.677099999999999"/>
    <n v="10.0014"/>
    <n v="2.4544999999999999"/>
    <n v="0.53139999999999998"/>
    <n v="2.5600000000000001E-2"/>
    <n v="7.4099999999999999E-2"/>
    <n v="0"/>
    <n v="20210329"/>
    <n v="47.333100000000002"/>
  </r>
  <r>
    <s v="BITS"/>
    <x v="2"/>
    <n v="1"/>
    <x v="6"/>
    <n v="11"/>
    <n v="126436"/>
    <s v="Gadus morhua"/>
    <n v="0"/>
    <n v="0.5"/>
    <n v="12"/>
    <n v="5.75"/>
    <n v="4.25"/>
    <n v="0.5"/>
    <n v="0"/>
    <n v="0"/>
    <n v="0"/>
    <n v="0"/>
    <n v="0"/>
    <n v="20210329"/>
    <n v="23"/>
  </r>
  <r>
    <s v="BITS"/>
    <x v="2"/>
    <n v="1"/>
    <x v="6"/>
    <n v="12"/>
    <n v="126436"/>
    <s v="Gadus morhua"/>
    <n v="0"/>
    <n v="0"/>
    <n v="36"/>
    <n v="18"/>
    <n v="0"/>
    <n v="0"/>
    <n v="0"/>
    <n v="0"/>
    <n v="0"/>
    <n v="0"/>
    <n v="0"/>
    <n v="20210329"/>
    <n v="54"/>
  </r>
  <r>
    <s v="BITS"/>
    <x v="2"/>
    <n v="1"/>
    <x v="7"/>
    <n v="10"/>
    <n v="126436"/>
    <s v="Gadus morhua"/>
    <n v="0"/>
    <n v="2.0832999999999999"/>
    <n v="6.9081000000000001"/>
    <n v="2.5163000000000002"/>
    <n v="2.3624999999999998"/>
    <n v="1.7464"/>
    <n v="0.25829999999999997"/>
    <n v="0"/>
    <n v="0"/>
    <n v="0"/>
    <n v="0"/>
    <n v="20210329"/>
    <n v="15.8749"/>
  </r>
  <r>
    <s v="BITS"/>
    <x v="2"/>
    <n v="1"/>
    <x v="7"/>
    <n v="11"/>
    <n v="126436"/>
    <s v="Gadus morhua"/>
    <n v="0"/>
    <n v="2.7732999999999999"/>
    <n v="30.173500000000001"/>
    <n v="8.0876999999999999"/>
    <n v="4.8343999999999996"/>
    <n v="2.0975999999999999"/>
    <n v="0.43330000000000002"/>
    <n v="0"/>
    <n v="0"/>
    <n v="0"/>
    <n v="0"/>
    <n v="20210329"/>
    <n v="48.399800000000006"/>
  </r>
  <r>
    <s v="BITS"/>
    <x v="2"/>
    <n v="1"/>
    <x v="7"/>
    <n v="12"/>
    <n v="126436"/>
    <s v="Gadus morhua"/>
    <n v="0"/>
    <n v="0.2"/>
    <n v="18.8446"/>
    <n v="3.0626000000000002"/>
    <n v="0.5"/>
    <n v="0.39290000000000003"/>
    <n v="0"/>
    <n v="0"/>
    <n v="0"/>
    <n v="0"/>
    <n v="0"/>
    <n v="20210329"/>
    <n v="23.0001"/>
  </r>
  <r>
    <s v="BITS"/>
    <x v="2"/>
    <n v="1"/>
    <x v="7"/>
    <n v="9"/>
    <n v="126436"/>
    <s v="Gadus morhua"/>
    <n v="0"/>
    <n v="0"/>
    <n v="0"/>
    <n v="0"/>
    <n v="0"/>
    <n v="0"/>
    <n v="0"/>
    <n v="0"/>
    <n v="0"/>
    <n v="0"/>
    <n v="0"/>
    <n v="20210329"/>
    <n v="0"/>
  </r>
  <r>
    <s v="BITS"/>
    <x v="3"/>
    <n v="1"/>
    <x v="0"/>
    <n v="10"/>
    <n v="126436"/>
    <s v="Gadus morhua"/>
    <n v="0"/>
    <n v="0.36670000000000003"/>
    <n v="0.36670000000000003"/>
    <n v="1.0333000000000001"/>
    <n v="3.1"/>
    <n v="0"/>
    <n v="0"/>
    <n v="0.51670000000000005"/>
    <n v="0"/>
    <n v="0"/>
    <n v="0"/>
    <n v="20210325"/>
    <n v="5.3834"/>
  </r>
  <r>
    <s v="BITS"/>
    <x v="3"/>
    <n v="1"/>
    <x v="0"/>
    <n v="11"/>
    <n v="126436"/>
    <s v="Gadus morhua"/>
    <n v="0"/>
    <n v="0"/>
    <n v="3.3"/>
    <n v="0"/>
    <n v="0"/>
    <n v="0"/>
    <n v="0"/>
    <n v="0"/>
    <n v="0"/>
    <n v="0"/>
    <n v="0"/>
    <n v="20210325"/>
    <n v="3.3"/>
  </r>
  <r>
    <s v="BITS"/>
    <x v="3"/>
    <n v="1"/>
    <x v="0"/>
    <n v="9"/>
    <n v="126436"/>
    <s v="Gadus morhua"/>
    <n v="0"/>
    <n v="0"/>
    <n v="2.9315000000000002"/>
    <n v="3.8351999999999999"/>
    <n v="2.4110999999999998"/>
    <n v="1.3777999999999999"/>
    <n v="0"/>
    <n v="0"/>
    <n v="0"/>
    <n v="0"/>
    <n v="0"/>
    <n v="20210325"/>
    <n v="10.5556"/>
  </r>
  <r>
    <s v="BITS"/>
    <x v="3"/>
    <n v="1"/>
    <x v="1"/>
    <n v="8"/>
    <n v="126436"/>
    <s v="Gadus morhua"/>
    <n v="0"/>
    <n v="0.28810000000000002"/>
    <n v="1.3997999999999999"/>
    <n v="2.6997"/>
    <n v="0.23949999999999999"/>
    <n v="0.93"/>
    <n v="0"/>
    <n v="0"/>
    <n v="0"/>
    <n v="0"/>
    <n v="0"/>
    <n v="20210325"/>
    <n v="5.5570999999999993"/>
  </r>
  <r>
    <s v="BITS"/>
    <x v="3"/>
    <n v="1"/>
    <x v="1"/>
    <n v="9"/>
    <n v="126436"/>
    <s v="Gadus morhua"/>
    <n v="0"/>
    <n v="2.8658000000000001"/>
    <n v="97.535700000000006"/>
    <n v="1697.4685999999999"/>
    <n v="33.086199999999998"/>
    <n v="6.1746999999999996"/>
    <n v="0.16320000000000001"/>
    <n v="0"/>
    <n v="0"/>
    <n v="0"/>
    <n v="0"/>
    <n v="20210325"/>
    <n v="1837.2941999999998"/>
  </r>
  <r>
    <s v="BITS"/>
    <x v="3"/>
    <n v="1"/>
    <x v="2"/>
    <n v="8"/>
    <n v="126436"/>
    <s v="Gadus morhua"/>
    <n v="0"/>
    <n v="0.66"/>
    <n v="107.0741"/>
    <n v="1552.7879"/>
    <n v="103.3185"/>
    <n v="21.438400000000001"/>
    <n v="0"/>
    <n v="0"/>
    <n v="0"/>
    <n v="0"/>
    <n v="0"/>
    <n v="20210325"/>
    <n v="1785.2789"/>
  </r>
  <r>
    <s v="BITS"/>
    <x v="3"/>
    <n v="1"/>
    <x v="2"/>
    <n v="9"/>
    <n v="126436"/>
    <s v="Gadus morhua"/>
    <n v="0"/>
    <n v="0"/>
    <n v="1.9039999999999999"/>
    <n v="8.5790000000000006"/>
    <n v="20.573699999999999"/>
    <n v="23.043299999999999"/>
    <n v="4.34"/>
    <n v="0"/>
    <n v="0"/>
    <n v="0"/>
    <n v="0"/>
    <n v="20210325"/>
    <n v="58.44"/>
  </r>
  <r>
    <s v="BITS"/>
    <x v="3"/>
    <n v="1"/>
    <x v="3"/>
    <n v="10"/>
    <n v="126436"/>
    <s v="Gadus morhua"/>
    <n v="0"/>
    <n v="3.7241"/>
    <n v="131.03210000000001"/>
    <n v="552.24480000000005"/>
    <n v="166.20939999999999"/>
    <n v="55.540500000000002"/>
    <n v="8.9792000000000005"/>
    <n v="0"/>
    <n v="0"/>
    <n v="0"/>
    <n v="0"/>
    <n v="20210325"/>
    <n v="917.73009999999999"/>
  </r>
  <r>
    <s v="BITS"/>
    <x v="3"/>
    <n v="1"/>
    <x v="3"/>
    <n v="8"/>
    <n v="126436"/>
    <s v="Gadus morhua"/>
    <n v="0"/>
    <n v="1.6667000000000001"/>
    <n v="13.933299999999999"/>
    <n v="148.47329999999999"/>
    <n v="48.500700000000002"/>
    <n v="15.866099999999999"/>
    <n v="2.8416999999999999"/>
    <n v="0"/>
    <n v="0"/>
    <n v="0"/>
    <n v="0"/>
    <n v="20210325"/>
    <n v="231.28179999999998"/>
  </r>
  <r>
    <s v="BITS"/>
    <x v="3"/>
    <n v="1"/>
    <x v="3"/>
    <n v="9"/>
    <n v="126436"/>
    <s v="Gadus morhua"/>
    <n v="0"/>
    <n v="2.2667000000000002"/>
    <n v="19.164999999999999"/>
    <n v="132.95169999999999"/>
    <n v="40.036499999999997"/>
    <n v="11.2326"/>
    <n v="2.2099000000000002"/>
    <n v="0"/>
    <n v="0"/>
    <n v="0"/>
    <n v="0"/>
    <n v="20210325"/>
    <n v="207.86239999999998"/>
  </r>
  <r>
    <s v="BITS"/>
    <x v="3"/>
    <n v="1"/>
    <x v="4"/>
    <n v="10"/>
    <n v="126436"/>
    <s v="Gadus morhua"/>
    <n v="0"/>
    <n v="13.0831"/>
    <n v="427.95870000000002"/>
    <n v="142.69220000000001"/>
    <n v="31.657599999999999"/>
    <n v="5.0620000000000003"/>
    <n v="0.67010000000000003"/>
    <n v="0.40970000000000001"/>
    <n v="0"/>
    <n v="0"/>
    <n v="0"/>
    <n v="20210325"/>
    <n v="621.53340000000014"/>
  </r>
  <r>
    <s v="BITS"/>
    <x v="3"/>
    <n v="1"/>
    <x v="4"/>
    <n v="11"/>
    <n v="126436"/>
    <s v="Gadus morhua"/>
    <n v="0"/>
    <n v="6.3727999999999998"/>
    <n v="329.96440000000001"/>
    <n v="342.77339999999998"/>
    <n v="89.283799999999999"/>
    <n v="12.092599999999999"/>
    <n v="1.5599000000000001"/>
    <n v="0.77010000000000001"/>
    <n v="0"/>
    <n v="0"/>
    <n v="0"/>
    <n v="20210325"/>
    <n v="782.81699999999989"/>
  </r>
  <r>
    <s v="BITS"/>
    <x v="3"/>
    <n v="1"/>
    <x v="4"/>
    <n v="12"/>
    <n v="126436"/>
    <s v="Gadus morhua"/>
    <n v="0"/>
    <n v="0.95279999999999998"/>
    <n v="189.3801"/>
    <n v="418.15339999999998"/>
    <n v="151.38030000000001"/>
    <n v="22.756399999999999"/>
    <n v="2.7641"/>
    <n v="1.9460999999999999"/>
    <n v="0"/>
    <n v="0"/>
    <n v="0"/>
    <n v="20210325"/>
    <n v="787.33320000000003"/>
  </r>
  <r>
    <s v="BITS"/>
    <x v="3"/>
    <n v="1"/>
    <x v="4"/>
    <n v="9"/>
    <n v="126436"/>
    <s v="Gadus morhua"/>
    <n v="0"/>
    <n v="1"/>
    <n v="5.2889999999999997"/>
    <n v="30.590800000000002"/>
    <n v="11.5898"/>
    <n v="1.6483000000000001"/>
    <n v="0.18129999999999999"/>
    <n v="7.5800000000000006E-2"/>
    <n v="0"/>
    <n v="0"/>
    <n v="0"/>
    <n v="20210325"/>
    <n v="50.375"/>
  </r>
  <r>
    <s v="BITS"/>
    <x v="3"/>
    <n v="1"/>
    <x v="5"/>
    <n v="10"/>
    <n v="126436"/>
    <s v="Gadus morhua"/>
    <n v="0"/>
    <n v="3.85"/>
    <n v="175.48939999999999"/>
    <n v="210.661"/>
    <n v="24.0166"/>
    <n v="3.8744999999999998"/>
    <n v="0.42320000000000002"/>
    <n v="0.05"/>
    <n v="0"/>
    <n v="0"/>
    <n v="0"/>
    <n v="20210325"/>
    <n v="418.36470000000003"/>
  </r>
  <r>
    <s v="BITS"/>
    <x v="3"/>
    <n v="1"/>
    <x v="5"/>
    <n v="11"/>
    <n v="126436"/>
    <s v="Gadus morhua"/>
    <n v="0"/>
    <n v="9.7543000000000006"/>
    <n v="447.71899999999999"/>
    <n v="263.3109"/>
    <n v="28.409099999999999"/>
    <n v="3.7147000000000001"/>
    <n v="1.8989"/>
    <n v="0.12379999999999999"/>
    <n v="0"/>
    <n v="0"/>
    <n v="0"/>
    <n v="20210325"/>
    <n v="754.9307"/>
  </r>
  <r>
    <s v="BITS"/>
    <x v="3"/>
    <n v="1"/>
    <x v="5"/>
    <n v="12"/>
    <n v="126436"/>
    <s v="Gadus morhua"/>
    <n v="0"/>
    <n v="0.40560000000000002"/>
    <n v="227.1112"/>
    <n v="332.1628"/>
    <n v="42.510199999999998"/>
    <n v="5.1497000000000002"/>
    <n v="1.1218999999999999"/>
    <n v="0.15379999999999999"/>
    <n v="0"/>
    <n v="0"/>
    <n v="0"/>
    <n v="20210325"/>
    <n v="608.61519999999996"/>
  </r>
  <r>
    <s v="BITS"/>
    <x v="3"/>
    <n v="1"/>
    <x v="5"/>
    <n v="13"/>
    <n v="126436"/>
    <s v="Gadus morhua"/>
    <n v="0"/>
    <n v="0"/>
    <n v="1.837"/>
    <n v="4.3921000000000001"/>
    <n v="1.6324000000000001"/>
    <n v="8.8499999999999995E-2"/>
    <n v="0"/>
    <n v="0.05"/>
    <n v="0"/>
    <n v="0"/>
    <n v="0"/>
    <n v="20210325"/>
    <n v="7.9999999999999991"/>
  </r>
  <r>
    <s v="BITS"/>
    <x v="3"/>
    <n v="1"/>
    <x v="5"/>
    <n v="14"/>
    <n v="126436"/>
    <s v="Gadus morhua"/>
    <n v="0"/>
    <n v="0"/>
    <n v="0"/>
    <n v="0"/>
    <n v="0"/>
    <n v="0"/>
    <n v="0"/>
    <n v="0"/>
    <n v="0"/>
    <n v="0"/>
    <n v="0"/>
    <n v="20210325"/>
    <n v="0"/>
  </r>
  <r>
    <s v="BITS"/>
    <x v="3"/>
    <n v="1"/>
    <x v="5"/>
    <n v="9"/>
    <n v="126436"/>
    <s v="Gadus morhua"/>
    <n v="0"/>
    <n v="0.54769999999999996"/>
    <n v="33.043199999999999"/>
    <n v="72.622200000000007"/>
    <n v="17.3993"/>
    <n v="2.2017000000000002"/>
    <n v="0.69699999999999995"/>
    <n v="8.8800000000000004E-2"/>
    <n v="0"/>
    <n v="0"/>
    <n v="0"/>
    <n v="20210325"/>
    <n v="126.59990000000001"/>
  </r>
  <r>
    <s v="BITS"/>
    <x v="3"/>
    <n v="1"/>
    <x v="6"/>
    <n v="11"/>
    <n v="126436"/>
    <s v="Gadus morhua"/>
    <n v="0"/>
    <n v="0"/>
    <n v="10.119"/>
    <n v="3.7381000000000002"/>
    <n v="0"/>
    <n v="0"/>
    <n v="0"/>
    <n v="0"/>
    <n v="0"/>
    <n v="0"/>
    <n v="0"/>
    <n v="20210325"/>
    <n v="13.857099999999999"/>
  </r>
  <r>
    <s v="BITS"/>
    <x v="3"/>
    <n v="1"/>
    <x v="6"/>
    <n v="12"/>
    <n v="126436"/>
    <s v="Gadus morhua"/>
    <n v="0"/>
    <n v="0"/>
    <n v="0"/>
    <n v="0"/>
    <n v="0"/>
    <n v="0"/>
    <n v="0"/>
    <n v="0"/>
    <n v="0"/>
    <n v="0"/>
    <n v="0"/>
    <n v="20210325"/>
    <n v="0"/>
  </r>
  <r>
    <s v="BITS"/>
    <x v="3"/>
    <n v="1"/>
    <x v="7"/>
    <n v="10"/>
    <n v="126436"/>
    <s v="Gadus morhua"/>
    <n v="0"/>
    <n v="0"/>
    <n v="20.937799999999999"/>
    <n v="20.261600000000001"/>
    <n v="5.4034000000000004"/>
    <n v="0.6472"/>
    <n v="0.25"/>
    <n v="0.25"/>
    <n v="0"/>
    <n v="0"/>
    <n v="0"/>
    <n v="20210325"/>
    <n v="47.749999999999993"/>
  </r>
  <r>
    <s v="BITS"/>
    <x v="3"/>
    <n v="1"/>
    <x v="7"/>
    <n v="11"/>
    <n v="126436"/>
    <s v="Gadus morhua"/>
    <n v="0"/>
    <n v="0"/>
    <n v="34.598500000000001"/>
    <n v="20.752800000000001"/>
    <n v="3.0518999999999998"/>
    <n v="1.3746"/>
    <n v="0.44440000000000002"/>
    <n v="0"/>
    <n v="0"/>
    <n v="0"/>
    <n v="0"/>
    <n v="20210325"/>
    <n v="60.222200000000001"/>
  </r>
  <r>
    <s v="BITS"/>
    <x v="3"/>
    <n v="1"/>
    <x v="7"/>
    <n v="12"/>
    <n v="126436"/>
    <s v="Gadus morhua"/>
    <n v="0"/>
    <n v="0"/>
    <n v="14.0084"/>
    <n v="8.1692999999999998"/>
    <n v="0.33879999999999999"/>
    <n v="5.4899999999999997E-2"/>
    <n v="0"/>
    <n v="0"/>
    <n v="0"/>
    <n v="0"/>
    <n v="0"/>
    <n v="20210325"/>
    <n v="22.571400000000001"/>
  </r>
  <r>
    <s v="BITS"/>
    <x v="3"/>
    <n v="1"/>
    <x v="7"/>
    <n v="13"/>
    <n v="126436"/>
    <s v="Gadus morhua"/>
    <n v="0"/>
    <n v="0"/>
    <n v="0"/>
    <n v="0"/>
    <n v="0"/>
    <n v="0"/>
    <n v="0"/>
    <n v="0"/>
    <n v="0"/>
    <n v="0"/>
    <n v="0"/>
    <n v="20210325"/>
    <n v="0"/>
  </r>
  <r>
    <s v="BITS"/>
    <x v="3"/>
    <n v="1"/>
    <x v="7"/>
    <n v="9"/>
    <n v="126436"/>
    <s v="Gadus morhua"/>
    <n v="0"/>
    <n v="0.5"/>
    <n v="6.1609999999999996"/>
    <n v="12.3118"/>
    <n v="4.0624000000000002"/>
    <n v="0.4647"/>
    <n v="0"/>
    <n v="0"/>
    <n v="0"/>
    <n v="0"/>
    <n v="0"/>
    <n v="20210325"/>
    <n v="23.4999"/>
  </r>
  <r>
    <s v="BITS"/>
    <x v="4"/>
    <n v="1"/>
    <x v="0"/>
    <n v="10"/>
    <n v="126436"/>
    <s v="Gadus morhua"/>
    <n v="0"/>
    <n v="19.2089"/>
    <n v="2.7911000000000001"/>
    <n v="0"/>
    <n v="0"/>
    <n v="0"/>
    <n v="0"/>
    <n v="0"/>
    <n v="0"/>
    <n v="0"/>
    <n v="0"/>
    <n v="20210325"/>
    <n v="22"/>
  </r>
  <r>
    <s v="BITS"/>
    <x v="4"/>
    <n v="1"/>
    <x v="0"/>
    <n v="11"/>
    <n v="126436"/>
    <s v="Gadus morhua"/>
    <n v="0"/>
    <n v="34.130200000000002"/>
    <n v="9.2197999999999993"/>
    <n v="0"/>
    <n v="0"/>
    <n v="0"/>
    <n v="0"/>
    <n v="0"/>
    <n v="0"/>
    <n v="0"/>
    <n v="0"/>
    <n v="20210325"/>
    <n v="43.35"/>
  </r>
  <r>
    <s v="BITS"/>
    <x v="4"/>
    <n v="1"/>
    <x v="0"/>
    <n v="9"/>
    <n v="126436"/>
    <s v="Gadus morhua"/>
    <n v="0"/>
    <n v="21.050999999999998"/>
    <n v="9.2690000000000001"/>
    <n v="0.62"/>
    <n v="9.61"/>
    <n v="0.20669999999999999"/>
    <n v="3.2033"/>
    <n v="0"/>
    <n v="1.0333000000000001"/>
    <n v="0"/>
    <n v="0"/>
    <n v="20210325"/>
    <n v="44.993299999999991"/>
  </r>
  <r>
    <s v="BITS"/>
    <x v="4"/>
    <n v="1"/>
    <x v="1"/>
    <n v="8"/>
    <n v="126436"/>
    <s v="Gadus morhua"/>
    <n v="0"/>
    <n v="13.97"/>
    <n v="9.6588999999999992"/>
    <n v="3.0792000000000002"/>
    <n v="82.230699999999999"/>
    <n v="0.91049999999999998"/>
    <n v="7.9399999999999998E-2"/>
    <n v="0"/>
    <n v="0"/>
    <n v="0"/>
    <n v="0.20669999999999999"/>
    <n v="20210325"/>
    <n v="110.1354"/>
  </r>
  <r>
    <s v="BITS"/>
    <x v="4"/>
    <n v="1"/>
    <x v="1"/>
    <n v="9"/>
    <n v="126436"/>
    <s v="Gadus morhua"/>
    <n v="0"/>
    <n v="6.6314000000000002"/>
    <n v="3.0893000000000002"/>
    <n v="3.1415000000000002"/>
    <n v="185.1112"/>
    <n v="2.5365000000000002"/>
    <n v="1.4079999999999999"/>
    <n v="0.11070000000000001"/>
    <n v="0"/>
    <n v="0"/>
    <n v="0"/>
    <n v="20210325"/>
    <n v="202.02859999999998"/>
  </r>
  <r>
    <s v="BITS"/>
    <x v="4"/>
    <n v="1"/>
    <x v="2"/>
    <n v="8"/>
    <n v="126436"/>
    <s v="Gadus morhua"/>
    <n v="0"/>
    <n v="35.415999999999997"/>
    <n v="150.57230000000001"/>
    <n v="59.716500000000003"/>
    <n v="413.78870000000001"/>
    <n v="49.435600000000001"/>
    <n v="174.74510000000001"/>
    <n v="20.837800000000001"/>
    <n v="13.058400000000001"/>
    <n v="13.3362"/>
    <n v="0"/>
    <n v="20210325"/>
    <n v="930.90660000000003"/>
  </r>
  <r>
    <s v="BITS"/>
    <x v="4"/>
    <n v="1"/>
    <x v="2"/>
    <n v="9"/>
    <n v="126436"/>
    <s v="Gadus morhua"/>
    <n v="0"/>
    <n v="4.2789999999999999"/>
    <n v="67.102000000000004"/>
    <n v="302.06360000000001"/>
    <n v="3185.069"/>
    <n v="189.3263"/>
    <n v="104.91330000000001"/>
    <n v="3.0148000000000001"/>
    <n v="0"/>
    <n v="0"/>
    <n v="0"/>
    <n v="20210325"/>
    <n v="3855.7680000000005"/>
  </r>
  <r>
    <s v="BITS"/>
    <x v="4"/>
    <n v="1"/>
    <x v="3"/>
    <n v="10"/>
    <n v="126436"/>
    <s v="Gadus morhua"/>
    <n v="0"/>
    <n v="81.073899999999995"/>
    <n v="263.81700000000001"/>
    <n v="171.82599999999999"/>
    <n v="122.2017"/>
    <n v="1.8123"/>
    <n v="1.7031000000000001"/>
    <n v="1.4964999999999999"/>
    <n v="0.28610000000000002"/>
    <n v="0"/>
    <n v="0"/>
    <n v="20210325"/>
    <n v="644.21659999999997"/>
  </r>
  <r>
    <s v="BITS"/>
    <x v="4"/>
    <n v="1"/>
    <x v="3"/>
    <n v="11"/>
    <n v="126436"/>
    <s v="Gadus morhua"/>
    <n v="0"/>
    <n v="47.431699999999999"/>
    <n v="143.8142"/>
    <n v="132.6806"/>
    <n v="66.983500000000006"/>
    <n v="1.24"/>
    <n v="1.55"/>
    <n v="0"/>
    <n v="0"/>
    <n v="0"/>
    <n v="0"/>
    <n v="20210325"/>
    <n v="393.70000000000005"/>
  </r>
  <r>
    <s v="BITS"/>
    <x v="4"/>
    <n v="1"/>
    <x v="3"/>
    <n v="8"/>
    <n v="126436"/>
    <s v="Gadus morhua"/>
    <n v="0"/>
    <n v="41.1051"/>
    <n v="14.4681"/>
    <n v="31.776399999999999"/>
    <n v="81.156700000000001"/>
    <n v="3.1619999999999999"/>
    <n v="1.7050000000000001"/>
    <n v="3.0310999999999999"/>
    <n v="1.1022000000000001"/>
    <n v="0"/>
    <n v="0"/>
    <n v="20210325"/>
    <n v="177.50660000000005"/>
  </r>
  <r>
    <s v="BITS"/>
    <x v="4"/>
    <n v="1"/>
    <x v="3"/>
    <n v="9"/>
    <n v="126436"/>
    <s v="Gadus morhua"/>
    <n v="0"/>
    <n v="162.0573"/>
    <n v="230.79300000000001"/>
    <n v="116.2574"/>
    <n v="75.343900000000005"/>
    <n v="1.5474000000000001"/>
    <n v="0.77939999999999998"/>
    <n v="1.0206"/>
    <n v="0.28239999999999998"/>
    <n v="0"/>
    <n v="0"/>
    <n v="20210325"/>
    <n v="588.08140000000003"/>
  </r>
  <r>
    <s v="BITS"/>
    <x v="4"/>
    <n v="1"/>
    <x v="4"/>
    <n v="10"/>
    <n v="126436"/>
    <s v="Gadus morhua"/>
    <n v="0"/>
    <n v="48.702399999999997"/>
    <n v="198.93469999999999"/>
    <n v="204.6413"/>
    <n v="52.533200000000001"/>
    <n v="4.9824000000000002"/>
    <n v="0.1414"/>
    <n v="0.1857"/>
    <n v="0"/>
    <n v="0"/>
    <n v="0"/>
    <n v="20210325"/>
    <n v="510.12109999999996"/>
  </r>
  <r>
    <s v="BITS"/>
    <x v="4"/>
    <n v="1"/>
    <x v="4"/>
    <n v="11"/>
    <n v="126436"/>
    <s v="Gadus morhua"/>
    <n v="0"/>
    <n v="29.633199999999999"/>
    <n v="252.25370000000001"/>
    <n v="390.66860000000003"/>
    <n v="107.39100000000001"/>
    <n v="10.7255"/>
    <n v="0.42249999999999999"/>
    <n v="0.3513"/>
    <n v="0"/>
    <n v="0"/>
    <n v="0"/>
    <n v="20210325"/>
    <n v="791.44580000000008"/>
  </r>
  <r>
    <s v="BITS"/>
    <x v="4"/>
    <n v="1"/>
    <x v="4"/>
    <n v="12"/>
    <n v="126436"/>
    <s v="Gadus morhua"/>
    <n v="0"/>
    <n v="16.099399999999999"/>
    <n v="270.43540000000002"/>
    <n v="620.65790000000004"/>
    <n v="196.97550000000001"/>
    <n v="21.0716"/>
    <n v="0.6825"/>
    <n v="0.93479999999999996"/>
    <n v="0"/>
    <n v="0"/>
    <n v="0"/>
    <n v="20210325"/>
    <n v="1126.8570999999999"/>
  </r>
  <r>
    <s v="BITS"/>
    <x v="4"/>
    <n v="1"/>
    <x v="4"/>
    <n v="9"/>
    <n v="126436"/>
    <s v="Gadus morhua"/>
    <n v="0"/>
    <n v="23.886299999999999"/>
    <n v="168.54660000000001"/>
    <n v="127.89579999999999"/>
    <n v="30.5503"/>
    <n v="3.5442"/>
    <n v="0.22969999999999999"/>
    <n v="0.1706"/>
    <n v="0"/>
    <n v="0"/>
    <n v="0"/>
    <n v="20210325"/>
    <n v="354.82349999999997"/>
  </r>
  <r>
    <s v="BITS"/>
    <x v="4"/>
    <n v="1"/>
    <x v="5"/>
    <n v="10"/>
    <n v="126436"/>
    <s v="Gadus morhua"/>
    <n v="0"/>
    <n v="26.258600000000001"/>
    <n v="106.0111"/>
    <n v="341.90179999999998"/>
    <n v="233.08690000000001"/>
    <n v="53.7667"/>
    <n v="0.125"/>
    <n v="0"/>
    <n v="0"/>
    <n v="0"/>
    <n v="0"/>
    <n v="20210325"/>
    <n v="761.15009999999995"/>
  </r>
  <r>
    <s v="BITS"/>
    <x v="4"/>
    <n v="1"/>
    <x v="5"/>
    <n v="11"/>
    <n v="126436"/>
    <s v="Gadus morhua"/>
    <n v="0"/>
    <n v="10.0718"/>
    <n v="47.804299999999998"/>
    <n v="152.42660000000001"/>
    <n v="90.791499999999999"/>
    <n v="18.530799999999999"/>
    <n v="0.15379999999999999"/>
    <n v="0"/>
    <n v="0.15379999999999999"/>
    <n v="0"/>
    <n v="0"/>
    <n v="20210325"/>
    <n v="319.93259999999998"/>
  </r>
  <r>
    <s v="BITS"/>
    <x v="4"/>
    <n v="1"/>
    <x v="5"/>
    <n v="12"/>
    <n v="126436"/>
    <s v="Gadus morhua"/>
    <n v="0"/>
    <n v="0"/>
    <n v="4.1054000000000004"/>
    <n v="16.1831"/>
    <n v="9.5759000000000007"/>
    <n v="1.6758999999999999"/>
    <n v="0"/>
    <n v="0"/>
    <n v="0"/>
    <n v="0"/>
    <n v="0"/>
    <n v="20210325"/>
    <n v="31.540299999999998"/>
  </r>
  <r>
    <s v="BITS"/>
    <x v="4"/>
    <n v="1"/>
    <x v="5"/>
    <n v="13"/>
    <n v="126436"/>
    <s v="Gadus morhua"/>
    <n v="0"/>
    <n v="0"/>
    <n v="0"/>
    <n v="0"/>
    <n v="0"/>
    <n v="0"/>
    <n v="0"/>
    <n v="0"/>
    <n v="0"/>
    <n v="0"/>
    <n v="0"/>
    <n v="20210325"/>
    <n v="0"/>
  </r>
  <r>
    <s v="BITS"/>
    <x v="4"/>
    <n v="1"/>
    <x v="5"/>
    <n v="14"/>
    <n v="126436"/>
    <s v="Gadus morhua"/>
    <n v="0"/>
    <n v="0"/>
    <n v="0"/>
    <n v="0"/>
    <n v="0"/>
    <n v="0"/>
    <n v="0"/>
    <n v="0"/>
    <n v="0"/>
    <n v="0"/>
    <n v="0"/>
    <n v="20210325"/>
    <n v="0"/>
  </r>
  <r>
    <s v="BITS"/>
    <x v="4"/>
    <n v="1"/>
    <x v="5"/>
    <n v="9"/>
    <n v="126436"/>
    <s v="Gadus morhua"/>
    <n v="0"/>
    <n v="1.2111000000000001"/>
    <n v="22.790099999999999"/>
    <n v="64.401899999999998"/>
    <n v="43.569699999999997"/>
    <n v="12.027200000000001"/>
    <n v="0.16669999999999999"/>
    <n v="0"/>
    <n v="5.5599999999999997E-2"/>
    <n v="0"/>
    <n v="0"/>
    <n v="20210325"/>
    <n v="144.22229999999999"/>
  </r>
  <r>
    <s v="BITS"/>
    <x v="4"/>
    <n v="1"/>
    <x v="6"/>
    <n v="10"/>
    <n v="126436"/>
    <s v="Gadus morhua"/>
    <n v="0"/>
    <n v="3"/>
    <n v="2.625"/>
    <n v="1.875"/>
    <n v="0"/>
    <n v="0"/>
    <n v="0"/>
    <n v="0"/>
    <n v="0"/>
    <n v="0"/>
    <n v="0"/>
    <n v="20210325"/>
    <n v="7.5"/>
  </r>
  <r>
    <s v="BITS"/>
    <x v="4"/>
    <n v="1"/>
    <x v="6"/>
    <n v="11"/>
    <n v="126436"/>
    <s v="Gadus morhua"/>
    <n v="0"/>
    <n v="1.5713999999999999"/>
    <n v="3.3571"/>
    <n v="8.3571000000000009"/>
    <n v="1.5713999999999999"/>
    <n v="0"/>
    <n v="0"/>
    <n v="0"/>
    <n v="0"/>
    <n v="0"/>
    <n v="0"/>
    <n v="20210325"/>
    <n v="14.857000000000001"/>
  </r>
  <r>
    <s v="BITS"/>
    <x v="4"/>
    <n v="1"/>
    <x v="6"/>
    <n v="13"/>
    <n v="126436"/>
    <s v="Gadus morhua"/>
    <n v="0"/>
    <n v="0"/>
    <n v="0"/>
    <n v="0"/>
    <n v="0"/>
    <n v="0"/>
    <n v="0"/>
    <n v="0"/>
    <n v="0"/>
    <n v="0"/>
    <n v="0"/>
    <n v="20210325"/>
    <n v="0"/>
  </r>
  <r>
    <s v="BITS"/>
    <x v="4"/>
    <n v="1"/>
    <x v="7"/>
    <n v="10"/>
    <n v="126436"/>
    <s v="Gadus morhua"/>
    <n v="0"/>
    <n v="5.1429"/>
    <n v="7.6662999999999997"/>
    <n v="17.572500000000002"/>
    <n v="3.1335000000000002"/>
    <n v="0.1991"/>
    <n v="0"/>
    <n v="0"/>
    <n v="0"/>
    <n v="0"/>
    <n v="0"/>
    <n v="20210325"/>
    <n v="33.714300000000001"/>
  </r>
  <r>
    <s v="BITS"/>
    <x v="4"/>
    <n v="1"/>
    <x v="7"/>
    <n v="11"/>
    <n v="126436"/>
    <s v="Gadus morhua"/>
    <n v="0"/>
    <n v="0.22220000000000001"/>
    <n v="3.4373"/>
    <n v="16.671600000000002"/>
    <n v="3.5493000000000001"/>
    <n v="0.78620000000000001"/>
    <n v="0"/>
    <n v="0"/>
    <n v="0"/>
    <n v="0"/>
    <n v="0"/>
    <n v="20210325"/>
    <n v="24.666600000000003"/>
  </r>
  <r>
    <s v="BITS"/>
    <x v="4"/>
    <n v="1"/>
    <x v="7"/>
    <n v="12"/>
    <n v="126436"/>
    <s v="Gadus morhua"/>
    <n v="0"/>
    <n v="0"/>
    <n v="7.0699999999999999E-2"/>
    <n v="0.1515"/>
    <n v="0"/>
    <n v="0"/>
    <n v="0"/>
    <n v="0"/>
    <n v="0"/>
    <n v="0"/>
    <n v="0"/>
    <n v="20210325"/>
    <n v="0.22220000000000001"/>
  </r>
  <r>
    <s v="BITS"/>
    <x v="4"/>
    <n v="1"/>
    <x v="7"/>
    <n v="9"/>
    <n v="126436"/>
    <s v="Gadus morhua"/>
    <n v="0"/>
    <n v="0"/>
    <n v="0"/>
    <n v="0"/>
    <n v="0"/>
    <n v="0"/>
    <n v="0"/>
    <n v="0"/>
    <n v="0"/>
    <n v="0"/>
    <n v="0"/>
    <n v="20210325"/>
    <n v="0"/>
  </r>
  <r>
    <m/>
    <x v="5"/>
    <m/>
    <x v="8"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22" applyNumberFormats="0" applyBorderFormats="0" applyFontFormats="0" applyPatternFormats="0" applyAlignmentFormats="0" applyWidthHeightFormats="1" dataCaption="Values" updatedVersion="6" minRefreshableVersion="3" useAutoFormatting="1" itemPrintTitles="1" createdVersion="4" indent="0" outline="1" outlineData="1" multipleFieldFilters="0">
  <location ref="A3:G13" firstHeaderRow="1" firstDataRow="2" firstDataCol="1"/>
  <pivotFields count="20">
    <pivotField showAll="0"/>
    <pivotField axis="axisCol" showAll="0">
      <items count="9">
        <item m="1" x="7"/>
        <item m="1" x="6"/>
        <item x="5"/>
        <item x="0"/>
        <item x="1"/>
        <item x="2"/>
        <item x="3"/>
        <item x="4"/>
        <item t="default"/>
      </items>
    </pivotField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h="1" x="8"/>
        <item t="default"/>
      </items>
    </pivotField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 defaultSubtota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"/>
  </colFields>
  <colItems count="6">
    <i>
      <x v="3"/>
    </i>
    <i>
      <x v="4"/>
    </i>
    <i>
      <x v="5"/>
    </i>
    <i>
      <x v="6"/>
    </i>
    <i>
      <x v="7"/>
    </i>
    <i t="grand">
      <x/>
    </i>
  </colItems>
  <dataFields count="1">
    <dataField name="Average of Age_1+" fld="19" subtotal="average" baseField="3" baseItem="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5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4" indent="0" compact="0" compactData="0" gridDropZones="1" multipleFieldFilters="0">
  <location ref="A3:H36" firstHeaderRow="1" firstDataRow="2" firstDataCol="2"/>
  <pivotFields count="20">
    <pivotField compact="0" outline="0" showAll="0"/>
    <pivotField axis="axisCol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axis="axisRow" compact="0" outline="0" showAll="0" defaultSubtotal="0">
      <items count="8">
        <item x="0"/>
        <item x="1"/>
        <item x="2"/>
        <item x="3"/>
        <item x="4"/>
        <item x="5"/>
        <item x="6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8">
        <item x="3"/>
        <item x="2"/>
        <item x="0"/>
        <item x="1"/>
        <item x="4"/>
        <item x="5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2">
    <field x="3"/>
    <field x="4"/>
  </rowFields>
  <rowItems count="32">
    <i>
      <x/>
      <x v="1"/>
    </i>
    <i r="1">
      <x v="2"/>
    </i>
    <i r="1">
      <x v="3"/>
    </i>
    <i r="1">
      <x v="4"/>
    </i>
    <i>
      <x v="1"/>
      <x/>
    </i>
    <i r="1">
      <x v="1"/>
    </i>
    <i>
      <x v="2"/>
      <x/>
    </i>
    <i r="1">
      <x v="1"/>
    </i>
    <i>
      <x v="3"/>
      <x/>
    </i>
    <i r="1">
      <x v="1"/>
    </i>
    <i r="1">
      <x v="2"/>
    </i>
    <i r="1">
      <x v="3"/>
    </i>
    <i>
      <x v="4"/>
      <x v="1"/>
    </i>
    <i r="1">
      <x v="2"/>
    </i>
    <i r="1">
      <x v="3"/>
    </i>
    <i r="1">
      <x v="4"/>
    </i>
    <i>
      <x v="5"/>
      <x v="1"/>
    </i>
    <i r="1">
      <x v="2"/>
    </i>
    <i r="1">
      <x v="3"/>
    </i>
    <i r="1">
      <x v="4"/>
    </i>
    <i r="1">
      <x v="5"/>
    </i>
    <i r="1">
      <x v="6"/>
    </i>
    <i>
      <x v="6"/>
      <x v="2"/>
    </i>
    <i r="1">
      <x v="3"/>
    </i>
    <i r="1">
      <x v="4"/>
    </i>
    <i r="1">
      <x v="5"/>
    </i>
    <i>
      <x v="7"/>
      <x v="1"/>
    </i>
    <i r="1">
      <x v="2"/>
    </i>
    <i r="1">
      <x v="3"/>
    </i>
    <i r="1">
      <x v="4"/>
    </i>
    <i r="1">
      <x v="5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Average of Age_1+" fld="19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2:C4"/>
  <sheetViews>
    <sheetView workbookViewId="0">
      <selection activeCell="C16" sqref="C16"/>
    </sheetView>
  </sheetViews>
  <sheetFormatPr defaultRowHeight="15" x14ac:dyDescent="0.25"/>
  <sheetData>
    <row r="2" spans="1:3" x14ac:dyDescent="0.25">
      <c r="A2" s="4"/>
      <c r="C2" t="s">
        <v>31</v>
      </c>
    </row>
    <row r="4" spans="1:3" x14ac:dyDescent="0.25">
      <c r="A4" s="7"/>
      <c r="C4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AB13"/>
  <sheetViews>
    <sheetView topLeftCell="J1" zoomScale="80" zoomScaleNormal="80" workbookViewId="0">
      <selection activeCell="Q5" sqref="Q5:S12"/>
    </sheetView>
  </sheetViews>
  <sheetFormatPr defaultRowHeight="15" x14ac:dyDescent="0.25"/>
  <cols>
    <col min="1" max="1" width="18.140625" bestFit="1" customWidth="1"/>
    <col min="2" max="2" width="16.7109375" bestFit="1" customWidth="1"/>
    <col min="3" max="3" width="12" customWidth="1"/>
    <col min="4" max="7" width="13" customWidth="1"/>
    <col min="8" max="11" width="12.42578125" customWidth="1"/>
    <col min="12" max="12" width="17.42578125" bestFit="1" customWidth="1"/>
    <col min="13" max="13" width="17.42578125" customWidth="1"/>
    <col min="14" max="14" width="12.42578125" bestFit="1" customWidth="1"/>
    <col min="15" max="15" width="12.42578125" customWidth="1"/>
    <col min="16" max="16" width="13.5703125" customWidth="1"/>
    <col min="17" max="17" width="17.42578125" customWidth="1"/>
    <col min="18" max="18" width="17.42578125" bestFit="1" customWidth="1"/>
    <col min="19" max="19" width="18.42578125" customWidth="1"/>
    <col min="20" max="20" width="12.42578125" bestFit="1" customWidth="1"/>
    <col min="21" max="21" width="13.5703125" customWidth="1"/>
    <col min="22" max="22" width="17.42578125" customWidth="1"/>
    <col min="23" max="24" width="17.42578125" bestFit="1" customWidth="1"/>
    <col min="25" max="25" width="18.42578125" customWidth="1"/>
    <col min="26" max="26" width="13.5703125" bestFit="1" customWidth="1"/>
    <col min="27" max="27" width="17.42578125" bestFit="1" customWidth="1"/>
    <col min="28" max="29" width="17.42578125" customWidth="1"/>
    <col min="30" max="30" width="17.42578125" bestFit="1" customWidth="1"/>
    <col min="31" max="31" width="18.42578125" customWidth="1"/>
    <col min="32" max="32" width="17.42578125" bestFit="1" customWidth="1"/>
    <col min="33" max="33" width="17.42578125" customWidth="1"/>
    <col min="34" max="36" width="17.42578125" bestFit="1" customWidth="1"/>
    <col min="37" max="37" width="18.42578125" customWidth="1"/>
    <col min="38" max="40" width="17.42578125" bestFit="1" customWidth="1"/>
    <col min="41" max="41" width="17.42578125" customWidth="1"/>
    <col min="42" max="42" width="17.42578125" bestFit="1" customWidth="1"/>
    <col min="43" max="43" width="18.42578125" bestFit="1" customWidth="1"/>
    <col min="44" max="48" width="17.42578125" bestFit="1" customWidth="1"/>
    <col min="49" max="49" width="18.42578125" bestFit="1" customWidth="1"/>
    <col min="50" max="54" width="17.42578125" bestFit="1" customWidth="1"/>
    <col min="55" max="55" width="18.42578125" bestFit="1" customWidth="1"/>
    <col min="56" max="60" width="17.42578125" bestFit="1" customWidth="1"/>
    <col min="61" max="61" width="18.42578125" bestFit="1" customWidth="1"/>
    <col min="62" max="62" width="8" customWidth="1"/>
    <col min="63" max="63" width="7" customWidth="1"/>
    <col min="64" max="64" width="3" customWidth="1"/>
    <col min="65" max="65" width="7.28515625" customWidth="1"/>
    <col min="66" max="66" width="13.140625" customWidth="1"/>
    <col min="67" max="71" width="7" customWidth="1"/>
    <col min="72" max="72" width="3" customWidth="1"/>
    <col min="73" max="73" width="7.28515625" customWidth="1"/>
    <col min="74" max="74" width="14.140625" bestFit="1" customWidth="1"/>
    <col min="75" max="79" width="7" customWidth="1"/>
    <col min="80" max="80" width="3" customWidth="1"/>
    <col min="81" max="81" width="7.28515625" customWidth="1"/>
    <col min="82" max="90" width="18.140625" bestFit="1" customWidth="1"/>
    <col min="91" max="91" width="19.140625" bestFit="1" customWidth="1"/>
  </cols>
  <sheetData>
    <row r="2" spans="1:28" x14ac:dyDescent="0.25">
      <c r="J2" s="8" t="s">
        <v>27</v>
      </c>
      <c r="K2" s="8"/>
      <c r="L2" s="8"/>
      <c r="M2" s="8"/>
      <c r="N2" s="8"/>
      <c r="O2" s="8"/>
      <c r="P2" s="6"/>
      <c r="Q2" s="9" t="s">
        <v>26</v>
      </c>
      <c r="R2" s="9"/>
      <c r="S2" s="9"/>
      <c r="V2" s="6"/>
      <c r="W2" s="6"/>
      <c r="X2" s="6"/>
      <c r="Y2" s="6"/>
      <c r="Z2" s="6"/>
      <c r="AA2" s="6"/>
      <c r="AB2" s="5"/>
    </row>
    <row r="3" spans="1:28" x14ac:dyDescent="0.25">
      <c r="A3" s="1" t="s">
        <v>25</v>
      </c>
      <c r="B3" s="1" t="s">
        <v>21</v>
      </c>
    </row>
    <row r="4" spans="1:28" x14ac:dyDescent="0.25">
      <c r="A4" s="1" t="s">
        <v>23</v>
      </c>
      <c r="B4">
        <v>2016</v>
      </c>
      <c r="C4">
        <v>2017</v>
      </c>
      <c r="D4">
        <v>2018</v>
      </c>
      <c r="E4">
        <v>2019</v>
      </c>
      <c r="F4">
        <v>2020</v>
      </c>
      <c r="G4" t="s">
        <v>22</v>
      </c>
    </row>
    <row r="5" spans="1:28" x14ac:dyDescent="0.25">
      <c r="A5" s="2">
        <v>21</v>
      </c>
      <c r="B5" s="3">
        <v>20.945499999999999</v>
      </c>
      <c r="C5" s="3">
        <v>137.46727500000003</v>
      </c>
      <c r="D5" s="3">
        <v>33.179966666666665</v>
      </c>
      <c r="E5" s="3">
        <v>6.4129999999999994</v>
      </c>
      <c r="F5" s="3">
        <v>36.781099999999995</v>
      </c>
      <c r="G5" s="3">
        <v>52.614237500000002</v>
      </c>
      <c r="I5">
        <v>21</v>
      </c>
      <c r="J5">
        <v>20.945499999999999</v>
      </c>
      <c r="K5">
        <v>137.46727500000003</v>
      </c>
      <c r="L5">
        <v>33.179966666666665</v>
      </c>
      <c r="M5">
        <v>6.4129999999999994</v>
      </c>
      <c r="N5">
        <v>36.781099999999995</v>
      </c>
      <c r="O5">
        <v>52.614237500000002</v>
      </c>
      <c r="Q5" s="4" t="s">
        <v>28</v>
      </c>
      <c r="R5" s="4" t="s">
        <v>29</v>
      </c>
      <c r="S5" s="4" t="s">
        <v>30</v>
      </c>
    </row>
    <row r="6" spans="1:28" x14ac:dyDescent="0.25">
      <c r="A6" s="2">
        <v>22</v>
      </c>
      <c r="B6" s="3">
        <v>22.249399999999998</v>
      </c>
      <c r="C6" s="3">
        <v>144.58799999999999</v>
      </c>
      <c r="D6" s="3">
        <v>401.60490000000004</v>
      </c>
      <c r="E6" s="3">
        <v>921.42564999999991</v>
      </c>
      <c r="F6" s="3">
        <v>156.08199999999999</v>
      </c>
      <c r="G6" s="3">
        <v>329.18998999999997</v>
      </c>
      <c r="I6">
        <v>22</v>
      </c>
      <c r="J6">
        <v>22.249399999999998</v>
      </c>
      <c r="K6">
        <v>144.58799999999999</v>
      </c>
      <c r="L6">
        <v>401.60490000000004</v>
      </c>
      <c r="M6">
        <v>921.42564999999991</v>
      </c>
      <c r="N6">
        <v>156.08199999999999</v>
      </c>
      <c r="O6">
        <v>329.18998999999997</v>
      </c>
      <c r="Q6" s="4">
        <v>22</v>
      </c>
      <c r="R6" s="4">
        <v>2224</v>
      </c>
      <c r="S6" s="4">
        <f>GETPIVOTDATA("Age_1+",$A$3,"Area",22)</f>
        <v>329.18998999999997</v>
      </c>
    </row>
    <row r="7" spans="1:28" x14ac:dyDescent="0.25">
      <c r="A7" s="2">
        <v>23</v>
      </c>
      <c r="B7" s="3">
        <v>366.88354999999996</v>
      </c>
      <c r="C7" s="3">
        <v>1316.7780500000001</v>
      </c>
      <c r="D7" s="3">
        <v>3886.2318</v>
      </c>
      <c r="E7" s="3">
        <v>921.85945000000004</v>
      </c>
      <c r="F7" s="3">
        <v>2393.3373000000001</v>
      </c>
      <c r="G7" s="3">
        <v>1777.01803</v>
      </c>
      <c r="I7">
        <v>23</v>
      </c>
      <c r="J7">
        <v>366.88354999999996</v>
      </c>
      <c r="K7">
        <v>1316.7780500000001</v>
      </c>
      <c r="L7">
        <v>3886.2318</v>
      </c>
      <c r="M7">
        <v>921.85945000000004</v>
      </c>
      <c r="N7">
        <v>2393.3373000000001</v>
      </c>
      <c r="O7">
        <v>1777.01803</v>
      </c>
      <c r="Q7" s="4">
        <v>23</v>
      </c>
      <c r="R7" s="4">
        <v>2224</v>
      </c>
      <c r="S7" s="4">
        <f>GETPIVOTDATA("Age_1+",$A$3,"Area",23)</f>
        <v>1777.01803</v>
      </c>
    </row>
    <row r="8" spans="1:28" x14ac:dyDescent="0.25">
      <c r="A8" s="2">
        <v>24</v>
      </c>
      <c r="B8" s="3">
        <v>513.78086666666661</v>
      </c>
      <c r="C8" s="3">
        <v>604.88490000000013</v>
      </c>
      <c r="D8" s="3">
        <v>995.06475</v>
      </c>
      <c r="E8" s="3">
        <v>452.29143333333332</v>
      </c>
      <c r="F8" s="3">
        <v>450.87615000000005</v>
      </c>
      <c r="G8" s="3">
        <v>617.44912941176472</v>
      </c>
      <c r="I8">
        <v>24</v>
      </c>
      <c r="J8">
        <v>513.78086666666661</v>
      </c>
      <c r="K8">
        <v>604.88490000000013</v>
      </c>
      <c r="L8">
        <v>995.06475</v>
      </c>
      <c r="M8">
        <v>452.29143333333332</v>
      </c>
      <c r="N8">
        <v>450.87615000000005</v>
      </c>
      <c r="O8">
        <v>617.44912941176472</v>
      </c>
      <c r="Q8" s="4">
        <v>24</v>
      </c>
      <c r="R8" s="4">
        <v>2224</v>
      </c>
      <c r="S8" s="4">
        <f>GETPIVOTDATA("Age_1+",$A$3,"Area",24)</f>
        <v>617.44912941176472</v>
      </c>
    </row>
    <row r="9" spans="1:28" x14ac:dyDescent="0.25">
      <c r="A9" s="2">
        <v>25</v>
      </c>
      <c r="B9" s="3">
        <v>1324.1063500000002</v>
      </c>
      <c r="C9" s="3">
        <v>615.98157499999991</v>
      </c>
      <c r="D9" s="3">
        <v>450.97795000000008</v>
      </c>
      <c r="E9" s="3">
        <v>560.51465000000007</v>
      </c>
      <c r="F9" s="3">
        <v>695.81187499999999</v>
      </c>
      <c r="G9" s="3">
        <v>729.47847999999999</v>
      </c>
      <c r="I9">
        <v>25</v>
      </c>
      <c r="J9">
        <v>1324.1063500000002</v>
      </c>
      <c r="K9">
        <v>615.98157499999991</v>
      </c>
      <c r="L9">
        <v>450.97795000000008</v>
      </c>
      <c r="M9">
        <v>560.51465000000007</v>
      </c>
      <c r="N9">
        <v>695.81187499999999</v>
      </c>
      <c r="O9">
        <v>729.47847999999999</v>
      </c>
      <c r="Q9" s="4">
        <v>25</v>
      </c>
      <c r="R9" s="4">
        <v>2528</v>
      </c>
      <c r="S9" s="4">
        <f>GETPIVOTDATA("Age_1+",$A$3,"Area",26)</f>
        <v>374.46208965517246</v>
      </c>
    </row>
    <row r="10" spans="1:28" x14ac:dyDescent="0.25">
      <c r="A10" s="2">
        <v>26</v>
      </c>
      <c r="B10" s="3">
        <v>702.78028333333339</v>
      </c>
      <c r="C10" s="3">
        <v>306.20972</v>
      </c>
      <c r="D10" s="3">
        <v>323.05241666666666</v>
      </c>
      <c r="E10" s="3">
        <v>319.41841666666664</v>
      </c>
      <c r="F10" s="3">
        <v>209.47421666666662</v>
      </c>
      <c r="G10" s="3">
        <v>374.46208965517246</v>
      </c>
      <c r="I10">
        <v>26</v>
      </c>
      <c r="J10">
        <v>702.78028333333339</v>
      </c>
      <c r="K10">
        <v>306.20972</v>
      </c>
      <c r="L10">
        <v>323.05241666666666</v>
      </c>
      <c r="M10">
        <v>319.41841666666664</v>
      </c>
      <c r="N10">
        <v>209.47421666666662</v>
      </c>
      <c r="O10">
        <v>374.46208965517246</v>
      </c>
      <c r="Q10" s="4">
        <v>26</v>
      </c>
      <c r="R10" s="4">
        <v>2528</v>
      </c>
      <c r="S10" s="4">
        <v>473.27921179999998</v>
      </c>
    </row>
    <row r="11" spans="1:28" x14ac:dyDescent="0.25">
      <c r="A11" s="2">
        <v>27</v>
      </c>
      <c r="B11" s="3">
        <v>13.333300000000001</v>
      </c>
      <c r="C11" s="3">
        <v>2.5</v>
      </c>
      <c r="D11" s="3">
        <v>38.5</v>
      </c>
      <c r="E11" s="3">
        <v>6.9285499999999995</v>
      </c>
      <c r="F11" s="3">
        <v>7.4523333333333328</v>
      </c>
      <c r="G11" s="3">
        <v>11.658142857142858</v>
      </c>
      <c r="I11">
        <v>27</v>
      </c>
      <c r="J11">
        <v>13.333300000000001</v>
      </c>
      <c r="K11">
        <v>2.5</v>
      </c>
      <c r="L11">
        <v>38.5</v>
      </c>
      <c r="M11">
        <v>6.9285499999999995</v>
      </c>
      <c r="N11">
        <v>7.4523333333333328</v>
      </c>
      <c r="O11">
        <v>11.658142857142858</v>
      </c>
      <c r="Q11" s="4">
        <v>27</v>
      </c>
      <c r="R11" s="4">
        <v>2528</v>
      </c>
      <c r="S11" s="4">
        <f>GETPIVOTDATA("Age_1+",$A$3,"Area",27)</f>
        <v>11.658142857142858</v>
      </c>
    </row>
    <row r="12" spans="1:28" x14ac:dyDescent="0.25">
      <c r="A12" s="2">
        <v>28</v>
      </c>
      <c r="B12" s="3">
        <v>12.0793</v>
      </c>
      <c r="C12" s="3">
        <v>161.79998000000001</v>
      </c>
      <c r="D12" s="3">
        <v>21.818700000000003</v>
      </c>
      <c r="E12" s="3">
        <v>30.808699999999998</v>
      </c>
      <c r="F12" s="3">
        <v>14.650775000000001</v>
      </c>
      <c r="G12" s="3">
        <v>52.60175000000001</v>
      </c>
      <c r="I12">
        <v>28</v>
      </c>
      <c r="J12">
        <v>12.0793</v>
      </c>
      <c r="K12">
        <v>161.79998000000001</v>
      </c>
      <c r="L12">
        <v>21.818700000000003</v>
      </c>
      <c r="M12">
        <v>30.808699999999998</v>
      </c>
      <c r="N12">
        <v>14.650775000000001</v>
      </c>
      <c r="O12">
        <v>52.60175000000001</v>
      </c>
      <c r="Q12" s="4">
        <v>28</v>
      </c>
      <c r="R12" s="4">
        <v>2528</v>
      </c>
      <c r="S12" s="4">
        <f>GETPIVOTDATA("Age_1+",$A$3,"Area",28)</f>
        <v>52.60175000000001</v>
      </c>
    </row>
    <row r="13" spans="1:28" x14ac:dyDescent="0.25">
      <c r="A13" s="2" t="s">
        <v>22</v>
      </c>
      <c r="B13" s="3">
        <v>443.84700740740738</v>
      </c>
      <c r="C13" s="3">
        <v>348.31830000000002</v>
      </c>
      <c r="D13" s="3">
        <v>613.4064222222222</v>
      </c>
      <c r="E13" s="3">
        <v>347.74641481481484</v>
      </c>
      <c r="F13" s="3">
        <v>397.63355000000001</v>
      </c>
      <c r="G13" s="3">
        <v>428.76786884057975</v>
      </c>
    </row>
  </sheetData>
  <mergeCells count="2">
    <mergeCell ref="J2:O2"/>
    <mergeCell ref="Q2:S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AB40"/>
  <sheetViews>
    <sheetView tabSelected="1" topLeftCell="E1" zoomScale="80" zoomScaleNormal="80" workbookViewId="0">
      <selection activeCell="AB6" sqref="AB6"/>
    </sheetView>
  </sheetViews>
  <sheetFormatPr defaultRowHeight="15" x14ac:dyDescent="0.25"/>
  <cols>
    <col min="1" max="1" width="16.42578125" bestFit="1" customWidth="1"/>
    <col min="2" max="2" width="11.42578125" bestFit="1" customWidth="1"/>
    <col min="3" max="8" width="13" bestFit="1" customWidth="1"/>
  </cols>
  <sheetData>
    <row r="2" spans="1:28" x14ac:dyDescent="0.25">
      <c r="K2" s="8" t="s">
        <v>27</v>
      </c>
      <c r="L2" s="8"/>
      <c r="M2" s="8"/>
      <c r="N2" s="8"/>
      <c r="O2" s="8"/>
      <c r="P2" s="8"/>
      <c r="Q2" s="8"/>
      <c r="V2" s="8" t="s">
        <v>26</v>
      </c>
      <c r="W2" s="8"/>
      <c r="X2" s="8"/>
      <c r="Y2" s="8"/>
      <c r="Z2" s="8"/>
      <c r="AA2" s="8"/>
      <c r="AB2" s="8"/>
    </row>
    <row r="3" spans="1:28" x14ac:dyDescent="0.25">
      <c r="A3" s="1" t="s">
        <v>25</v>
      </c>
      <c r="C3" s="1" t="s">
        <v>1</v>
      </c>
    </row>
    <row r="4" spans="1:28" x14ac:dyDescent="0.25">
      <c r="A4" s="1" t="s">
        <v>3</v>
      </c>
      <c r="B4" s="1" t="s">
        <v>4</v>
      </c>
      <c r="C4">
        <v>2016</v>
      </c>
      <c r="D4">
        <v>2017</v>
      </c>
      <c r="E4">
        <v>2018</v>
      </c>
      <c r="F4">
        <v>2019</v>
      </c>
      <c r="G4">
        <v>2020</v>
      </c>
      <c r="H4" t="s">
        <v>22</v>
      </c>
    </row>
    <row r="5" spans="1:28" x14ac:dyDescent="0.25">
      <c r="A5">
        <v>21</v>
      </c>
      <c r="B5">
        <v>9</v>
      </c>
      <c r="C5" s="3">
        <v>46.161500000000004</v>
      </c>
      <c r="D5" s="3">
        <v>153.56909999999999</v>
      </c>
      <c r="E5" s="3">
        <v>71.499899999999997</v>
      </c>
      <c r="F5" s="3">
        <v>10.5556</v>
      </c>
      <c r="G5" s="3">
        <v>44.993299999999991</v>
      </c>
      <c r="H5" s="3">
        <v>65.355879999999999</v>
      </c>
      <c r="J5">
        <v>21</v>
      </c>
      <c r="K5">
        <v>9</v>
      </c>
      <c r="L5" s="3">
        <v>46.161500000000004</v>
      </c>
      <c r="M5" s="3">
        <v>153.56909999999999</v>
      </c>
      <c r="N5" s="3">
        <v>71.499899999999997</v>
      </c>
      <c r="O5" s="3">
        <v>10.5556</v>
      </c>
      <c r="P5" s="3">
        <v>44.993299999999991</v>
      </c>
      <c r="Q5" s="3">
        <v>65.355879999999999</v>
      </c>
      <c r="X5" s="4">
        <f t="shared" ref="X5:X35" si="0">J5</f>
        <v>21</v>
      </c>
      <c r="Y5" s="4">
        <f>IF(K5=8,1,IF(K5=9,2,IF(K5=10,3,IF(K5=11,4,IF(K5=12,5,IF(K5=13,6,IF(K5=14,7,"")))))))</f>
        <v>2</v>
      </c>
      <c r="Z5" s="4">
        <f>IF(AND(Y5=2,Y4=1),Q4+Q5,IF(Y5=1,0,IF(AND(Y5=6,Y6=7),Q5+Q6,IF(Y5=7,0,Q5))))</f>
        <v>65.355879999999999</v>
      </c>
    </row>
    <row r="6" spans="1:28" x14ac:dyDescent="0.25">
      <c r="A6">
        <v>21</v>
      </c>
      <c r="B6">
        <v>10</v>
      </c>
      <c r="C6" s="3">
        <v>4.9749999999999996</v>
      </c>
      <c r="D6" s="3">
        <v>25.8</v>
      </c>
      <c r="E6" s="3">
        <v>18.04</v>
      </c>
      <c r="F6" s="3">
        <v>5.3834</v>
      </c>
      <c r="G6" s="3">
        <v>22</v>
      </c>
      <c r="H6" s="3">
        <v>15.239679999999998</v>
      </c>
      <c r="J6">
        <v>21</v>
      </c>
      <c r="K6">
        <v>10</v>
      </c>
      <c r="L6" s="3">
        <v>4.9749999999999996</v>
      </c>
      <c r="M6" s="3">
        <v>25.8</v>
      </c>
      <c r="N6" s="3">
        <v>18.04</v>
      </c>
      <c r="O6" s="3">
        <v>5.3834</v>
      </c>
      <c r="P6" s="3">
        <v>22</v>
      </c>
      <c r="Q6" s="3">
        <v>15.239679999999998</v>
      </c>
      <c r="X6" s="4">
        <f t="shared" si="0"/>
        <v>21</v>
      </c>
      <c r="Y6" s="4">
        <f t="shared" ref="Y6:Y35" si="1">IF(K6=8,1,IF(K6=9,2,IF(K6=10,3,IF(K6=11,4,IF(K6=12,5,IF(K6=13,6,IF(K6=14,7,"")))))))</f>
        <v>3</v>
      </c>
      <c r="Z6" s="4">
        <f t="shared" ref="Z6:Z35" si="2">IF(AND(Y6=2,Y5=1),Q5+Q6,IF(Y6=1,0,IF(AND(Y6=6,Y7=7),Q6+Q7,IF(Y6=7,0,Q6))))</f>
        <v>15.239679999999998</v>
      </c>
    </row>
    <row r="7" spans="1:28" x14ac:dyDescent="0.25">
      <c r="A7">
        <v>21</v>
      </c>
      <c r="B7">
        <v>11</v>
      </c>
      <c r="C7" s="3">
        <v>11.7</v>
      </c>
      <c r="D7" s="3">
        <v>0</v>
      </c>
      <c r="E7" s="3">
        <v>10</v>
      </c>
      <c r="F7" s="3">
        <v>3.3</v>
      </c>
      <c r="G7" s="3">
        <v>43.35</v>
      </c>
      <c r="H7" s="3">
        <v>13.669999999999998</v>
      </c>
      <c r="J7">
        <v>21</v>
      </c>
      <c r="K7">
        <v>11</v>
      </c>
      <c r="L7" s="3">
        <v>11.7</v>
      </c>
      <c r="M7" s="3">
        <v>0</v>
      </c>
      <c r="N7" s="3">
        <v>10</v>
      </c>
      <c r="O7" s="3">
        <v>3.3</v>
      </c>
      <c r="P7" s="3">
        <v>43.35</v>
      </c>
      <c r="Q7" s="3">
        <v>13.669999999999998</v>
      </c>
      <c r="X7" s="4">
        <f t="shared" si="0"/>
        <v>21</v>
      </c>
      <c r="Y7" s="4">
        <f t="shared" si="1"/>
        <v>4</v>
      </c>
      <c r="Z7" s="4">
        <f t="shared" si="2"/>
        <v>13.669999999999998</v>
      </c>
    </row>
    <row r="8" spans="1:28" x14ac:dyDescent="0.25">
      <c r="A8">
        <v>21</v>
      </c>
      <c r="B8">
        <v>12</v>
      </c>
      <c r="C8" s="3"/>
      <c r="D8" s="3">
        <v>370.50000000000006</v>
      </c>
      <c r="E8" s="3"/>
      <c r="F8" s="3"/>
      <c r="G8" s="3"/>
      <c r="H8" s="3">
        <v>370.50000000000006</v>
      </c>
      <c r="J8">
        <v>21</v>
      </c>
      <c r="K8">
        <v>12</v>
      </c>
      <c r="L8" s="3"/>
      <c r="M8" s="3">
        <v>370.50000000000006</v>
      </c>
      <c r="N8" s="3"/>
      <c r="O8" s="3"/>
      <c r="P8" s="3"/>
      <c r="Q8" s="3">
        <v>370.50000000000006</v>
      </c>
      <c r="X8" s="4">
        <f t="shared" si="0"/>
        <v>21</v>
      </c>
      <c r="Y8" s="4">
        <f t="shared" si="1"/>
        <v>5</v>
      </c>
      <c r="Z8" s="4">
        <f t="shared" si="2"/>
        <v>370.50000000000006</v>
      </c>
    </row>
    <row r="9" spans="1:28" x14ac:dyDescent="0.25">
      <c r="A9">
        <v>22</v>
      </c>
      <c r="B9">
        <v>8</v>
      </c>
      <c r="C9" s="3">
        <v>5.4363000000000001</v>
      </c>
      <c r="D9" s="3">
        <v>86.541199999999989</v>
      </c>
      <c r="E9" s="3">
        <v>25.44</v>
      </c>
      <c r="F9" s="3">
        <v>5.5570999999999993</v>
      </c>
      <c r="G9" s="3">
        <v>110.1354</v>
      </c>
      <c r="H9" s="3">
        <v>46.622</v>
      </c>
      <c r="J9">
        <v>22</v>
      </c>
      <c r="K9">
        <v>8</v>
      </c>
      <c r="L9" s="3">
        <v>5.4363000000000001</v>
      </c>
      <c r="M9" s="3">
        <v>86.541199999999989</v>
      </c>
      <c r="N9" s="3">
        <v>25.44</v>
      </c>
      <c r="O9" s="3">
        <v>5.5570999999999993</v>
      </c>
      <c r="P9" s="3">
        <v>110.1354</v>
      </c>
      <c r="Q9" s="3">
        <v>46.622</v>
      </c>
      <c r="X9" s="4">
        <f t="shared" si="0"/>
        <v>22</v>
      </c>
      <c r="Y9" s="4">
        <f t="shared" si="1"/>
        <v>1</v>
      </c>
      <c r="Z9" s="4">
        <f t="shared" si="2"/>
        <v>0</v>
      </c>
    </row>
    <row r="10" spans="1:28" x14ac:dyDescent="0.25">
      <c r="A10">
        <v>22</v>
      </c>
      <c r="B10">
        <v>9</v>
      </c>
      <c r="C10" s="3">
        <v>39.062499999999993</v>
      </c>
      <c r="D10" s="3">
        <v>202.63479999999998</v>
      </c>
      <c r="E10" s="3">
        <v>777.76980000000003</v>
      </c>
      <c r="F10" s="3">
        <v>1837.2941999999998</v>
      </c>
      <c r="G10" s="3">
        <v>202.02859999999998</v>
      </c>
      <c r="H10" s="3">
        <v>611.75798000000009</v>
      </c>
      <c r="J10">
        <v>22</v>
      </c>
      <c r="K10">
        <v>9</v>
      </c>
      <c r="L10" s="3">
        <v>39.062499999999993</v>
      </c>
      <c r="M10" s="3">
        <v>202.63479999999998</v>
      </c>
      <c r="N10" s="3">
        <v>777.76980000000003</v>
      </c>
      <c r="O10" s="3">
        <v>1837.2941999999998</v>
      </c>
      <c r="P10" s="3">
        <v>202.02859999999998</v>
      </c>
      <c r="Q10" s="3">
        <v>611.75798000000009</v>
      </c>
      <c r="X10" s="4">
        <f t="shared" si="0"/>
        <v>22</v>
      </c>
      <c r="Y10" s="4">
        <f t="shared" si="1"/>
        <v>2</v>
      </c>
      <c r="Z10" s="4">
        <f t="shared" si="2"/>
        <v>658.37998000000005</v>
      </c>
    </row>
    <row r="11" spans="1:28" x14ac:dyDescent="0.25">
      <c r="A11">
        <v>23</v>
      </c>
      <c r="B11">
        <v>8</v>
      </c>
      <c r="C11" s="3">
        <v>690.36719999999991</v>
      </c>
      <c r="D11" s="3">
        <v>1622.3228000000001</v>
      </c>
      <c r="E11" s="3">
        <v>2059.7331999999997</v>
      </c>
      <c r="F11" s="3">
        <v>1785.2789</v>
      </c>
      <c r="G11" s="3">
        <v>930.90660000000003</v>
      </c>
      <c r="H11" s="3">
        <v>1417.72174</v>
      </c>
      <c r="J11">
        <v>23</v>
      </c>
      <c r="K11">
        <v>8</v>
      </c>
      <c r="L11" s="3">
        <v>690.36719999999991</v>
      </c>
      <c r="M11" s="3">
        <v>1622.3228000000001</v>
      </c>
      <c r="N11" s="3">
        <v>2059.7331999999997</v>
      </c>
      <c r="O11" s="3">
        <v>1785.2789</v>
      </c>
      <c r="P11" s="3">
        <v>930.90660000000003</v>
      </c>
      <c r="Q11" s="3">
        <v>1417.72174</v>
      </c>
      <c r="X11" s="4">
        <f t="shared" si="0"/>
        <v>23</v>
      </c>
      <c r="Y11" s="4">
        <f t="shared" si="1"/>
        <v>1</v>
      </c>
      <c r="Z11" s="4">
        <f t="shared" si="2"/>
        <v>0</v>
      </c>
    </row>
    <row r="12" spans="1:28" x14ac:dyDescent="0.25">
      <c r="A12">
        <v>23</v>
      </c>
      <c r="B12">
        <v>9</v>
      </c>
      <c r="C12" s="3">
        <v>43.399900000000002</v>
      </c>
      <c r="D12" s="3">
        <v>1011.2333</v>
      </c>
      <c r="E12" s="3">
        <v>5712.7304000000004</v>
      </c>
      <c r="F12" s="3">
        <v>58.44</v>
      </c>
      <c r="G12" s="3">
        <v>3855.7680000000005</v>
      </c>
      <c r="H12" s="3">
        <v>2136.3143200000004</v>
      </c>
      <c r="J12">
        <v>23</v>
      </c>
      <c r="K12">
        <v>9</v>
      </c>
      <c r="L12" s="3">
        <v>43.399900000000002</v>
      </c>
      <c r="M12" s="3">
        <v>1011.2333</v>
      </c>
      <c r="N12" s="3">
        <v>5712.7304000000004</v>
      </c>
      <c r="O12" s="3">
        <v>58.44</v>
      </c>
      <c r="P12" s="3">
        <v>3855.7680000000005</v>
      </c>
      <c r="Q12" s="3">
        <v>2136.3143200000004</v>
      </c>
      <c r="X12" s="4">
        <f t="shared" si="0"/>
        <v>23</v>
      </c>
      <c r="Y12" s="4">
        <f t="shared" si="1"/>
        <v>2</v>
      </c>
      <c r="Z12" s="4">
        <f t="shared" si="2"/>
        <v>3554.0360600000004</v>
      </c>
    </row>
    <row r="13" spans="1:28" x14ac:dyDescent="0.25">
      <c r="A13">
        <v>24</v>
      </c>
      <c r="B13">
        <v>8</v>
      </c>
      <c r="C13" s="3">
        <v>35.569299999999998</v>
      </c>
      <c r="D13" s="3">
        <v>139.99990000000003</v>
      </c>
      <c r="E13" s="3">
        <v>291.10079999999999</v>
      </c>
      <c r="F13" s="3">
        <v>231.28179999999998</v>
      </c>
      <c r="G13" s="3">
        <v>177.50660000000005</v>
      </c>
      <c r="H13" s="3">
        <v>175.09168000000003</v>
      </c>
      <c r="J13">
        <v>24</v>
      </c>
      <c r="K13">
        <v>8</v>
      </c>
      <c r="L13" s="3">
        <v>35.569299999999998</v>
      </c>
      <c r="M13" s="3">
        <v>139.99990000000003</v>
      </c>
      <c r="N13" s="3">
        <v>291.10079999999999</v>
      </c>
      <c r="O13" s="3">
        <v>231.28179999999998</v>
      </c>
      <c r="P13" s="3">
        <v>177.50660000000005</v>
      </c>
      <c r="Q13" s="3">
        <v>175.09168000000003</v>
      </c>
      <c r="X13" s="4">
        <f t="shared" si="0"/>
        <v>24</v>
      </c>
      <c r="Y13" s="4">
        <f t="shared" si="1"/>
        <v>1</v>
      </c>
      <c r="Z13" s="4">
        <f t="shared" si="2"/>
        <v>0</v>
      </c>
    </row>
    <row r="14" spans="1:28" x14ac:dyDescent="0.25">
      <c r="A14">
        <v>24</v>
      </c>
      <c r="B14">
        <v>9</v>
      </c>
      <c r="C14" s="3">
        <v>328.85360000000003</v>
      </c>
      <c r="D14" s="3">
        <v>471.6255000000001</v>
      </c>
      <c r="E14" s="3">
        <v>1046.8558</v>
      </c>
      <c r="F14" s="3">
        <v>207.86239999999998</v>
      </c>
      <c r="G14" s="3">
        <v>588.08140000000003</v>
      </c>
      <c r="H14" s="3">
        <v>528.65574000000004</v>
      </c>
      <c r="J14">
        <v>24</v>
      </c>
      <c r="K14">
        <v>9</v>
      </c>
      <c r="L14" s="3">
        <v>328.85360000000003</v>
      </c>
      <c r="M14" s="3">
        <v>471.6255000000001</v>
      </c>
      <c r="N14" s="3">
        <v>1046.8558</v>
      </c>
      <c r="O14" s="3">
        <v>207.86239999999998</v>
      </c>
      <c r="P14" s="3">
        <v>588.08140000000003</v>
      </c>
      <c r="Q14" s="3">
        <v>528.65574000000004</v>
      </c>
      <c r="X14" s="4">
        <f t="shared" si="0"/>
        <v>24</v>
      </c>
      <c r="Y14" s="4">
        <f t="shared" si="1"/>
        <v>2</v>
      </c>
      <c r="Z14" s="4">
        <f t="shared" si="2"/>
        <v>703.74742000000003</v>
      </c>
    </row>
    <row r="15" spans="1:28" x14ac:dyDescent="0.25">
      <c r="A15">
        <v>24</v>
      </c>
      <c r="B15">
        <v>10</v>
      </c>
      <c r="C15" s="3">
        <v>1176.9196999999999</v>
      </c>
      <c r="D15" s="3">
        <v>1203.0293000000001</v>
      </c>
      <c r="E15" s="3">
        <v>1754.3023999999998</v>
      </c>
      <c r="F15" s="3">
        <v>917.73009999999999</v>
      </c>
      <c r="G15" s="3">
        <v>644.21659999999997</v>
      </c>
      <c r="H15" s="3">
        <v>1139.2396199999998</v>
      </c>
      <c r="J15">
        <v>24</v>
      </c>
      <c r="K15">
        <v>10</v>
      </c>
      <c r="L15" s="3">
        <v>1176.9196999999999</v>
      </c>
      <c r="M15" s="3">
        <v>1203.0293000000001</v>
      </c>
      <c r="N15" s="3">
        <v>1754.3023999999998</v>
      </c>
      <c r="O15" s="3">
        <v>917.73009999999999</v>
      </c>
      <c r="P15" s="3">
        <v>644.21659999999997</v>
      </c>
      <c r="Q15" s="3">
        <v>1139.2396199999998</v>
      </c>
      <c r="X15" s="4">
        <f t="shared" si="0"/>
        <v>24</v>
      </c>
      <c r="Y15" s="4">
        <f t="shared" si="1"/>
        <v>3</v>
      </c>
      <c r="Z15" s="4">
        <f t="shared" si="2"/>
        <v>1139.2396199999998</v>
      </c>
    </row>
    <row r="16" spans="1:28" x14ac:dyDescent="0.25">
      <c r="A16">
        <v>24</v>
      </c>
      <c r="B16">
        <v>11</v>
      </c>
      <c r="C16" s="3"/>
      <c r="D16" s="3"/>
      <c r="E16" s="3">
        <v>888</v>
      </c>
      <c r="F16" s="3"/>
      <c r="G16" s="3">
        <v>393.70000000000005</v>
      </c>
      <c r="H16" s="3">
        <v>640.85</v>
      </c>
      <c r="J16">
        <v>24</v>
      </c>
      <c r="K16">
        <v>11</v>
      </c>
      <c r="L16" s="3"/>
      <c r="M16" s="3"/>
      <c r="N16" s="3">
        <v>888</v>
      </c>
      <c r="O16" s="3"/>
      <c r="P16" s="3">
        <v>393.70000000000005</v>
      </c>
      <c r="Q16" s="3">
        <v>640.85</v>
      </c>
      <c r="X16" s="4">
        <f t="shared" si="0"/>
        <v>24</v>
      </c>
      <c r="Y16" s="4">
        <f t="shared" si="1"/>
        <v>4</v>
      </c>
      <c r="Z16" s="4">
        <f t="shared" si="2"/>
        <v>640.85</v>
      </c>
    </row>
    <row r="17" spans="1:26" x14ac:dyDescent="0.25">
      <c r="A17">
        <v>25</v>
      </c>
      <c r="B17">
        <v>9</v>
      </c>
      <c r="C17" s="3">
        <v>341.83340000000004</v>
      </c>
      <c r="D17" s="3">
        <v>175.64289999999997</v>
      </c>
      <c r="E17" s="3">
        <v>177.99989999999997</v>
      </c>
      <c r="F17" s="3">
        <v>50.375</v>
      </c>
      <c r="G17" s="3">
        <v>354.82349999999997</v>
      </c>
      <c r="H17" s="3">
        <v>220.13494</v>
      </c>
      <c r="J17">
        <v>25</v>
      </c>
      <c r="K17">
        <v>9</v>
      </c>
      <c r="L17" s="3">
        <v>341.83340000000004</v>
      </c>
      <c r="M17" s="3">
        <v>175.64289999999997</v>
      </c>
      <c r="N17" s="3">
        <v>177.99989999999997</v>
      </c>
      <c r="O17" s="3">
        <v>50.375</v>
      </c>
      <c r="P17" s="3">
        <v>354.82349999999997</v>
      </c>
      <c r="Q17" s="3">
        <v>220.13494</v>
      </c>
      <c r="X17" s="4">
        <f t="shared" si="0"/>
        <v>25</v>
      </c>
      <c r="Y17" s="4">
        <f t="shared" si="1"/>
        <v>2</v>
      </c>
      <c r="Z17" s="4">
        <f t="shared" si="2"/>
        <v>220.13494</v>
      </c>
    </row>
    <row r="18" spans="1:26" x14ac:dyDescent="0.25">
      <c r="A18">
        <v>25</v>
      </c>
      <c r="B18">
        <v>10</v>
      </c>
      <c r="C18" s="3">
        <v>2293.0344</v>
      </c>
      <c r="D18" s="3">
        <v>725.78369999999995</v>
      </c>
      <c r="E18" s="3">
        <v>942.67320000000007</v>
      </c>
      <c r="F18" s="3">
        <v>621.53340000000014</v>
      </c>
      <c r="G18" s="3">
        <v>510.12109999999996</v>
      </c>
      <c r="H18" s="3">
        <v>1018.6291600000001</v>
      </c>
      <c r="J18">
        <v>25</v>
      </c>
      <c r="K18">
        <v>10</v>
      </c>
      <c r="L18" s="3">
        <v>2293.0344</v>
      </c>
      <c r="M18" s="3">
        <v>725.78369999999995</v>
      </c>
      <c r="N18" s="3">
        <v>942.67320000000007</v>
      </c>
      <c r="O18" s="3">
        <v>621.53340000000014</v>
      </c>
      <c r="P18" s="3">
        <v>510.12109999999996</v>
      </c>
      <c r="Q18" s="3">
        <v>1018.6291600000001</v>
      </c>
      <c r="X18" s="4">
        <f t="shared" si="0"/>
        <v>25</v>
      </c>
      <c r="Y18" s="4">
        <f t="shared" si="1"/>
        <v>3</v>
      </c>
      <c r="Z18" s="4">
        <f t="shared" si="2"/>
        <v>1018.6291600000001</v>
      </c>
    </row>
    <row r="19" spans="1:26" x14ac:dyDescent="0.25">
      <c r="A19">
        <v>25</v>
      </c>
      <c r="B19">
        <v>11</v>
      </c>
      <c r="C19" s="3">
        <v>1586.5517000000004</v>
      </c>
      <c r="D19" s="3">
        <v>915.62630000000001</v>
      </c>
      <c r="E19" s="3">
        <v>590.03880000000015</v>
      </c>
      <c r="F19" s="3">
        <v>782.81699999999989</v>
      </c>
      <c r="G19" s="3">
        <v>791.44580000000008</v>
      </c>
      <c r="H19" s="3">
        <v>933.29592000000014</v>
      </c>
      <c r="J19">
        <v>25</v>
      </c>
      <c r="K19">
        <v>11</v>
      </c>
      <c r="L19" s="3">
        <v>1586.5517000000004</v>
      </c>
      <c r="M19" s="3">
        <v>915.62630000000001</v>
      </c>
      <c r="N19" s="3">
        <v>590.03880000000015</v>
      </c>
      <c r="O19" s="3">
        <v>782.81699999999989</v>
      </c>
      <c r="P19" s="3">
        <v>791.44580000000008</v>
      </c>
      <c r="Q19" s="3">
        <v>933.29592000000014</v>
      </c>
      <c r="X19" s="4">
        <f t="shared" si="0"/>
        <v>25</v>
      </c>
      <c r="Y19" s="4">
        <f t="shared" si="1"/>
        <v>4</v>
      </c>
      <c r="Z19" s="4">
        <f t="shared" si="2"/>
        <v>933.29592000000014</v>
      </c>
    </row>
    <row r="20" spans="1:26" x14ac:dyDescent="0.25">
      <c r="A20">
        <v>25</v>
      </c>
      <c r="B20">
        <v>12</v>
      </c>
      <c r="C20" s="3">
        <v>1075.0058999999999</v>
      </c>
      <c r="D20" s="3">
        <v>646.87340000000006</v>
      </c>
      <c r="E20" s="3">
        <v>93.1999</v>
      </c>
      <c r="F20" s="3">
        <v>787.33320000000003</v>
      </c>
      <c r="G20" s="3">
        <v>1126.8570999999999</v>
      </c>
      <c r="H20" s="3">
        <v>745.85390000000007</v>
      </c>
      <c r="J20">
        <v>25</v>
      </c>
      <c r="K20">
        <v>12</v>
      </c>
      <c r="L20" s="3">
        <v>1075.0058999999999</v>
      </c>
      <c r="M20" s="3">
        <v>646.87340000000006</v>
      </c>
      <c r="N20" s="3">
        <v>93.1999</v>
      </c>
      <c r="O20" s="3">
        <v>787.33320000000003</v>
      </c>
      <c r="P20" s="3">
        <v>1126.8570999999999</v>
      </c>
      <c r="Q20" s="3">
        <v>745.85390000000007</v>
      </c>
      <c r="X20" s="4">
        <f t="shared" si="0"/>
        <v>25</v>
      </c>
      <c r="Y20" s="4">
        <f t="shared" si="1"/>
        <v>5</v>
      </c>
      <c r="Z20" s="4">
        <f t="shared" si="2"/>
        <v>745.85390000000007</v>
      </c>
    </row>
    <row r="21" spans="1:26" x14ac:dyDescent="0.25">
      <c r="A21">
        <v>26</v>
      </c>
      <c r="B21">
        <v>9</v>
      </c>
      <c r="C21" s="3">
        <v>147.13320000000002</v>
      </c>
      <c r="D21" s="3">
        <v>46.999900000000011</v>
      </c>
      <c r="E21" s="3">
        <v>47.333100000000002</v>
      </c>
      <c r="F21" s="3">
        <v>126.59990000000001</v>
      </c>
      <c r="G21" s="3">
        <v>144.22229999999999</v>
      </c>
      <c r="H21" s="3">
        <v>102.45768000000001</v>
      </c>
      <c r="J21">
        <v>26</v>
      </c>
      <c r="K21">
        <v>9</v>
      </c>
      <c r="L21" s="3">
        <v>147.13320000000002</v>
      </c>
      <c r="M21" s="3">
        <v>46.999900000000011</v>
      </c>
      <c r="N21" s="3">
        <v>47.333100000000002</v>
      </c>
      <c r="O21" s="3">
        <v>126.59990000000001</v>
      </c>
      <c r="P21" s="3">
        <v>144.22229999999999</v>
      </c>
      <c r="Q21" s="3">
        <v>102.45768000000001</v>
      </c>
      <c r="X21" s="4">
        <f t="shared" si="0"/>
        <v>26</v>
      </c>
      <c r="Y21" s="4">
        <f t="shared" si="1"/>
        <v>2</v>
      </c>
      <c r="Z21" s="4">
        <f t="shared" si="2"/>
        <v>102.45768000000001</v>
      </c>
    </row>
    <row r="22" spans="1:26" x14ac:dyDescent="0.25">
      <c r="A22">
        <v>26</v>
      </c>
      <c r="B22">
        <v>10</v>
      </c>
      <c r="C22" s="3">
        <v>297.45999999999998</v>
      </c>
      <c r="D22" s="3">
        <v>77.349900000000005</v>
      </c>
      <c r="E22" s="3">
        <v>570.58160000000009</v>
      </c>
      <c r="F22" s="3">
        <v>418.36470000000003</v>
      </c>
      <c r="G22" s="3">
        <v>761.15009999999995</v>
      </c>
      <c r="H22" s="3">
        <v>424.98126000000002</v>
      </c>
      <c r="J22">
        <v>26</v>
      </c>
      <c r="K22">
        <v>10</v>
      </c>
      <c r="L22" s="3">
        <v>297.45999999999998</v>
      </c>
      <c r="M22" s="3">
        <v>77.349900000000005</v>
      </c>
      <c r="N22" s="3">
        <v>570.58160000000009</v>
      </c>
      <c r="O22" s="3">
        <v>418.36470000000003</v>
      </c>
      <c r="P22" s="3">
        <v>761.15009999999995</v>
      </c>
      <c r="Q22" s="3">
        <v>424.98126000000002</v>
      </c>
      <c r="X22" s="4">
        <f t="shared" si="0"/>
        <v>26</v>
      </c>
      <c r="Y22" s="4">
        <f t="shared" si="1"/>
        <v>3</v>
      </c>
      <c r="Z22" s="4">
        <f t="shared" si="2"/>
        <v>424.98126000000002</v>
      </c>
    </row>
    <row r="23" spans="1:26" x14ac:dyDescent="0.25">
      <c r="A23">
        <v>26</v>
      </c>
      <c r="B23">
        <v>11</v>
      </c>
      <c r="C23" s="3">
        <v>759.89749999999981</v>
      </c>
      <c r="D23" s="3">
        <v>392.86000000000007</v>
      </c>
      <c r="E23" s="3">
        <v>1296.9998000000001</v>
      </c>
      <c r="F23" s="3">
        <v>754.9307</v>
      </c>
      <c r="G23" s="3">
        <v>319.93259999999998</v>
      </c>
      <c r="H23" s="3">
        <v>704.92412000000002</v>
      </c>
      <c r="J23">
        <v>26</v>
      </c>
      <c r="K23">
        <v>11</v>
      </c>
      <c r="L23" s="3">
        <v>759.89749999999981</v>
      </c>
      <c r="M23" s="3">
        <v>392.86000000000007</v>
      </c>
      <c r="N23" s="3">
        <v>1296.9998000000001</v>
      </c>
      <c r="O23" s="3">
        <v>754.9307</v>
      </c>
      <c r="P23" s="3">
        <v>319.93259999999998</v>
      </c>
      <c r="Q23" s="3">
        <v>704.92412000000002</v>
      </c>
      <c r="X23" s="4">
        <f t="shared" si="0"/>
        <v>26</v>
      </c>
      <c r="Y23" s="4">
        <f t="shared" si="1"/>
        <v>4</v>
      </c>
      <c r="Z23" s="4">
        <f t="shared" si="2"/>
        <v>704.92412000000002</v>
      </c>
    </row>
    <row r="24" spans="1:26" x14ac:dyDescent="0.25">
      <c r="A24">
        <v>26</v>
      </c>
      <c r="B24">
        <v>12</v>
      </c>
      <c r="C24" s="3">
        <v>1070.9411</v>
      </c>
      <c r="D24" s="3">
        <v>452.58880000000005</v>
      </c>
      <c r="E24" s="3">
        <v>22.399899999999999</v>
      </c>
      <c r="F24" s="3">
        <v>608.61519999999996</v>
      </c>
      <c r="G24" s="3">
        <v>31.540299999999998</v>
      </c>
      <c r="H24" s="3">
        <v>437.21706000000006</v>
      </c>
      <c r="J24">
        <v>26</v>
      </c>
      <c r="K24">
        <v>12</v>
      </c>
      <c r="L24" s="3">
        <v>1070.9411</v>
      </c>
      <c r="M24" s="3">
        <v>452.58880000000005</v>
      </c>
      <c r="N24" s="3">
        <v>22.399899999999999</v>
      </c>
      <c r="O24" s="3">
        <v>608.61519999999996</v>
      </c>
      <c r="P24" s="3">
        <v>31.540299999999998</v>
      </c>
      <c r="Q24" s="3">
        <v>437.21706000000006</v>
      </c>
      <c r="X24" s="4">
        <f t="shared" si="0"/>
        <v>26</v>
      </c>
      <c r="Y24" s="4">
        <f t="shared" si="1"/>
        <v>5</v>
      </c>
      <c r="Z24" s="4">
        <f t="shared" si="2"/>
        <v>437.21706000000006</v>
      </c>
    </row>
    <row r="25" spans="1:26" x14ac:dyDescent="0.25">
      <c r="A25">
        <v>26</v>
      </c>
      <c r="B25">
        <v>13</v>
      </c>
      <c r="C25" s="3">
        <v>337.24999999999994</v>
      </c>
      <c r="D25" s="3">
        <v>561.25</v>
      </c>
      <c r="E25" s="3">
        <v>1.0001</v>
      </c>
      <c r="F25" s="3">
        <v>7.9999999999999991</v>
      </c>
      <c r="G25" s="3">
        <v>0</v>
      </c>
      <c r="H25" s="3">
        <v>181.50002000000001</v>
      </c>
      <c r="J25">
        <v>26</v>
      </c>
      <c r="K25">
        <v>13</v>
      </c>
      <c r="L25" s="3">
        <v>337.24999999999994</v>
      </c>
      <c r="M25" s="3">
        <v>561.25</v>
      </c>
      <c r="N25" s="3">
        <v>1.0001</v>
      </c>
      <c r="O25" s="3">
        <v>7.9999999999999991</v>
      </c>
      <c r="P25" s="3">
        <v>0</v>
      </c>
      <c r="Q25" s="3">
        <v>181.50002000000001</v>
      </c>
      <c r="X25" s="4">
        <f t="shared" si="0"/>
        <v>26</v>
      </c>
      <c r="Y25" s="4">
        <f t="shared" si="1"/>
        <v>6</v>
      </c>
      <c r="Z25" s="4">
        <f t="shared" si="2"/>
        <v>582.4999949999999</v>
      </c>
    </row>
    <row r="26" spans="1:26" x14ac:dyDescent="0.25">
      <c r="A26">
        <v>26</v>
      </c>
      <c r="B26">
        <v>14</v>
      </c>
      <c r="C26" s="3">
        <v>1603.9998999999996</v>
      </c>
      <c r="D26" s="3"/>
      <c r="E26" s="3">
        <v>0</v>
      </c>
      <c r="F26" s="3">
        <v>0</v>
      </c>
      <c r="G26" s="3">
        <v>0</v>
      </c>
      <c r="H26" s="3">
        <v>400.99997499999989</v>
      </c>
      <c r="J26">
        <v>26</v>
      </c>
      <c r="K26">
        <v>14</v>
      </c>
      <c r="L26" s="3">
        <v>1603.9998999999996</v>
      </c>
      <c r="M26" s="3"/>
      <c r="N26" s="3">
        <v>0</v>
      </c>
      <c r="O26" s="3">
        <v>0</v>
      </c>
      <c r="P26" s="3">
        <v>0</v>
      </c>
      <c r="Q26" s="3">
        <v>400.99997499999989</v>
      </c>
      <c r="X26" s="4">
        <f t="shared" si="0"/>
        <v>26</v>
      </c>
      <c r="Y26" s="4">
        <f t="shared" si="1"/>
        <v>7</v>
      </c>
      <c r="Z26" s="4">
        <f t="shared" si="2"/>
        <v>0</v>
      </c>
    </row>
    <row r="27" spans="1:26" x14ac:dyDescent="0.25">
      <c r="A27">
        <v>27</v>
      </c>
      <c r="B27">
        <v>10</v>
      </c>
      <c r="C27" s="3"/>
      <c r="D27" s="3">
        <v>1</v>
      </c>
      <c r="E27" s="3"/>
      <c r="F27" s="3"/>
      <c r="G27" s="3">
        <v>7.5</v>
      </c>
      <c r="H27" s="3">
        <v>4.25</v>
      </c>
      <c r="J27">
        <v>27</v>
      </c>
      <c r="K27">
        <v>10</v>
      </c>
      <c r="L27" s="3"/>
      <c r="M27" s="3">
        <v>1</v>
      </c>
      <c r="N27" s="3"/>
      <c r="O27" s="3"/>
      <c r="P27" s="3">
        <v>7.5</v>
      </c>
      <c r="Q27" s="3">
        <v>4.25</v>
      </c>
      <c r="X27" s="4">
        <f t="shared" si="0"/>
        <v>27</v>
      </c>
      <c r="Y27" s="4">
        <f t="shared" si="1"/>
        <v>3</v>
      </c>
      <c r="Z27" s="4">
        <f>IF(AND(Y27=2,Y26=1),Q26+Q27,IF(Y27=1,0,IF(AND(Y27=6,Y28=7),Q27+Q28,IF(Y27=7,0,Q27))))</f>
        <v>4.25</v>
      </c>
    </row>
    <row r="28" spans="1:26" x14ac:dyDescent="0.25">
      <c r="A28">
        <v>27</v>
      </c>
      <c r="B28">
        <v>11</v>
      </c>
      <c r="C28" s="3">
        <v>39.999900000000004</v>
      </c>
      <c r="D28" s="3">
        <v>9</v>
      </c>
      <c r="E28" s="3">
        <v>23</v>
      </c>
      <c r="F28" s="3">
        <v>13.857099999999999</v>
      </c>
      <c r="G28" s="3">
        <v>14.857000000000001</v>
      </c>
      <c r="H28" s="3">
        <v>20.142800000000001</v>
      </c>
      <c r="J28">
        <v>27</v>
      </c>
      <c r="K28">
        <v>11</v>
      </c>
      <c r="L28" s="3">
        <v>39.999900000000004</v>
      </c>
      <c r="M28" s="3">
        <v>9</v>
      </c>
      <c r="N28" s="3">
        <v>23</v>
      </c>
      <c r="O28" s="3">
        <v>13.857099999999999</v>
      </c>
      <c r="P28" s="3">
        <v>14.857000000000001</v>
      </c>
      <c r="Q28" s="3">
        <v>20.142800000000001</v>
      </c>
      <c r="X28" s="4">
        <f t="shared" si="0"/>
        <v>27</v>
      </c>
      <c r="Y28" s="4">
        <f t="shared" si="1"/>
        <v>4</v>
      </c>
      <c r="Z28" s="4">
        <f t="shared" si="2"/>
        <v>20.142800000000001</v>
      </c>
    </row>
    <row r="29" spans="1:26" x14ac:dyDescent="0.25">
      <c r="A29">
        <v>27</v>
      </c>
      <c r="B29">
        <v>12</v>
      </c>
      <c r="C29" s="3">
        <v>0</v>
      </c>
      <c r="D29" s="3">
        <v>0</v>
      </c>
      <c r="E29" s="3">
        <v>54</v>
      </c>
      <c r="F29" s="3">
        <v>0</v>
      </c>
      <c r="G29" s="3"/>
      <c r="H29" s="3">
        <v>13.5</v>
      </c>
      <c r="J29">
        <v>27</v>
      </c>
      <c r="K29">
        <v>12</v>
      </c>
      <c r="L29" s="3">
        <v>0</v>
      </c>
      <c r="M29" s="3">
        <v>0</v>
      </c>
      <c r="N29" s="3">
        <v>54</v>
      </c>
      <c r="O29" s="3">
        <v>0</v>
      </c>
      <c r="P29" s="3"/>
      <c r="Q29" s="3">
        <v>13.5</v>
      </c>
      <c r="X29" s="4">
        <f t="shared" si="0"/>
        <v>27</v>
      </c>
      <c r="Y29" s="4">
        <f t="shared" si="1"/>
        <v>5</v>
      </c>
      <c r="Z29" s="4">
        <f t="shared" si="2"/>
        <v>13.5</v>
      </c>
    </row>
    <row r="30" spans="1:26" x14ac:dyDescent="0.25">
      <c r="A30">
        <v>27</v>
      </c>
      <c r="B30">
        <v>13</v>
      </c>
      <c r="C30" s="3">
        <v>0</v>
      </c>
      <c r="D30" s="3">
        <v>0</v>
      </c>
      <c r="E30" s="3"/>
      <c r="F30" s="3"/>
      <c r="G30" s="3">
        <v>0</v>
      </c>
      <c r="H30" s="3">
        <v>0</v>
      </c>
      <c r="J30">
        <v>27</v>
      </c>
      <c r="K30">
        <v>13</v>
      </c>
      <c r="L30" s="3">
        <v>0</v>
      </c>
      <c r="M30" s="3">
        <v>0</v>
      </c>
      <c r="N30" s="3"/>
      <c r="O30" s="3"/>
      <c r="P30" s="3">
        <v>0</v>
      </c>
      <c r="Q30" s="3">
        <v>0</v>
      </c>
      <c r="X30" s="4">
        <f t="shared" si="0"/>
        <v>27</v>
      </c>
      <c r="Y30" s="4">
        <f t="shared" si="1"/>
        <v>6</v>
      </c>
      <c r="Z30" s="4">
        <f t="shared" si="2"/>
        <v>0</v>
      </c>
    </row>
    <row r="31" spans="1:26" x14ac:dyDescent="0.25">
      <c r="A31">
        <v>28</v>
      </c>
      <c r="B31">
        <v>9</v>
      </c>
      <c r="C31" s="3">
        <v>3</v>
      </c>
      <c r="D31" s="3">
        <v>0</v>
      </c>
      <c r="E31" s="3">
        <v>0</v>
      </c>
      <c r="F31" s="3">
        <v>23.4999</v>
      </c>
      <c r="G31" s="3">
        <v>0</v>
      </c>
      <c r="H31" s="3">
        <v>5.2999799999999997</v>
      </c>
      <c r="J31">
        <v>28</v>
      </c>
      <c r="K31">
        <v>9</v>
      </c>
      <c r="L31" s="3">
        <v>3</v>
      </c>
      <c r="M31" s="3">
        <v>0</v>
      </c>
      <c r="N31" s="3">
        <v>0</v>
      </c>
      <c r="O31" s="3">
        <v>23.4999</v>
      </c>
      <c r="P31" s="3">
        <v>0</v>
      </c>
      <c r="Q31" s="3">
        <v>5.2999799999999997</v>
      </c>
      <c r="X31" s="4">
        <f t="shared" si="0"/>
        <v>28</v>
      </c>
      <c r="Y31" s="4">
        <f t="shared" si="1"/>
        <v>2</v>
      </c>
      <c r="Z31" s="4">
        <f t="shared" si="2"/>
        <v>5.2999799999999997</v>
      </c>
    </row>
    <row r="32" spans="1:26" x14ac:dyDescent="0.25">
      <c r="A32">
        <v>28</v>
      </c>
      <c r="B32">
        <v>10</v>
      </c>
      <c r="C32" s="3">
        <v>8.9999999999999982</v>
      </c>
      <c r="D32" s="3">
        <v>16.200099999999999</v>
      </c>
      <c r="E32" s="3">
        <v>15.8749</v>
      </c>
      <c r="F32" s="3">
        <v>47.749999999999993</v>
      </c>
      <c r="G32" s="3">
        <v>33.714300000000001</v>
      </c>
      <c r="H32" s="3">
        <v>24.507860000000001</v>
      </c>
      <c r="J32">
        <v>28</v>
      </c>
      <c r="K32">
        <v>10</v>
      </c>
      <c r="L32" s="3">
        <v>8.9999999999999982</v>
      </c>
      <c r="M32" s="3">
        <v>16.200099999999999</v>
      </c>
      <c r="N32" s="3">
        <v>15.8749</v>
      </c>
      <c r="O32" s="3">
        <v>47.749999999999993</v>
      </c>
      <c r="P32" s="3">
        <v>33.714300000000001</v>
      </c>
      <c r="Q32" s="3">
        <v>24.507860000000001</v>
      </c>
      <c r="X32" s="4">
        <f t="shared" si="0"/>
        <v>28</v>
      </c>
      <c r="Y32" s="4">
        <f t="shared" si="1"/>
        <v>3</v>
      </c>
      <c r="Z32" s="4">
        <f t="shared" si="2"/>
        <v>24.507860000000001</v>
      </c>
    </row>
    <row r="33" spans="1:26" x14ac:dyDescent="0.25">
      <c r="A33">
        <v>28</v>
      </c>
      <c r="B33">
        <v>11</v>
      </c>
      <c r="C33" s="3">
        <v>32.8887</v>
      </c>
      <c r="D33" s="3">
        <v>15.1999</v>
      </c>
      <c r="E33" s="3">
        <v>48.399800000000006</v>
      </c>
      <c r="F33" s="3">
        <v>60.222200000000001</v>
      </c>
      <c r="G33" s="3">
        <v>24.666600000000003</v>
      </c>
      <c r="H33" s="3">
        <v>36.275440000000003</v>
      </c>
      <c r="J33">
        <v>28</v>
      </c>
      <c r="K33">
        <v>11</v>
      </c>
      <c r="L33" s="3">
        <v>32.8887</v>
      </c>
      <c r="M33" s="3">
        <v>15.1999</v>
      </c>
      <c r="N33" s="3">
        <v>48.399800000000006</v>
      </c>
      <c r="O33" s="3">
        <v>60.222200000000001</v>
      </c>
      <c r="P33" s="3">
        <v>24.666600000000003</v>
      </c>
      <c r="Q33" s="3">
        <v>36.275440000000003</v>
      </c>
      <c r="X33" s="4">
        <f t="shared" si="0"/>
        <v>28</v>
      </c>
      <c r="Y33" s="4">
        <f t="shared" si="1"/>
        <v>4</v>
      </c>
      <c r="Z33" s="4">
        <f t="shared" si="2"/>
        <v>36.275440000000003</v>
      </c>
    </row>
    <row r="34" spans="1:26" x14ac:dyDescent="0.25">
      <c r="A34">
        <v>28</v>
      </c>
      <c r="B34">
        <v>12</v>
      </c>
      <c r="C34" s="3">
        <v>3.4285000000000001</v>
      </c>
      <c r="D34" s="3">
        <v>649.59990000000005</v>
      </c>
      <c r="E34" s="3">
        <v>23.0001</v>
      </c>
      <c r="F34" s="3">
        <v>22.571400000000001</v>
      </c>
      <c r="G34" s="3">
        <v>0.22220000000000001</v>
      </c>
      <c r="H34" s="3">
        <v>139.76442000000003</v>
      </c>
      <c r="J34">
        <v>28</v>
      </c>
      <c r="K34">
        <v>12</v>
      </c>
      <c r="L34" s="3">
        <v>3.4285000000000001</v>
      </c>
      <c r="M34" s="3">
        <v>649.59990000000005</v>
      </c>
      <c r="N34" s="3">
        <v>23.0001</v>
      </c>
      <c r="O34" s="3">
        <v>22.571400000000001</v>
      </c>
      <c r="P34" s="3">
        <v>0.22220000000000001</v>
      </c>
      <c r="Q34" s="3">
        <v>139.76442000000003</v>
      </c>
      <c r="X34" s="4">
        <f t="shared" si="0"/>
        <v>28</v>
      </c>
      <c r="Y34" s="4">
        <f t="shared" si="1"/>
        <v>5</v>
      </c>
      <c r="Z34" s="4">
        <f t="shared" si="2"/>
        <v>139.76442000000003</v>
      </c>
    </row>
    <row r="35" spans="1:26" x14ac:dyDescent="0.25">
      <c r="A35">
        <v>28</v>
      </c>
      <c r="B35">
        <v>13</v>
      </c>
      <c r="C35" s="3"/>
      <c r="D35" s="3">
        <v>128</v>
      </c>
      <c r="E35" s="3"/>
      <c r="F35" s="3">
        <v>0</v>
      </c>
      <c r="G35" s="3"/>
      <c r="H35" s="3">
        <v>64</v>
      </c>
      <c r="J35">
        <v>28</v>
      </c>
      <c r="K35">
        <v>13</v>
      </c>
      <c r="L35" s="3"/>
      <c r="M35" s="3">
        <v>128</v>
      </c>
      <c r="N35" s="3"/>
      <c r="O35" s="3">
        <v>0</v>
      </c>
      <c r="P35" s="3"/>
      <c r="Q35" s="3">
        <v>64</v>
      </c>
      <c r="X35" s="4">
        <f t="shared" si="0"/>
        <v>28</v>
      </c>
      <c r="Y35" s="4">
        <f t="shared" si="1"/>
        <v>6</v>
      </c>
      <c r="Z35" s="4">
        <f t="shared" si="2"/>
        <v>64</v>
      </c>
    </row>
    <row r="36" spans="1:26" x14ac:dyDescent="0.25">
      <c r="A36" t="s">
        <v>22</v>
      </c>
      <c r="C36" s="3">
        <v>443.84700740740738</v>
      </c>
      <c r="D36" s="3">
        <v>348.31829999999997</v>
      </c>
      <c r="E36" s="3">
        <v>613.4064222222222</v>
      </c>
      <c r="F36" s="3">
        <v>347.7464148148149</v>
      </c>
      <c r="G36" s="3">
        <v>397.63355000000001</v>
      </c>
      <c r="H36" s="3">
        <v>428.76786884057975</v>
      </c>
      <c r="X36" s="4">
        <f t="shared" ref="X36:X40" si="3">J36</f>
        <v>0</v>
      </c>
      <c r="Y36" s="4" t="str">
        <f t="shared" ref="Y36:Y40" si="4">IF(K36=8,1,IF(K36=9,2,IF(K36=10,3,IF(K36=11,4,IF(K36=12,5,IF(K36=13,6,IF(K36=14,7,"")))))))</f>
        <v/>
      </c>
      <c r="Z36" s="4">
        <f t="shared" ref="Z36:Z40" si="5">IF(AND(Y36=2,Y35=1),Q35+Q36,IF(Y36=1,0,IF(AND(Y36=6,Y37=7),Q36+Q37,IF(Y36=7,0,Q36))))</f>
        <v>0</v>
      </c>
    </row>
    <row r="37" spans="1:26" x14ac:dyDescent="0.25">
      <c r="X37" s="4">
        <f t="shared" si="3"/>
        <v>0</v>
      </c>
      <c r="Y37" s="4" t="str">
        <f t="shared" si="4"/>
        <v/>
      </c>
      <c r="Z37" s="4">
        <f t="shared" si="5"/>
        <v>0</v>
      </c>
    </row>
    <row r="38" spans="1:26" x14ac:dyDescent="0.25">
      <c r="X38" s="4">
        <f t="shared" si="3"/>
        <v>0</v>
      </c>
      <c r="Y38" s="4" t="str">
        <f t="shared" si="4"/>
        <v/>
      </c>
      <c r="Z38" s="4">
        <f t="shared" si="5"/>
        <v>0</v>
      </c>
    </row>
    <row r="39" spans="1:26" x14ac:dyDescent="0.25">
      <c r="X39" s="4">
        <f t="shared" si="3"/>
        <v>0</v>
      </c>
      <c r="Y39" s="4" t="str">
        <f t="shared" si="4"/>
        <v/>
      </c>
      <c r="Z39" s="4">
        <f t="shared" si="5"/>
        <v>0</v>
      </c>
    </row>
    <row r="40" spans="1:26" x14ac:dyDescent="0.25">
      <c r="X40" s="4">
        <f t="shared" si="3"/>
        <v>0</v>
      </c>
      <c r="Y40" s="4" t="str">
        <f t="shared" si="4"/>
        <v/>
      </c>
      <c r="Z40" s="4">
        <f t="shared" si="5"/>
        <v>0</v>
      </c>
    </row>
  </sheetData>
  <mergeCells count="2">
    <mergeCell ref="K2:Q2"/>
    <mergeCell ref="V2:AB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T139"/>
  <sheetViews>
    <sheetView topLeftCell="A119" zoomScaleNormal="100" workbookViewId="0">
      <selection activeCell="L144" sqref="L144"/>
    </sheetView>
  </sheetViews>
  <sheetFormatPr defaultRowHeight="15" x14ac:dyDescent="0.25"/>
  <cols>
    <col min="7" max="7" width="13.85546875" bestFit="1" customWidth="1"/>
    <col min="18" max="18" width="7.85546875" customWidth="1"/>
    <col min="19" max="19" width="9" bestFit="1" customWidth="1"/>
  </cols>
  <sheetData>
    <row r="1" spans="1:2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5" t="s">
        <v>24</v>
      </c>
    </row>
    <row r="2" spans="1:20" x14ac:dyDescent="0.25">
      <c r="A2" s="4" t="s">
        <v>19</v>
      </c>
      <c r="B2" s="4">
        <v>2016</v>
      </c>
      <c r="C2" s="4">
        <v>1</v>
      </c>
      <c r="D2" s="4">
        <v>21</v>
      </c>
      <c r="E2" s="4">
        <v>10</v>
      </c>
      <c r="F2" s="4">
        <v>126436</v>
      </c>
      <c r="G2" s="4" t="s">
        <v>20</v>
      </c>
      <c r="H2" s="4">
        <v>0</v>
      </c>
      <c r="I2" s="4">
        <v>0.11</v>
      </c>
      <c r="J2" s="4">
        <v>1.2114</v>
      </c>
      <c r="K2" s="4">
        <v>2.8786</v>
      </c>
      <c r="L2" s="4">
        <v>0.33210000000000001</v>
      </c>
      <c r="M2" s="4">
        <v>0.44290000000000002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20210325</v>
      </c>
      <c r="T2">
        <f t="shared" ref="T2:T33" si="0">SUM(I2:R2)</f>
        <v>4.9749999999999996</v>
      </c>
    </row>
    <row r="3" spans="1:20" x14ac:dyDescent="0.25">
      <c r="A3" s="4" t="s">
        <v>19</v>
      </c>
      <c r="B3" s="4">
        <v>2016</v>
      </c>
      <c r="C3" s="4">
        <v>1</v>
      </c>
      <c r="D3" s="4">
        <v>21</v>
      </c>
      <c r="E3" s="4">
        <v>11</v>
      </c>
      <c r="F3" s="4">
        <v>126436</v>
      </c>
      <c r="G3" s="4" t="s">
        <v>20</v>
      </c>
      <c r="H3" s="4">
        <v>0</v>
      </c>
      <c r="I3" s="4">
        <v>0</v>
      </c>
      <c r="J3" s="4">
        <v>11.7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20210325</v>
      </c>
      <c r="T3">
        <f t="shared" si="0"/>
        <v>11.7</v>
      </c>
    </row>
    <row r="4" spans="1:20" x14ac:dyDescent="0.25">
      <c r="A4" s="4" t="s">
        <v>19</v>
      </c>
      <c r="B4" s="4">
        <v>2016</v>
      </c>
      <c r="C4" s="4">
        <v>1</v>
      </c>
      <c r="D4" s="4">
        <v>21</v>
      </c>
      <c r="E4" s="4">
        <v>9</v>
      </c>
      <c r="F4" s="4">
        <v>126436</v>
      </c>
      <c r="G4" s="4" t="s">
        <v>20</v>
      </c>
      <c r="H4" s="4">
        <v>0</v>
      </c>
      <c r="I4" s="4">
        <v>3.085</v>
      </c>
      <c r="J4" s="4">
        <v>12.476800000000001</v>
      </c>
      <c r="K4" s="4">
        <v>4.1093000000000002</v>
      </c>
      <c r="L4" s="4">
        <v>15.622199999999999</v>
      </c>
      <c r="M4" s="4">
        <v>10.192500000000001</v>
      </c>
      <c r="N4" s="4">
        <v>0.43719999999999998</v>
      </c>
      <c r="O4" s="4">
        <v>0.23849999999999999</v>
      </c>
      <c r="P4" s="4">
        <v>0</v>
      </c>
      <c r="Q4" s="4">
        <v>0</v>
      </c>
      <c r="R4" s="4">
        <v>0</v>
      </c>
      <c r="S4" s="4">
        <v>20210325</v>
      </c>
      <c r="T4">
        <f t="shared" si="0"/>
        <v>46.161500000000004</v>
      </c>
    </row>
    <row r="5" spans="1:20" x14ac:dyDescent="0.25">
      <c r="A5" s="4" t="s">
        <v>19</v>
      </c>
      <c r="B5" s="4">
        <v>2016</v>
      </c>
      <c r="C5" s="4">
        <v>1</v>
      </c>
      <c r="D5" s="4">
        <v>22</v>
      </c>
      <c r="E5" s="4">
        <v>8</v>
      </c>
      <c r="F5" s="4">
        <v>126436</v>
      </c>
      <c r="G5" s="4" t="s">
        <v>20</v>
      </c>
      <c r="H5" s="4">
        <v>0</v>
      </c>
      <c r="I5" s="4">
        <v>0.79269999999999996</v>
      </c>
      <c r="J5" s="4">
        <v>2.4495</v>
      </c>
      <c r="K5" s="4">
        <v>0.36230000000000001</v>
      </c>
      <c r="L5" s="4">
        <v>1.2217</v>
      </c>
      <c r="M5" s="4">
        <v>0.40660000000000002</v>
      </c>
      <c r="N5" s="4">
        <v>0.20349999999999999</v>
      </c>
      <c r="O5" s="4">
        <v>0</v>
      </c>
      <c r="P5" s="4">
        <v>0</v>
      </c>
      <c r="Q5" s="4">
        <v>0</v>
      </c>
      <c r="R5" s="4">
        <v>0</v>
      </c>
      <c r="S5" s="4">
        <v>20210325</v>
      </c>
      <c r="T5">
        <f t="shared" si="0"/>
        <v>5.4363000000000001</v>
      </c>
    </row>
    <row r="6" spans="1:20" x14ac:dyDescent="0.25">
      <c r="A6" s="4" t="s">
        <v>19</v>
      </c>
      <c r="B6" s="4">
        <v>2016</v>
      </c>
      <c r="C6" s="4">
        <v>1</v>
      </c>
      <c r="D6" s="4">
        <v>22</v>
      </c>
      <c r="E6" s="4">
        <v>9</v>
      </c>
      <c r="F6" s="4">
        <v>126436</v>
      </c>
      <c r="G6" s="4" t="s">
        <v>20</v>
      </c>
      <c r="H6" s="4">
        <v>0</v>
      </c>
      <c r="I6" s="4">
        <v>0.51559999999999995</v>
      </c>
      <c r="J6" s="4">
        <v>9.0245999999999995</v>
      </c>
      <c r="K6" s="4">
        <v>17.326799999999999</v>
      </c>
      <c r="L6" s="4">
        <v>8.6265999999999998</v>
      </c>
      <c r="M6" s="4">
        <v>2.6324000000000001</v>
      </c>
      <c r="N6" s="4">
        <v>0.80730000000000002</v>
      </c>
      <c r="O6" s="4">
        <v>0.12920000000000001</v>
      </c>
      <c r="P6" s="4">
        <v>0</v>
      </c>
      <c r="Q6" s="4">
        <v>0</v>
      </c>
      <c r="R6" s="4">
        <v>0</v>
      </c>
      <c r="S6" s="4">
        <v>20210325</v>
      </c>
      <c r="T6">
        <f t="shared" si="0"/>
        <v>39.062499999999993</v>
      </c>
    </row>
    <row r="7" spans="1:20" x14ac:dyDescent="0.25">
      <c r="A7" s="4" t="s">
        <v>19</v>
      </c>
      <c r="B7" s="4">
        <v>2016</v>
      </c>
      <c r="C7" s="4">
        <v>1</v>
      </c>
      <c r="D7" s="4">
        <v>23</v>
      </c>
      <c r="E7" s="4">
        <v>8</v>
      </c>
      <c r="F7" s="4">
        <v>126436</v>
      </c>
      <c r="G7" s="4" t="s">
        <v>20</v>
      </c>
      <c r="H7" s="4">
        <v>0</v>
      </c>
      <c r="I7" s="4">
        <v>0</v>
      </c>
      <c r="J7" s="4">
        <v>268.19299999999998</v>
      </c>
      <c r="K7" s="4">
        <v>249.26730000000001</v>
      </c>
      <c r="L7" s="4">
        <v>157.45939999999999</v>
      </c>
      <c r="M7" s="4">
        <v>15.4475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20210325</v>
      </c>
      <c r="T7">
        <f t="shared" si="0"/>
        <v>690.36719999999991</v>
      </c>
    </row>
    <row r="8" spans="1:20" x14ac:dyDescent="0.25">
      <c r="A8" s="4" t="s">
        <v>19</v>
      </c>
      <c r="B8" s="4">
        <v>2016</v>
      </c>
      <c r="C8" s="4">
        <v>1</v>
      </c>
      <c r="D8" s="4">
        <v>23</v>
      </c>
      <c r="E8" s="4">
        <v>9</v>
      </c>
      <c r="F8" s="4">
        <v>126436</v>
      </c>
      <c r="G8" s="4" t="s">
        <v>20</v>
      </c>
      <c r="H8" s="4">
        <v>0</v>
      </c>
      <c r="I8" s="4">
        <v>0</v>
      </c>
      <c r="J8" s="4">
        <v>4.1333000000000002</v>
      </c>
      <c r="K8" s="4">
        <v>4.1333000000000002</v>
      </c>
      <c r="L8" s="4">
        <v>21.8033</v>
      </c>
      <c r="M8" s="4">
        <v>13.33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20210325</v>
      </c>
      <c r="T8">
        <f t="shared" si="0"/>
        <v>43.399900000000002</v>
      </c>
    </row>
    <row r="9" spans="1:20" x14ac:dyDescent="0.25">
      <c r="A9" s="4" t="s">
        <v>19</v>
      </c>
      <c r="B9" s="4">
        <v>2016</v>
      </c>
      <c r="C9" s="4">
        <v>1</v>
      </c>
      <c r="D9" s="4">
        <v>24</v>
      </c>
      <c r="E9" s="4">
        <v>10</v>
      </c>
      <c r="F9" s="4">
        <v>126436</v>
      </c>
      <c r="G9" s="4" t="s">
        <v>20</v>
      </c>
      <c r="H9" s="4">
        <v>0</v>
      </c>
      <c r="I9" s="4">
        <v>59.535200000000003</v>
      </c>
      <c r="J9" s="4">
        <v>542.43209999999999</v>
      </c>
      <c r="K9" s="4">
        <v>386.01729999999998</v>
      </c>
      <c r="L9" s="4">
        <v>160.3287</v>
      </c>
      <c r="M9" s="4">
        <v>28.606400000000001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20210325</v>
      </c>
      <c r="T9">
        <f t="shared" si="0"/>
        <v>1176.9196999999999</v>
      </c>
    </row>
    <row r="10" spans="1:20" x14ac:dyDescent="0.25">
      <c r="A10" s="4" t="s">
        <v>19</v>
      </c>
      <c r="B10" s="4">
        <v>2016</v>
      </c>
      <c r="C10" s="4">
        <v>1</v>
      </c>
      <c r="D10" s="4">
        <v>24</v>
      </c>
      <c r="E10" s="4">
        <v>8</v>
      </c>
      <c r="F10" s="4">
        <v>126436</v>
      </c>
      <c r="G10" s="4" t="s">
        <v>20</v>
      </c>
      <c r="H10" s="4">
        <v>0</v>
      </c>
      <c r="I10" s="4">
        <v>0.67689999999999995</v>
      </c>
      <c r="J10" s="4">
        <v>13.715299999999999</v>
      </c>
      <c r="K10" s="4">
        <v>12.4903</v>
      </c>
      <c r="L10" s="4">
        <v>7.0583999999999998</v>
      </c>
      <c r="M10" s="4">
        <v>1.6284000000000001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20210325</v>
      </c>
      <c r="T10">
        <f t="shared" si="0"/>
        <v>35.569299999999998</v>
      </c>
    </row>
    <row r="11" spans="1:20" x14ac:dyDescent="0.25">
      <c r="A11" s="4" t="s">
        <v>19</v>
      </c>
      <c r="B11" s="4">
        <v>2016</v>
      </c>
      <c r="C11" s="4">
        <v>1</v>
      </c>
      <c r="D11" s="4">
        <v>24</v>
      </c>
      <c r="E11" s="4">
        <v>9</v>
      </c>
      <c r="F11" s="4">
        <v>126436</v>
      </c>
      <c r="G11" s="4" t="s">
        <v>20</v>
      </c>
      <c r="H11" s="4">
        <v>0</v>
      </c>
      <c r="I11" s="4">
        <v>2.9622000000000002</v>
      </c>
      <c r="J11" s="4">
        <v>164.53440000000001</v>
      </c>
      <c r="K11" s="4">
        <v>115.14279999999999</v>
      </c>
      <c r="L11" s="4">
        <v>39.374499999999998</v>
      </c>
      <c r="M11" s="4">
        <v>6.8396999999999997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20210325</v>
      </c>
      <c r="T11">
        <f t="shared" si="0"/>
        <v>328.85360000000003</v>
      </c>
    </row>
    <row r="12" spans="1:20" x14ac:dyDescent="0.25">
      <c r="A12" s="4" t="s">
        <v>19</v>
      </c>
      <c r="B12" s="4">
        <v>2016</v>
      </c>
      <c r="C12" s="4">
        <v>1</v>
      </c>
      <c r="D12" s="4">
        <v>25</v>
      </c>
      <c r="E12" s="4">
        <v>10</v>
      </c>
      <c r="F12" s="4">
        <v>126436</v>
      </c>
      <c r="G12" s="4" t="s">
        <v>20</v>
      </c>
      <c r="H12" s="4">
        <v>0</v>
      </c>
      <c r="I12" s="4">
        <v>14.610099999999999</v>
      </c>
      <c r="J12" s="4">
        <v>812.86019999999996</v>
      </c>
      <c r="K12" s="4">
        <v>1006.7113000000001</v>
      </c>
      <c r="L12" s="4">
        <v>409.51100000000002</v>
      </c>
      <c r="M12" s="4">
        <v>44.914200000000001</v>
      </c>
      <c r="N12" s="4">
        <v>3.1815000000000002</v>
      </c>
      <c r="O12" s="4">
        <v>0.83560000000000001</v>
      </c>
      <c r="P12" s="4">
        <v>0.41049999999999998</v>
      </c>
      <c r="Q12" s="4">
        <v>0</v>
      </c>
      <c r="R12" s="4">
        <v>0</v>
      </c>
      <c r="S12" s="4">
        <v>20210325</v>
      </c>
      <c r="T12">
        <f t="shared" si="0"/>
        <v>2293.0344</v>
      </c>
    </row>
    <row r="13" spans="1:20" x14ac:dyDescent="0.25">
      <c r="A13" s="4" t="s">
        <v>19</v>
      </c>
      <c r="B13" s="4">
        <v>2016</v>
      </c>
      <c r="C13" s="4">
        <v>1</v>
      </c>
      <c r="D13" s="4">
        <v>25</v>
      </c>
      <c r="E13" s="4">
        <v>11</v>
      </c>
      <c r="F13" s="4">
        <v>126436</v>
      </c>
      <c r="G13" s="4" t="s">
        <v>20</v>
      </c>
      <c r="H13" s="4">
        <v>0</v>
      </c>
      <c r="I13" s="4">
        <v>2.4045000000000001</v>
      </c>
      <c r="J13" s="4">
        <v>471.30650000000003</v>
      </c>
      <c r="K13" s="4">
        <v>741.42529999999999</v>
      </c>
      <c r="L13" s="4">
        <v>337.77870000000001</v>
      </c>
      <c r="M13" s="4">
        <v>31.090299999999999</v>
      </c>
      <c r="N13" s="4">
        <v>1.7542</v>
      </c>
      <c r="O13" s="4">
        <v>0.63129999999999997</v>
      </c>
      <c r="P13" s="4">
        <v>0.16089999999999999</v>
      </c>
      <c r="Q13" s="4">
        <v>0</v>
      </c>
      <c r="R13" s="4">
        <v>0</v>
      </c>
      <c r="S13" s="4">
        <v>20210325</v>
      </c>
      <c r="T13">
        <f t="shared" si="0"/>
        <v>1586.5517000000004</v>
      </c>
    </row>
    <row r="14" spans="1:20" x14ac:dyDescent="0.25">
      <c r="A14" s="4" t="s">
        <v>19</v>
      </c>
      <c r="B14" s="4">
        <v>2016</v>
      </c>
      <c r="C14" s="4">
        <v>1</v>
      </c>
      <c r="D14" s="4">
        <v>25</v>
      </c>
      <c r="E14" s="4">
        <v>12</v>
      </c>
      <c r="F14" s="4">
        <v>126436</v>
      </c>
      <c r="G14" s="4" t="s">
        <v>20</v>
      </c>
      <c r="H14" s="4">
        <v>0</v>
      </c>
      <c r="I14" s="4">
        <v>0.13070000000000001</v>
      </c>
      <c r="J14" s="4">
        <v>102.55110000000001</v>
      </c>
      <c r="K14" s="4">
        <v>559.52139999999997</v>
      </c>
      <c r="L14" s="4">
        <v>372.16989999999998</v>
      </c>
      <c r="M14" s="4">
        <v>37.121099999999998</v>
      </c>
      <c r="N14" s="4">
        <v>2.1522000000000001</v>
      </c>
      <c r="O14" s="4">
        <v>0.94920000000000004</v>
      </c>
      <c r="P14" s="4">
        <v>0.4103</v>
      </c>
      <c r="Q14" s="4">
        <v>0</v>
      </c>
      <c r="R14" s="4">
        <v>0</v>
      </c>
      <c r="S14" s="4">
        <v>20210325</v>
      </c>
      <c r="T14">
        <f t="shared" si="0"/>
        <v>1075.0058999999999</v>
      </c>
    </row>
    <row r="15" spans="1:20" x14ac:dyDescent="0.25">
      <c r="A15" s="4" t="s">
        <v>19</v>
      </c>
      <c r="B15" s="4">
        <v>2016</v>
      </c>
      <c r="C15" s="4">
        <v>1</v>
      </c>
      <c r="D15" s="4">
        <v>25</v>
      </c>
      <c r="E15" s="4">
        <v>9</v>
      </c>
      <c r="F15" s="4">
        <v>126436</v>
      </c>
      <c r="G15" s="4" t="s">
        <v>20</v>
      </c>
      <c r="H15" s="4">
        <v>0</v>
      </c>
      <c r="I15" s="4">
        <v>0.33329999999999999</v>
      </c>
      <c r="J15" s="4">
        <v>7.6231</v>
      </c>
      <c r="K15" s="4">
        <v>169.2835</v>
      </c>
      <c r="L15" s="4">
        <v>149.62690000000001</v>
      </c>
      <c r="M15" s="4">
        <v>13.964700000000001</v>
      </c>
      <c r="N15" s="4">
        <v>0.74009999999999998</v>
      </c>
      <c r="O15" s="4">
        <v>0.20619999999999999</v>
      </c>
      <c r="P15" s="4">
        <v>5.5599999999999997E-2</v>
      </c>
      <c r="Q15" s="4">
        <v>0</v>
      </c>
      <c r="R15" s="4">
        <v>0</v>
      </c>
      <c r="S15" s="4">
        <v>20210325</v>
      </c>
      <c r="T15">
        <f t="shared" si="0"/>
        <v>341.83340000000004</v>
      </c>
    </row>
    <row r="16" spans="1:20" x14ac:dyDescent="0.25">
      <c r="A16" s="4" t="s">
        <v>19</v>
      </c>
      <c r="B16" s="4">
        <v>2016</v>
      </c>
      <c r="C16" s="4">
        <v>1</v>
      </c>
      <c r="D16" s="4">
        <v>26</v>
      </c>
      <c r="E16" s="4">
        <v>10</v>
      </c>
      <c r="F16" s="4">
        <v>126436</v>
      </c>
      <c r="G16" s="4" t="s">
        <v>20</v>
      </c>
      <c r="H16" s="4">
        <v>0</v>
      </c>
      <c r="I16" s="4">
        <v>13.537699999999999</v>
      </c>
      <c r="J16" s="4">
        <v>54.408099999999997</v>
      </c>
      <c r="K16" s="4">
        <v>102.5322</v>
      </c>
      <c r="L16" s="4">
        <v>75.475399999999993</v>
      </c>
      <c r="M16" s="4">
        <v>40.125399999999999</v>
      </c>
      <c r="N16" s="4">
        <v>10.2691</v>
      </c>
      <c r="O16" s="4">
        <v>0.92120000000000002</v>
      </c>
      <c r="P16" s="4">
        <v>0.1</v>
      </c>
      <c r="Q16" s="4">
        <v>9.0899999999999995E-2</v>
      </c>
      <c r="R16" s="4">
        <v>0</v>
      </c>
      <c r="S16" s="4">
        <v>20210325</v>
      </c>
      <c r="T16">
        <f t="shared" si="0"/>
        <v>297.45999999999998</v>
      </c>
    </row>
    <row r="17" spans="1:20" x14ac:dyDescent="0.25">
      <c r="A17" s="4" t="s">
        <v>19</v>
      </c>
      <c r="B17" s="4">
        <v>2016</v>
      </c>
      <c r="C17" s="4">
        <v>1</v>
      </c>
      <c r="D17" s="4">
        <v>26</v>
      </c>
      <c r="E17" s="4">
        <v>11</v>
      </c>
      <c r="F17" s="4">
        <v>126436</v>
      </c>
      <c r="G17" s="4" t="s">
        <v>20</v>
      </c>
      <c r="H17" s="4">
        <v>0</v>
      </c>
      <c r="I17" s="4">
        <v>2.8618999999999999</v>
      </c>
      <c r="J17" s="4">
        <v>327.18650000000002</v>
      </c>
      <c r="K17" s="4">
        <v>233.5667</v>
      </c>
      <c r="L17" s="4">
        <v>117.6147</v>
      </c>
      <c r="M17" s="4">
        <v>64.657200000000003</v>
      </c>
      <c r="N17" s="4">
        <v>13.1927</v>
      </c>
      <c r="O17" s="4">
        <v>0.62929999999999997</v>
      </c>
      <c r="P17" s="4">
        <v>0</v>
      </c>
      <c r="Q17" s="4">
        <v>0.1885</v>
      </c>
      <c r="R17" s="4">
        <v>0</v>
      </c>
      <c r="S17" s="4">
        <v>20210325</v>
      </c>
      <c r="T17">
        <f t="shared" si="0"/>
        <v>759.89749999999981</v>
      </c>
    </row>
    <row r="18" spans="1:20" x14ac:dyDescent="0.25">
      <c r="A18" s="4" t="s">
        <v>19</v>
      </c>
      <c r="B18" s="4">
        <v>2016</v>
      </c>
      <c r="C18" s="4">
        <v>1</v>
      </c>
      <c r="D18" s="4">
        <v>26</v>
      </c>
      <c r="E18" s="4">
        <v>12</v>
      </c>
      <c r="F18" s="4">
        <v>126436</v>
      </c>
      <c r="G18" s="4" t="s">
        <v>20</v>
      </c>
      <c r="H18" s="4">
        <v>0</v>
      </c>
      <c r="I18" s="4">
        <v>1.6783999999999999</v>
      </c>
      <c r="J18" s="4">
        <v>198.06880000000001</v>
      </c>
      <c r="K18" s="4">
        <v>443.61759999999998</v>
      </c>
      <c r="L18" s="4">
        <v>251.4913</v>
      </c>
      <c r="M18" s="4">
        <v>145.65379999999999</v>
      </c>
      <c r="N18" s="4">
        <v>28.7454</v>
      </c>
      <c r="O18" s="4">
        <v>1.4291</v>
      </c>
      <c r="P18" s="4">
        <v>0</v>
      </c>
      <c r="Q18" s="4">
        <v>0.25669999999999998</v>
      </c>
      <c r="R18" s="4">
        <v>0</v>
      </c>
      <c r="S18" s="4">
        <v>20210325</v>
      </c>
      <c r="T18">
        <f t="shared" si="0"/>
        <v>1070.9411</v>
      </c>
    </row>
    <row r="19" spans="1:20" x14ac:dyDescent="0.25">
      <c r="A19" s="4" t="s">
        <v>19</v>
      </c>
      <c r="B19" s="4">
        <v>2016</v>
      </c>
      <c r="C19" s="4">
        <v>1</v>
      </c>
      <c r="D19" s="4">
        <v>26</v>
      </c>
      <c r="E19" s="4">
        <v>13</v>
      </c>
      <c r="F19" s="4">
        <v>126436</v>
      </c>
      <c r="G19" s="4" t="s">
        <v>20</v>
      </c>
      <c r="H19" s="4">
        <v>0</v>
      </c>
      <c r="I19" s="4">
        <v>0</v>
      </c>
      <c r="J19" s="4">
        <v>18.069299999999998</v>
      </c>
      <c r="K19" s="4">
        <v>138.49160000000001</v>
      </c>
      <c r="L19" s="4">
        <v>98.906099999999995</v>
      </c>
      <c r="M19" s="4">
        <v>65.174599999999998</v>
      </c>
      <c r="N19" s="4">
        <v>13.7912</v>
      </c>
      <c r="O19" s="4">
        <v>2.4763000000000002</v>
      </c>
      <c r="P19" s="4">
        <v>0.25</v>
      </c>
      <c r="Q19" s="4">
        <v>9.0899999999999995E-2</v>
      </c>
      <c r="R19" s="4">
        <v>0</v>
      </c>
      <c r="S19" s="4">
        <v>20210325</v>
      </c>
      <c r="T19">
        <f t="shared" si="0"/>
        <v>337.24999999999994</v>
      </c>
    </row>
    <row r="20" spans="1:20" x14ac:dyDescent="0.25">
      <c r="A20" s="4" t="s">
        <v>19</v>
      </c>
      <c r="B20" s="4">
        <v>2016</v>
      </c>
      <c r="C20" s="4">
        <v>1</v>
      </c>
      <c r="D20" s="4">
        <v>26</v>
      </c>
      <c r="E20" s="4">
        <v>14</v>
      </c>
      <c r="F20" s="4">
        <v>126436</v>
      </c>
      <c r="G20" s="4" t="s">
        <v>20</v>
      </c>
      <c r="H20" s="4">
        <v>0</v>
      </c>
      <c r="I20" s="4">
        <v>0</v>
      </c>
      <c r="J20" s="4">
        <v>109.0431</v>
      </c>
      <c r="K20" s="4">
        <v>602.68769999999995</v>
      </c>
      <c r="L20" s="4">
        <v>503.12009999999998</v>
      </c>
      <c r="M20" s="4">
        <v>297.65710000000001</v>
      </c>
      <c r="N20" s="4">
        <v>80.775700000000001</v>
      </c>
      <c r="O20" s="4">
        <v>8.3526000000000007</v>
      </c>
      <c r="P20" s="4">
        <v>0</v>
      </c>
      <c r="Q20" s="4">
        <v>2.3635999999999999</v>
      </c>
      <c r="R20" s="4">
        <v>0</v>
      </c>
      <c r="S20" s="4">
        <v>20210325</v>
      </c>
      <c r="T20">
        <f t="shared" si="0"/>
        <v>1603.9998999999996</v>
      </c>
    </row>
    <row r="21" spans="1:20" x14ac:dyDescent="0.25">
      <c r="A21" s="4" t="s">
        <v>19</v>
      </c>
      <c r="B21" s="4">
        <v>2016</v>
      </c>
      <c r="C21" s="4">
        <v>1</v>
      </c>
      <c r="D21" s="4">
        <v>26</v>
      </c>
      <c r="E21" s="4">
        <v>9</v>
      </c>
      <c r="F21" s="4">
        <v>126436</v>
      </c>
      <c r="G21" s="4" t="s">
        <v>20</v>
      </c>
      <c r="H21" s="4">
        <v>0</v>
      </c>
      <c r="I21" s="4">
        <v>2.5295999999999998</v>
      </c>
      <c r="J21" s="4">
        <v>44.688200000000002</v>
      </c>
      <c r="K21" s="4">
        <v>54.451700000000002</v>
      </c>
      <c r="L21" s="4">
        <v>28.580500000000001</v>
      </c>
      <c r="M21" s="4">
        <v>13.0739</v>
      </c>
      <c r="N21" s="4">
        <v>3.5303</v>
      </c>
      <c r="O21" s="4">
        <v>0.23860000000000001</v>
      </c>
      <c r="P21" s="4">
        <v>0</v>
      </c>
      <c r="Q21" s="4">
        <v>4.0399999999999998E-2</v>
      </c>
      <c r="R21" s="4">
        <v>0</v>
      </c>
      <c r="S21" s="4">
        <v>20210325</v>
      </c>
      <c r="T21">
        <f t="shared" si="0"/>
        <v>147.13320000000002</v>
      </c>
    </row>
    <row r="22" spans="1:20" x14ac:dyDescent="0.25">
      <c r="A22" s="4" t="s">
        <v>19</v>
      </c>
      <c r="B22" s="4">
        <v>2016</v>
      </c>
      <c r="C22" s="4">
        <v>1</v>
      </c>
      <c r="D22" s="4">
        <v>27</v>
      </c>
      <c r="E22" s="4">
        <v>11</v>
      </c>
      <c r="F22" s="4">
        <v>126436</v>
      </c>
      <c r="G22" s="4" t="s">
        <v>20</v>
      </c>
      <c r="H22" s="4">
        <v>0</v>
      </c>
      <c r="I22" s="4">
        <v>0</v>
      </c>
      <c r="J22" s="4">
        <v>18.083300000000001</v>
      </c>
      <c r="K22" s="4">
        <v>15.333299999999999</v>
      </c>
      <c r="L22" s="4">
        <v>5.5833000000000004</v>
      </c>
      <c r="M22" s="4">
        <v>1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20210325</v>
      </c>
      <c r="T22">
        <f t="shared" si="0"/>
        <v>39.999900000000004</v>
      </c>
    </row>
    <row r="23" spans="1:20" x14ac:dyDescent="0.25">
      <c r="A23" s="4" t="s">
        <v>19</v>
      </c>
      <c r="B23" s="4">
        <v>2016</v>
      </c>
      <c r="C23" s="4">
        <v>1</v>
      </c>
      <c r="D23" s="4">
        <v>27</v>
      </c>
      <c r="E23" s="4">
        <v>12</v>
      </c>
      <c r="F23" s="4">
        <v>126436</v>
      </c>
      <c r="G23" s="4" t="s">
        <v>20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20210325</v>
      </c>
      <c r="T23">
        <f t="shared" si="0"/>
        <v>0</v>
      </c>
    </row>
    <row r="24" spans="1:20" x14ac:dyDescent="0.25">
      <c r="A24" s="4" t="s">
        <v>19</v>
      </c>
      <c r="B24" s="4">
        <v>2016</v>
      </c>
      <c r="C24" s="4">
        <v>1</v>
      </c>
      <c r="D24" s="4">
        <v>27</v>
      </c>
      <c r="E24" s="4">
        <v>13</v>
      </c>
      <c r="F24" s="4">
        <v>126436</v>
      </c>
      <c r="G24" s="4" t="s">
        <v>20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20210325</v>
      </c>
      <c r="T24">
        <f t="shared" si="0"/>
        <v>0</v>
      </c>
    </row>
    <row r="25" spans="1:20" x14ac:dyDescent="0.25">
      <c r="A25" s="4" t="s">
        <v>19</v>
      </c>
      <c r="B25" s="4">
        <v>2016</v>
      </c>
      <c r="C25" s="4">
        <v>1</v>
      </c>
      <c r="D25" s="4">
        <v>28</v>
      </c>
      <c r="E25" s="4">
        <v>10</v>
      </c>
      <c r="F25" s="4">
        <v>126436</v>
      </c>
      <c r="G25" s="4" t="s">
        <v>20</v>
      </c>
      <c r="H25" s="4">
        <v>0</v>
      </c>
      <c r="I25" s="4">
        <v>1</v>
      </c>
      <c r="J25" s="4">
        <v>4.1666999999999996</v>
      </c>
      <c r="K25" s="4">
        <v>3</v>
      </c>
      <c r="L25" s="4">
        <v>0.83330000000000004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20210325</v>
      </c>
      <c r="T25">
        <f t="shared" si="0"/>
        <v>8.9999999999999982</v>
      </c>
    </row>
    <row r="26" spans="1:20" x14ac:dyDescent="0.25">
      <c r="A26" s="4" t="s">
        <v>19</v>
      </c>
      <c r="B26" s="4">
        <v>2016</v>
      </c>
      <c r="C26" s="4">
        <v>1</v>
      </c>
      <c r="D26" s="4">
        <v>28</v>
      </c>
      <c r="E26" s="4">
        <v>11</v>
      </c>
      <c r="F26" s="4">
        <v>126436</v>
      </c>
      <c r="G26" s="4" t="s">
        <v>20</v>
      </c>
      <c r="H26" s="4">
        <v>0</v>
      </c>
      <c r="I26" s="4">
        <v>0.44440000000000002</v>
      </c>
      <c r="J26" s="4">
        <v>18.555499999999999</v>
      </c>
      <c r="K26" s="4">
        <v>7.0369999999999999</v>
      </c>
      <c r="L26" s="4">
        <v>3.6295999999999999</v>
      </c>
      <c r="M26" s="4">
        <v>2.2222</v>
      </c>
      <c r="N26" s="4">
        <v>1</v>
      </c>
      <c r="O26" s="4">
        <v>0</v>
      </c>
      <c r="P26" s="4">
        <v>0</v>
      </c>
      <c r="Q26" s="4">
        <v>0</v>
      </c>
      <c r="R26" s="4">
        <v>0</v>
      </c>
      <c r="S26" s="4">
        <v>20210325</v>
      </c>
      <c r="T26">
        <f t="shared" si="0"/>
        <v>32.8887</v>
      </c>
    </row>
    <row r="27" spans="1:20" x14ac:dyDescent="0.25">
      <c r="A27" s="4" t="s">
        <v>19</v>
      </c>
      <c r="B27" s="4">
        <v>2016</v>
      </c>
      <c r="C27" s="4">
        <v>1</v>
      </c>
      <c r="D27" s="4">
        <v>28</v>
      </c>
      <c r="E27" s="4">
        <v>12</v>
      </c>
      <c r="F27" s="4">
        <v>126436</v>
      </c>
      <c r="G27" s="4" t="s">
        <v>20</v>
      </c>
      <c r="H27" s="4">
        <v>0</v>
      </c>
      <c r="I27" s="4">
        <v>0</v>
      </c>
      <c r="J27" s="4">
        <v>0.57140000000000002</v>
      </c>
      <c r="K27" s="4">
        <v>1.6667000000000001</v>
      </c>
      <c r="L27" s="4">
        <v>0.85709999999999997</v>
      </c>
      <c r="M27" s="4">
        <v>0</v>
      </c>
      <c r="N27" s="4">
        <v>0.33329999999999999</v>
      </c>
      <c r="O27" s="4">
        <v>0</v>
      </c>
      <c r="P27" s="4">
        <v>0</v>
      </c>
      <c r="Q27" s="4">
        <v>0</v>
      </c>
      <c r="R27" s="4">
        <v>0</v>
      </c>
      <c r="S27" s="4">
        <v>20210325</v>
      </c>
      <c r="T27">
        <f t="shared" si="0"/>
        <v>3.4285000000000001</v>
      </c>
    </row>
    <row r="28" spans="1:20" x14ac:dyDescent="0.25">
      <c r="A28" s="4" t="s">
        <v>19</v>
      </c>
      <c r="B28" s="4">
        <v>2016</v>
      </c>
      <c r="C28" s="4">
        <v>1</v>
      </c>
      <c r="D28" s="4">
        <v>28</v>
      </c>
      <c r="E28" s="4">
        <v>9</v>
      </c>
      <c r="F28" s="4">
        <v>126436</v>
      </c>
      <c r="G28" s="4" t="s">
        <v>20</v>
      </c>
      <c r="H28" s="4">
        <v>0</v>
      </c>
      <c r="I28" s="4">
        <v>0.33329999999999999</v>
      </c>
      <c r="J28" s="4">
        <v>0.58330000000000004</v>
      </c>
      <c r="K28" s="4">
        <v>0.91669999999999996</v>
      </c>
      <c r="L28" s="4">
        <v>0.38890000000000002</v>
      </c>
      <c r="M28" s="4">
        <v>0.55559999999999998</v>
      </c>
      <c r="N28" s="4">
        <v>0.22220000000000001</v>
      </c>
      <c r="O28" s="4">
        <v>0</v>
      </c>
      <c r="P28" s="4">
        <v>0</v>
      </c>
      <c r="Q28" s="4">
        <v>0</v>
      </c>
      <c r="R28" s="4">
        <v>0</v>
      </c>
      <c r="S28" s="4">
        <v>20210325</v>
      </c>
      <c r="T28">
        <f t="shared" si="0"/>
        <v>3</v>
      </c>
    </row>
    <row r="29" spans="1:20" x14ac:dyDescent="0.25">
      <c r="A29" s="4" t="s">
        <v>19</v>
      </c>
      <c r="B29" s="4">
        <v>2017</v>
      </c>
      <c r="C29" s="4">
        <v>1</v>
      </c>
      <c r="D29" s="4">
        <v>21</v>
      </c>
      <c r="E29" s="4">
        <v>10</v>
      </c>
      <c r="F29" s="4">
        <v>126436</v>
      </c>
      <c r="G29" s="4" t="s">
        <v>20</v>
      </c>
      <c r="H29" s="4">
        <v>0</v>
      </c>
      <c r="I29" s="4">
        <v>23.080400000000001</v>
      </c>
      <c r="J29" s="4">
        <v>1.1696</v>
      </c>
      <c r="K29" s="4">
        <v>0</v>
      </c>
      <c r="L29" s="4">
        <v>1.3286</v>
      </c>
      <c r="M29" s="4">
        <v>0.22140000000000001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20210329</v>
      </c>
      <c r="T29">
        <f t="shared" si="0"/>
        <v>25.8</v>
      </c>
    </row>
    <row r="30" spans="1:20" x14ac:dyDescent="0.25">
      <c r="A30" s="4" t="s">
        <v>19</v>
      </c>
      <c r="B30" s="4">
        <v>2017</v>
      </c>
      <c r="C30" s="4">
        <v>1</v>
      </c>
      <c r="D30" s="4">
        <v>21</v>
      </c>
      <c r="E30" s="4">
        <v>11</v>
      </c>
      <c r="F30" s="4">
        <v>126436</v>
      </c>
      <c r="G30" s="4" t="s">
        <v>20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20210329</v>
      </c>
      <c r="T30">
        <f t="shared" si="0"/>
        <v>0</v>
      </c>
    </row>
    <row r="31" spans="1:20" x14ac:dyDescent="0.25">
      <c r="A31" s="4" t="s">
        <v>19</v>
      </c>
      <c r="B31" s="4">
        <v>2017</v>
      </c>
      <c r="C31" s="4">
        <v>1</v>
      </c>
      <c r="D31" s="4">
        <v>21</v>
      </c>
      <c r="E31" s="4">
        <v>12</v>
      </c>
      <c r="F31" s="4">
        <v>126436</v>
      </c>
      <c r="G31" s="4" t="s">
        <v>20</v>
      </c>
      <c r="H31" s="4">
        <v>0</v>
      </c>
      <c r="I31" s="4">
        <v>358.01510000000002</v>
      </c>
      <c r="J31" s="4">
        <v>9.3849</v>
      </c>
      <c r="K31" s="4">
        <v>0</v>
      </c>
      <c r="L31" s="4">
        <v>3.1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20210329</v>
      </c>
      <c r="T31">
        <f t="shared" si="0"/>
        <v>370.50000000000006</v>
      </c>
    </row>
    <row r="32" spans="1:20" x14ac:dyDescent="0.25">
      <c r="A32" s="4" t="s">
        <v>19</v>
      </c>
      <c r="B32" s="4">
        <v>2017</v>
      </c>
      <c r="C32" s="4">
        <v>1</v>
      </c>
      <c r="D32" s="4">
        <v>21</v>
      </c>
      <c r="E32" s="4">
        <v>9</v>
      </c>
      <c r="F32" s="4">
        <v>126436</v>
      </c>
      <c r="G32" s="4" t="s">
        <v>20</v>
      </c>
      <c r="H32" s="4">
        <v>0</v>
      </c>
      <c r="I32" s="4">
        <v>114.2486</v>
      </c>
      <c r="J32" s="4">
        <v>4.7201000000000004</v>
      </c>
      <c r="K32" s="4">
        <v>6.1708999999999996</v>
      </c>
      <c r="L32" s="4">
        <v>17.186800000000002</v>
      </c>
      <c r="M32" s="4">
        <v>9.1829000000000001</v>
      </c>
      <c r="N32" s="4">
        <v>2.0598000000000001</v>
      </c>
      <c r="O32" s="4">
        <v>0</v>
      </c>
      <c r="P32" s="4">
        <v>0</v>
      </c>
      <c r="Q32" s="4">
        <v>0</v>
      </c>
      <c r="R32" s="4">
        <v>0</v>
      </c>
      <c r="S32" s="4">
        <v>20210329</v>
      </c>
      <c r="T32">
        <f t="shared" si="0"/>
        <v>153.56909999999999</v>
      </c>
    </row>
    <row r="33" spans="1:20" x14ac:dyDescent="0.25">
      <c r="A33" s="4" t="s">
        <v>19</v>
      </c>
      <c r="B33" s="4">
        <v>2017</v>
      </c>
      <c r="C33" s="4">
        <v>1</v>
      </c>
      <c r="D33" s="4">
        <v>22</v>
      </c>
      <c r="E33" s="4">
        <v>8</v>
      </c>
      <c r="F33" s="4">
        <v>126436</v>
      </c>
      <c r="G33" s="4" t="s">
        <v>20</v>
      </c>
      <c r="H33" s="4">
        <v>0</v>
      </c>
      <c r="I33" s="4">
        <v>76.455299999999994</v>
      </c>
      <c r="J33" s="4">
        <v>1.8243</v>
      </c>
      <c r="K33" s="4">
        <v>6.8587999999999996</v>
      </c>
      <c r="L33" s="4">
        <v>1.0707</v>
      </c>
      <c r="M33" s="4">
        <v>0.33210000000000001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20210329</v>
      </c>
      <c r="T33">
        <f t="shared" si="0"/>
        <v>86.541199999999989</v>
      </c>
    </row>
    <row r="34" spans="1:20" x14ac:dyDescent="0.25">
      <c r="A34" s="4" t="s">
        <v>19</v>
      </c>
      <c r="B34" s="4">
        <v>2017</v>
      </c>
      <c r="C34" s="4">
        <v>1</v>
      </c>
      <c r="D34" s="4">
        <v>22</v>
      </c>
      <c r="E34" s="4">
        <v>9</v>
      </c>
      <c r="F34" s="4">
        <v>126436</v>
      </c>
      <c r="G34" s="4" t="s">
        <v>20</v>
      </c>
      <c r="H34" s="4">
        <v>0</v>
      </c>
      <c r="I34" s="4">
        <v>155.3844</v>
      </c>
      <c r="J34" s="4">
        <v>6.0464000000000002</v>
      </c>
      <c r="K34" s="4">
        <v>23.953399999999998</v>
      </c>
      <c r="L34" s="4">
        <v>9.7277000000000005</v>
      </c>
      <c r="M34" s="4">
        <v>5.7534000000000001</v>
      </c>
      <c r="N34" s="4">
        <v>0.89119999999999999</v>
      </c>
      <c r="O34" s="4">
        <v>0.4133</v>
      </c>
      <c r="P34" s="4">
        <v>0.46500000000000002</v>
      </c>
      <c r="Q34" s="4">
        <v>0</v>
      </c>
      <c r="R34" s="4">
        <v>0</v>
      </c>
      <c r="S34" s="4">
        <v>20210329</v>
      </c>
      <c r="T34">
        <f t="shared" ref="T34:T65" si="1">SUM(I34:R34)</f>
        <v>202.63479999999998</v>
      </c>
    </row>
    <row r="35" spans="1:20" x14ac:dyDescent="0.25">
      <c r="A35" s="4" t="s">
        <v>19</v>
      </c>
      <c r="B35" s="4">
        <v>2017</v>
      </c>
      <c r="C35" s="4">
        <v>1</v>
      </c>
      <c r="D35" s="4">
        <v>23</v>
      </c>
      <c r="E35" s="4">
        <v>8</v>
      </c>
      <c r="F35" s="4">
        <v>126436</v>
      </c>
      <c r="G35" s="4" t="s">
        <v>20</v>
      </c>
      <c r="H35" s="4">
        <v>0</v>
      </c>
      <c r="I35" s="4">
        <v>466.12299999999999</v>
      </c>
      <c r="J35" s="4">
        <v>32.575800000000001</v>
      </c>
      <c r="K35" s="4">
        <v>956.88610000000006</v>
      </c>
      <c r="L35" s="4">
        <v>156.54509999999999</v>
      </c>
      <c r="M35" s="4">
        <v>10.1928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20210329</v>
      </c>
      <c r="T35">
        <f t="shared" si="1"/>
        <v>1622.3228000000001</v>
      </c>
    </row>
    <row r="36" spans="1:20" x14ac:dyDescent="0.25">
      <c r="A36" s="4" t="s">
        <v>19</v>
      </c>
      <c r="B36" s="4">
        <v>2017</v>
      </c>
      <c r="C36" s="4">
        <v>1</v>
      </c>
      <c r="D36" s="4">
        <v>23</v>
      </c>
      <c r="E36" s="4">
        <v>9</v>
      </c>
      <c r="F36" s="4">
        <v>126436</v>
      </c>
      <c r="G36" s="4" t="s">
        <v>20</v>
      </c>
      <c r="H36" s="4">
        <v>0</v>
      </c>
      <c r="I36" s="4">
        <v>215.9333</v>
      </c>
      <c r="J36" s="4">
        <v>31.2361</v>
      </c>
      <c r="K36" s="4">
        <v>675.95500000000004</v>
      </c>
      <c r="L36" s="4">
        <v>73.642200000000003</v>
      </c>
      <c r="M36" s="4">
        <v>12.4</v>
      </c>
      <c r="N36" s="4">
        <v>2.0667</v>
      </c>
      <c r="O36" s="4">
        <v>0</v>
      </c>
      <c r="P36" s="4">
        <v>0</v>
      </c>
      <c r="Q36" s="4">
        <v>0</v>
      </c>
      <c r="R36" s="4">
        <v>0</v>
      </c>
      <c r="S36" s="4">
        <v>20210329</v>
      </c>
      <c r="T36">
        <f t="shared" si="1"/>
        <v>1011.2333</v>
      </c>
    </row>
    <row r="37" spans="1:20" x14ac:dyDescent="0.25">
      <c r="A37" s="4" t="s">
        <v>19</v>
      </c>
      <c r="B37" s="4">
        <v>2017</v>
      </c>
      <c r="C37" s="4">
        <v>1</v>
      </c>
      <c r="D37" s="4">
        <v>24</v>
      </c>
      <c r="E37" s="4">
        <v>10</v>
      </c>
      <c r="F37" s="4">
        <v>126436</v>
      </c>
      <c r="G37" s="4" t="s">
        <v>20</v>
      </c>
      <c r="H37" s="4">
        <v>0</v>
      </c>
      <c r="I37" s="4">
        <v>227.15260000000001</v>
      </c>
      <c r="J37" s="4">
        <v>266.09309999999999</v>
      </c>
      <c r="K37" s="4">
        <v>419.76190000000003</v>
      </c>
      <c r="L37" s="4">
        <v>175.89580000000001</v>
      </c>
      <c r="M37" s="4">
        <v>105.8704</v>
      </c>
      <c r="N37" s="4">
        <v>5.0644999999999998</v>
      </c>
      <c r="O37" s="4">
        <v>1.7584</v>
      </c>
      <c r="P37" s="4">
        <v>1.4326000000000001</v>
      </c>
      <c r="Q37" s="4">
        <v>0</v>
      </c>
      <c r="R37" s="4">
        <v>0</v>
      </c>
      <c r="S37" s="4">
        <v>20210329</v>
      </c>
      <c r="T37">
        <f t="shared" si="1"/>
        <v>1203.0293000000001</v>
      </c>
    </row>
    <row r="38" spans="1:20" x14ac:dyDescent="0.25">
      <c r="A38" s="4" t="s">
        <v>19</v>
      </c>
      <c r="B38" s="4">
        <v>2017</v>
      </c>
      <c r="C38" s="4">
        <v>1</v>
      </c>
      <c r="D38" s="4">
        <v>24</v>
      </c>
      <c r="E38" s="4">
        <v>8</v>
      </c>
      <c r="F38" s="4">
        <v>126436</v>
      </c>
      <c r="G38" s="4" t="s">
        <v>20</v>
      </c>
      <c r="H38" s="4">
        <v>0</v>
      </c>
      <c r="I38" s="4">
        <v>82.791499999999999</v>
      </c>
      <c r="J38" s="4">
        <v>26.1053</v>
      </c>
      <c r="K38" s="4">
        <v>13.9712</v>
      </c>
      <c r="L38" s="4">
        <v>8.7497000000000007</v>
      </c>
      <c r="M38" s="4">
        <v>7.6087999999999996</v>
      </c>
      <c r="N38" s="4">
        <v>0.44130000000000003</v>
      </c>
      <c r="O38" s="4">
        <v>0.1845</v>
      </c>
      <c r="P38" s="4">
        <v>0.14760000000000001</v>
      </c>
      <c r="Q38" s="4">
        <v>0</v>
      </c>
      <c r="R38" s="4">
        <v>0</v>
      </c>
      <c r="S38" s="4">
        <v>20210329</v>
      </c>
      <c r="T38">
        <f t="shared" si="1"/>
        <v>139.99990000000003</v>
      </c>
    </row>
    <row r="39" spans="1:20" x14ac:dyDescent="0.25">
      <c r="A39" s="4" t="s">
        <v>19</v>
      </c>
      <c r="B39" s="4">
        <v>2017</v>
      </c>
      <c r="C39" s="4">
        <v>1</v>
      </c>
      <c r="D39" s="4">
        <v>24</v>
      </c>
      <c r="E39" s="4">
        <v>9</v>
      </c>
      <c r="F39" s="4">
        <v>126436</v>
      </c>
      <c r="G39" s="4" t="s">
        <v>20</v>
      </c>
      <c r="H39" s="4">
        <v>0</v>
      </c>
      <c r="I39" s="4">
        <v>145.3896</v>
      </c>
      <c r="J39" s="4">
        <v>103.2773</v>
      </c>
      <c r="K39" s="4">
        <v>128.756</v>
      </c>
      <c r="L39" s="4">
        <v>59.065899999999999</v>
      </c>
      <c r="M39" s="4">
        <v>33.429900000000004</v>
      </c>
      <c r="N39" s="4">
        <v>1.0408999999999999</v>
      </c>
      <c r="O39" s="4">
        <v>0.47799999999999998</v>
      </c>
      <c r="P39" s="4">
        <v>0.18790000000000001</v>
      </c>
      <c r="Q39" s="4">
        <v>0</v>
      </c>
      <c r="R39" s="4">
        <v>0</v>
      </c>
      <c r="S39" s="4">
        <v>20210329</v>
      </c>
      <c r="T39">
        <f t="shared" si="1"/>
        <v>471.6255000000001</v>
      </c>
    </row>
    <row r="40" spans="1:20" x14ac:dyDescent="0.25">
      <c r="A40" s="4" t="s">
        <v>19</v>
      </c>
      <c r="B40" s="4">
        <v>2017</v>
      </c>
      <c r="C40" s="4">
        <v>1</v>
      </c>
      <c r="D40" s="4">
        <v>25</v>
      </c>
      <c r="E40" s="4">
        <v>10</v>
      </c>
      <c r="F40" s="4">
        <v>126436</v>
      </c>
      <c r="G40" s="4" t="s">
        <v>20</v>
      </c>
      <c r="H40" s="4">
        <v>0</v>
      </c>
      <c r="I40" s="4">
        <v>37.144599999999997</v>
      </c>
      <c r="J40" s="4">
        <v>254.0686</v>
      </c>
      <c r="K40" s="4">
        <v>294.06970000000001</v>
      </c>
      <c r="L40" s="4">
        <v>110.0476</v>
      </c>
      <c r="M40" s="4">
        <v>25.7605</v>
      </c>
      <c r="N40" s="4">
        <v>4.1820000000000004</v>
      </c>
      <c r="O40" s="4">
        <v>0.45040000000000002</v>
      </c>
      <c r="P40" s="4">
        <v>6.0299999999999999E-2</v>
      </c>
      <c r="Q40" s="4">
        <v>0</v>
      </c>
      <c r="R40" s="4">
        <v>0</v>
      </c>
      <c r="S40" s="4">
        <v>20210329</v>
      </c>
      <c r="T40">
        <f t="shared" si="1"/>
        <v>725.78369999999995</v>
      </c>
    </row>
    <row r="41" spans="1:20" x14ac:dyDescent="0.25">
      <c r="A41" s="4" t="s">
        <v>19</v>
      </c>
      <c r="B41" s="4">
        <v>2017</v>
      </c>
      <c r="C41" s="4">
        <v>1</v>
      </c>
      <c r="D41" s="4">
        <v>25</v>
      </c>
      <c r="E41" s="4">
        <v>11</v>
      </c>
      <c r="F41" s="4">
        <v>126436</v>
      </c>
      <c r="G41" s="4" t="s">
        <v>20</v>
      </c>
      <c r="H41" s="4">
        <v>0</v>
      </c>
      <c r="I41" s="4">
        <v>17.157800000000002</v>
      </c>
      <c r="J41" s="4">
        <v>201.4282</v>
      </c>
      <c r="K41" s="4">
        <v>416.49130000000002</v>
      </c>
      <c r="L41" s="4">
        <v>220.46019999999999</v>
      </c>
      <c r="M41" s="4">
        <v>51.317900000000002</v>
      </c>
      <c r="N41" s="4">
        <v>8.2119</v>
      </c>
      <c r="O41" s="4">
        <v>0.50670000000000004</v>
      </c>
      <c r="P41" s="4">
        <v>5.2299999999999999E-2</v>
      </c>
      <c r="Q41" s="4">
        <v>0</v>
      </c>
      <c r="R41" s="4">
        <v>0</v>
      </c>
      <c r="S41" s="4">
        <v>20210329</v>
      </c>
      <c r="T41">
        <f t="shared" si="1"/>
        <v>915.62630000000001</v>
      </c>
    </row>
    <row r="42" spans="1:20" x14ac:dyDescent="0.25">
      <c r="A42" s="4" t="s">
        <v>19</v>
      </c>
      <c r="B42" s="4">
        <v>2017</v>
      </c>
      <c r="C42" s="4">
        <v>1</v>
      </c>
      <c r="D42" s="4">
        <v>25</v>
      </c>
      <c r="E42" s="4">
        <v>12</v>
      </c>
      <c r="F42" s="4">
        <v>126436</v>
      </c>
      <c r="G42" s="4" t="s">
        <v>20</v>
      </c>
      <c r="H42" s="4">
        <v>0</v>
      </c>
      <c r="I42" s="4">
        <v>0.71809999999999996</v>
      </c>
      <c r="J42" s="4">
        <v>49.7209</v>
      </c>
      <c r="K42" s="4">
        <v>276.5514</v>
      </c>
      <c r="L42" s="4">
        <v>236.6474</v>
      </c>
      <c r="M42" s="4">
        <v>69.703800000000001</v>
      </c>
      <c r="N42" s="4">
        <v>12.2803</v>
      </c>
      <c r="O42" s="4">
        <v>0.97399999999999998</v>
      </c>
      <c r="P42" s="4">
        <v>0.27750000000000002</v>
      </c>
      <c r="Q42" s="4">
        <v>0</v>
      </c>
      <c r="R42" s="4">
        <v>0</v>
      </c>
      <c r="S42" s="4">
        <v>20210329</v>
      </c>
      <c r="T42">
        <f t="shared" si="1"/>
        <v>646.87340000000006</v>
      </c>
    </row>
    <row r="43" spans="1:20" x14ac:dyDescent="0.25">
      <c r="A43" s="4" t="s">
        <v>19</v>
      </c>
      <c r="B43" s="4">
        <v>2017</v>
      </c>
      <c r="C43" s="4">
        <v>1</v>
      </c>
      <c r="D43" s="4">
        <v>25</v>
      </c>
      <c r="E43" s="4">
        <v>9</v>
      </c>
      <c r="F43" s="4">
        <v>126436</v>
      </c>
      <c r="G43" s="4" t="s">
        <v>20</v>
      </c>
      <c r="H43" s="4">
        <v>0</v>
      </c>
      <c r="I43" s="4">
        <v>6.9603999999999999</v>
      </c>
      <c r="J43" s="4">
        <v>12.3203</v>
      </c>
      <c r="K43" s="4">
        <v>84.109700000000004</v>
      </c>
      <c r="L43" s="4">
        <v>59.264800000000001</v>
      </c>
      <c r="M43" s="4">
        <v>11.2986</v>
      </c>
      <c r="N43" s="4">
        <v>1.6085</v>
      </c>
      <c r="O43" s="4">
        <v>4.7600000000000003E-2</v>
      </c>
      <c r="P43" s="4">
        <v>3.3000000000000002E-2</v>
      </c>
      <c r="Q43" s="4">
        <v>0</v>
      </c>
      <c r="R43" s="4">
        <v>0</v>
      </c>
      <c r="S43" s="4">
        <v>20210329</v>
      </c>
      <c r="T43">
        <f t="shared" si="1"/>
        <v>175.64289999999997</v>
      </c>
    </row>
    <row r="44" spans="1:20" x14ac:dyDescent="0.25">
      <c r="A44" s="4" t="s">
        <v>19</v>
      </c>
      <c r="B44" s="4">
        <v>2017</v>
      </c>
      <c r="C44" s="4">
        <v>1</v>
      </c>
      <c r="D44" s="4">
        <v>26</v>
      </c>
      <c r="E44" s="4">
        <v>10</v>
      </c>
      <c r="F44" s="4">
        <v>126436</v>
      </c>
      <c r="G44" s="4" t="s">
        <v>20</v>
      </c>
      <c r="H44" s="4">
        <v>0</v>
      </c>
      <c r="I44" s="4">
        <v>27.3611</v>
      </c>
      <c r="J44" s="4">
        <v>15.074</v>
      </c>
      <c r="K44" s="4">
        <v>11.782999999999999</v>
      </c>
      <c r="L44" s="4">
        <v>10.249499999999999</v>
      </c>
      <c r="M44" s="4">
        <v>8.0734999999999992</v>
      </c>
      <c r="N44" s="4">
        <v>3.6789000000000001</v>
      </c>
      <c r="O44" s="4">
        <v>0.87890000000000001</v>
      </c>
      <c r="P44" s="4">
        <v>0.1915</v>
      </c>
      <c r="Q44" s="4">
        <v>5.9499999999999997E-2</v>
      </c>
      <c r="R44" s="4">
        <v>0</v>
      </c>
      <c r="S44" s="4">
        <v>20210329</v>
      </c>
      <c r="T44">
        <f t="shared" si="1"/>
        <v>77.349900000000005</v>
      </c>
    </row>
    <row r="45" spans="1:20" x14ac:dyDescent="0.25">
      <c r="A45" s="4" t="s">
        <v>19</v>
      </c>
      <c r="B45" s="4">
        <v>2017</v>
      </c>
      <c r="C45" s="4">
        <v>1</v>
      </c>
      <c r="D45" s="4">
        <v>26</v>
      </c>
      <c r="E45" s="4">
        <v>11</v>
      </c>
      <c r="F45" s="4">
        <v>126436</v>
      </c>
      <c r="G45" s="4" t="s">
        <v>20</v>
      </c>
      <c r="H45" s="4">
        <v>0</v>
      </c>
      <c r="I45" s="4">
        <v>10.5228</v>
      </c>
      <c r="J45" s="4">
        <v>58.414400000000001</v>
      </c>
      <c r="K45" s="4">
        <v>145.67609999999999</v>
      </c>
      <c r="L45" s="4">
        <v>93.258499999999998</v>
      </c>
      <c r="M45" s="4">
        <v>56.4193</v>
      </c>
      <c r="N45" s="4">
        <v>23.003299999999999</v>
      </c>
      <c r="O45" s="4">
        <v>4.8178999999999998</v>
      </c>
      <c r="P45" s="4">
        <v>0.61439999999999995</v>
      </c>
      <c r="Q45" s="4">
        <v>0.1333</v>
      </c>
      <c r="R45" s="4">
        <v>0</v>
      </c>
      <c r="S45" s="4">
        <v>20210329</v>
      </c>
      <c r="T45">
        <f t="shared" si="1"/>
        <v>392.86000000000007</v>
      </c>
    </row>
    <row r="46" spans="1:20" x14ac:dyDescent="0.25">
      <c r="A46" s="4" t="s">
        <v>19</v>
      </c>
      <c r="B46" s="4">
        <v>2017</v>
      </c>
      <c r="C46" s="4">
        <v>1</v>
      </c>
      <c r="D46" s="4">
        <v>26</v>
      </c>
      <c r="E46" s="4">
        <v>12</v>
      </c>
      <c r="F46" s="4">
        <v>126436</v>
      </c>
      <c r="G46" s="4" t="s">
        <v>20</v>
      </c>
      <c r="H46" s="4">
        <v>0</v>
      </c>
      <c r="I46" s="4">
        <v>2.3313000000000001</v>
      </c>
      <c r="J46" s="4">
        <v>31.961600000000001</v>
      </c>
      <c r="K46" s="4">
        <v>174.00409999999999</v>
      </c>
      <c r="L46" s="4">
        <v>126.5444</v>
      </c>
      <c r="M46" s="4">
        <v>78.964200000000005</v>
      </c>
      <c r="N46" s="4">
        <v>32.5398</v>
      </c>
      <c r="O46" s="4">
        <v>5.4264000000000001</v>
      </c>
      <c r="P46" s="4">
        <v>0.67679999999999996</v>
      </c>
      <c r="Q46" s="4">
        <v>0.14019999999999999</v>
      </c>
      <c r="R46" s="4">
        <v>0</v>
      </c>
      <c r="S46" s="4">
        <v>20210329</v>
      </c>
      <c r="T46">
        <f t="shared" si="1"/>
        <v>452.58880000000005</v>
      </c>
    </row>
    <row r="47" spans="1:20" x14ac:dyDescent="0.25">
      <c r="A47" s="4" t="s">
        <v>19</v>
      </c>
      <c r="B47" s="4">
        <v>2017</v>
      </c>
      <c r="C47" s="4">
        <v>1</v>
      </c>
      <c r="D47" s="4">
        <v>26</v>
      </c>
      <c r="E47" s="4">
        <v>13</v>
      </c>
      <c r="F47" s="4">
        <v>126436</v>
      </c>
      <c r="G47" s="4" t="s">
        <v>20</v>
      </c>
      <c r="H47" s="4">
        <v>0</v>
      </c>
      <c r="I47" s="4">
        <v>6.25</v>
      </c>
      <c r="J47" s="4">
        <v>20.662800000000001</v>
      </c>
      <c r="K47" s="4">
        <v>186.191</v>
      </c>
      <c r="L47" s="4">
        <v>165.10830000000001</v>
      </c>
      <c r="M47" s="4">
        <v>123.8942</v>
      </c>
      <c r="N47" s="4">
        <v>46.843600000000002</v>
      </c>
      <c r="O47" s="4">
        <v>10.284599999999999</v>
      </c>
      <c r="P47" s="4">
        <v>1.8369</v>
      </c>
      <c r="Q47" s="4">
        <v>0.17860000000000001</v>
      </c>
      <c r="R47" s="4">
        <v>0</v>
      </c>
      <c r="S47" s="4">
        <v>20210329</v>
      </c>
      <c r="T47">
        <f t="shared" si="1"/>
        <v>561.25</v>
      </c>
    </row>
    <row r="48" spans="1:20" x14ac:dyDescent="0.25">
      <c r="A48" s="4" t="s">
        <v>19</v>
      </c>
      <c r="B48" s="4">
        <v>2017</v>
      </c>
      <c r="C48" s="4">
        <v>1</v>
      </c>
      <c r="D48" s="4">
        <v>26</v>
      </c>
      <c r="E48" s="4">
        <v>9</v>
      </c>
      <c r="F48" s="4">
        <v>126436</v>
      </c>
      <c r="G48" s="4" t="s">
        <v>20</v>
      </c>
      <c r="H48" s="4">
        <v>0</v>
      </c>
      <c r="I48" s="4">
        <v>13.683299999999999</v>
      </c>
      <c r="J48" s="4">
        <v>4.3371000000000004</v>
      </c>
      <c r="K48" s="4">
        <v>6.9370000000000003</v>
      </c>
      <c r="L48" s="4">
        <v>8.5966000000000005</v>
      </c>
      <c r="M48" s="4">
        <v>7.7137000000000002</v>
      </c>
      <c r="N48" s="4">
        <v>4.3810000000000002</v>
      </c>
      <c r="O48" s="4">
        <v>0.97819999999999996</v>
      </c>
      <c r="P48" s="4">
        <v>0.2762</v>
      </c>
      <c r="Q48" s="4">
        <v>9.6799999999999997E-2</v>
      </c>
      <c r="R48" s="4">
        <v>0</v>
      </c>
      <c r="S48" s="4">
        <v>20210329</v>
      </c>
      <c r="T48">
        <f t="shared" si="1"/>
        <v>46.999900000000011</v>
      </c>
    </row>
    <row r="49" spans="1:20" x14ac:dyDescent="0.25">
      <c r="A49" s="4" t="s">
        <v>19</v>
      </c>
      <c r="B49" s="4">
        <v>2017</v>
      </c>
      <c r="C49" s="4">
        <v>1</v>
      </c>
      <c r="D49" s="4">
        <v>27</v>
      </c>
      <c r="E49" s="4">
        <v>10</v>
      </c>
      <c r="F49" s="4">
        <v>126436</v>
      </c>
      <c r="G49" s="4" t="s">
        <v>20</v>
      </c>
      <c r="H49" s="4">
        <v>0</v>
      </c>
      <c r="I49" s="4">
        <v>0</v>
      </c>
      <c r="J49" s="4">
        <v>0</v>
      </c>
      <c r="K49" s="4">
        <v>1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20210329</v>
      </c>
      <c r="T49">
        <f t="shared" si="1"/>
        <v>1</v>
      </c>
    </row>
    <row r="50" spans="1:20" x14ac:dyDescent="0.25">
      <c r="A50" s="4" t="s">
        <v>19</v>
      </c>
      <c r="B50" s="4">
        <v>2017</v>
      </c>
      <c r="C50" s="4">
        <v>1</v>
      </c>
      <c r="D50" s="4">
        <v>27</v>
      </c>
      <c r="E50" s="4">
        <v>11</v>
      </c>
      <c r="F50" s="4">
        <v>126436</v>
      </c>
      <c r="G50" s="4" t="s">
        <v>20</v>
      </c>
      <c r="H50" s="4">
        <v>0</v>
      </c>
      <c r="I50" s="4">
        <v>0</v>
      </c>
      <c r="J50" s="4">
        <v>0.16669999999999999</v>
      </c>
      <c r="K50" s="4">
        <v>6.1238000000000001</v>
      </c>
      <c r="L50" s="4">
        <v>2.2094999999999998</v>
      </c>
      <c r="M50" s="4">
        <v>0.5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20210329</v>
      </c>
      <c r="T50">
        <f t="shared" si="1"/>
        <v>9</v>
      </c>
    </row>
    <row r="51" spans="1:20" x14ac:dyDescent="0.25">
      <c r="A51" s="4" t="s">
        <v>19</v>
      </c>
      <c r="B51" s="4">
        <v>2017</v>
      </c>
      <c r="C51" s="4">
        <v>1</v>
      </c>
      <c r="D51" s="4">
        <v>27</v>
      </c>
      <c r="E51" s="4">
        <v>12</v>
      </c>
      <c r="F51" s="4">
        <v>126436</v>
      </c>
      <c r="G51" s="4" t="s">
        <v>20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20210329</v>
      </c>
      <c r="T51">
        <f t="shared" si="1"/>
        <v>0</v>
      </c>
    </row>
    <row r="52" spans="1:20" x14ac:dyDescent="0.25">
      <c r="A52" s="4" t="s">
        <v>19</v>
      </c>
      <c r="B52" s="4">
        <v>2017</v>
      </c>
      <c r="C52" s="4">
        <v>1</v>
      </c>
      <c r="D52" s="4">
        <v>27</v>
      </c>
      <c r="E52" s="4">
        <v>13</v>
      </c>
      <c r="F52" s="4">
        <v>126436</v>
      </c>
      <c r="G52" s="4" t="s">
        <v>20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20210329</v>
      </c>
      <c r="T52">
        <f t="shared" si="1"/>
        <v>0</v>
      </c>
    </row>
    <row r="53" spans="1:20" x14ac:dyDescent="0.25">
      <c r="A53" s="4" t="s">
        <v>19</v>
      </c>
      <c r="B53" s="4">
        <v>2017</v>
      </c>
      <c r="C53" s="4">
        <v>1</v>
      </c>
      <c r="D53" s="4">
        <v>28</v>
      </c>
      <c r="E53" s="4">
        <v>10</v>
      </c>
      <c r="F53" s="4">
        <v>126436</v>
      </c>
      <c r="G53" s="4" t="s">
        <v>20</v>
      </c>
      <c r="H53" s="4">
        <v>0</v>
      </c>
      <c r="I53" s="4">
        <v>3.6</v>
      </c>
      <c r="J53" s="4">
        <v>1.2796000000000001</v>
      </c>
      <c r="K53" s="4">
        <v>4.0728999999999997</v>
      </c>
      <c r="L53" s="4">
        <v>3.6452</v>
      </c>
      <c r="M53" s="4">
        <v>2.6675</v>
      </c>
      <c r="N53" s="4">
        <v>0.80100000000000005</v>
      </c>
      <c r="O53" s="4">
        <v>0.1157</v>
      </c>
      <c r="P53" s="4">
        <v>0</v>
      </c>
      <c r="Q53" s="4">
        <v>1.8200000000000001E-2</v>
      </c>
      <c r="R53" s="4">
        <v>0</v>
      </c>
      <c r="S53" s="4">
        <v>20210329</v>
      </c>
      <c r="T53">
        <f t="shared" si="1"/>
        <v>16.200099999999999</v>
      </c>
    </row>
    <row r="54" spans="1:20" x14ac:dyDescent="0.25">
      <c r="A54" s="4" t="s">
        <v>19</v>
      </c>
      <c r="B54" s="4">
        <v>2017</v>
      </c>
      <c r="C54" s="4">
        <v>1</v>
      </c>
      <c r="D54" s="4">
        <v>28</v>
      </c>
      <c r="E54" s="4">
        <v>11</v>
      </c>
      <c r="F54" s="4">
        <v>126436</v>
      </c>
      <c r="G54" s="4" t="s">
        <v>20</v>
      </c>
      <c r="H54" s="4">
        <v>0</v>
      </c>
      <c r="I54" s="4">
        <v>0</v>
      </c>
      <c r="J54" s="4">
        <v>1.3229</v>
      </c>
      <c r="K54" s="4">
        <v>5.3677000000000001</v>
      </c>
      <c r="L54" s="4">
        <v>4.1722000000000001</v>
      </c>
      <c r="M54" s="4">
        <v>2.92</v>
      </c>
      <c r="N54" s="4">
        <v>1.2347999999999999</v>
      </c>
      <c r="O54" s="4">
        <v>0.1641</v>
      </c>
      <c r="P54" s="4">
        <v>0</v>
      </c>
      <c r="Q54" s="4">
        <v>1.8200000000000001E-2</v>
      </c>
      <c r="R54" s="4">
        <v>0</v>
      </c>
      <c r="S54" s="4">
        <v>20210329</v>
      </c>
      <c r="T54">
        <f t="shared" si="1"/>
        <v>15.1999</v>
      </c>
    </row>
    <row r="55" spans="1:20" x14ac:dyDescent="0.25">
      <c r="A55" s="4" t="s">
        <v>19</v>
      </c>
      <c r="B55" s="4">
        <v>2017</v>
      </c>
      <c r="C55" s="4">
        <v>1</v>
      </c>
      <c r="D55" s="4">
        <v>28</v>
      </c>
      <c r="E55" s="4">
        <v>12</v>
      </c>
      <c r="F55" s="4">
        <v>126436</v>
      </c>
      <c r="G55" s="4" t="s">
        <v>20</v>
      </c>
      <c r="H55" s="4">
        <v>0</v>
      </c>
      <c r="I55" s="4">
        <v>0</v>
      </c>
      <c r="J55" s="4">
        <v>48.4726</v>
      </c>
      <c r="K55" s="4">
        <v>286.1026</v>
      </c>
      <c r="L55" s="4">
        <v>155.45769999999999</v>
      </c>
      <c r="M55" s="4">
        <v>117.0508</v>
      </c>
      <c r="N55" s="4">
        <v>34.126300000000001</v>
      </c>
      <c r="O55" s="4">
        <v>7.0080999999999998</v>
      </c>
      <c r="P55" s="4">
        <v>0.8</v>
      </c>
      <c r="Q55" s="4">
        <v>0.58179999999999998</v>
      </c>
      <c r="R55" s="4">
        <v>0</v>
      </c>
      <c r="S55" s="4">
        <v>20210329</v>
      </c>
      <c r="T55">
        <f t="shared" si="1"/>
        <v>649.59990000000005</v>
      </c>
    </row>
    <row r="56" spans="1:20" x14ac:dyDescent="0.25">
      <c r="A56" s="4" t="s">
        <v>19</v>
      </c>
      <c r="B56" s="4">
        <v>2017</v>
      </c>
      <c r="C56" s="4">
        <v>1</v>
      </c>
      <c r="D56" s="4">
        <v>28</v>
      </c>
      <c r="E56" s="4">
        <v>13</v>
      </c>
      <c r="F56" s="4">
        <v>126436</v>
      </c>
      <c r="G56" s="4" t="s">
        <v>20</v>
      </c>
      <c r="H56" s="4">
        <v>0</v>
      </c>
      <c r="I56" s="4">
        <v>0</v>
      </c>
      <c r="J56" s="4">
        <v>7.3578999999999999</v>
      </c>
      <c r="K56" s="4">
        <v>50.912100000000002</v>
      </c>
      <c r="L56" s="4">
        <v>34.494199999999999</v>
      </c>
      <c r="M56" s="4">
        <v>25.611000000000001</v>
      </c>
      <c r="N56" s="4">
        <v>8.5338999999999992</v>
      </c>
      <c r="O56" s="4">
        <v>0.72729999999999995</v>
      </c>
      <c r="P56" s="4">
        <v>0</v>
      </c>
      <c r="Q56" s="4">
        <v>0.36359999999999998</v>
      </c>
      <c r="R56" s="4">
        <v>0</v>
      </c>
      <c r="S56" s="4">
        <v>20210329</v>
      </c>
      <c r="T56">
        <f t="shared" si="1"/>
        <v>128</v>
      </c>
    </row>
    <row r="57" spans="1:20" x14ac:dyDescent="0.25">
      <c r="A57" s="4" t="s">
        <v>19</v>
      </c>
      <c r="B57" s="4">
        <v>2017</v>
      </c>
      <c r="C57" s="4">
        <v>1</v>
      </c>
      <c r="D57" s="4">
        <v>28</v>
      </c>
      <c r="E57" s="4">
        <v>9</v>
      </c>
      <c r="F57" s="4">
        <v>126436</v>
      </c>
      <c r="G57" s="4" t="s">
        <v>20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20210329</v>
      </c>
      <c r="T57">
        <f t="shared" si="1"/>
        <v>0</v>
      </c>
    </row>
    <row r="58" spans="1:20" x14ac:dyDescent="0.25">
      <c r="A58" s="4" t="s">
        <v>19</v>
      </c>
      <c r="B58" s="4">
        <v>2018</v>
      </c>
      <c r="C58" s="4">
        <v>1</v>
      </c>
      <c r="D58" s="4">
        <v>21</v>
      </c>
      <c r="E58" s="4">
        <v>10</v>
      </c>
      <c r="F58" s="4">
        <v>126436</v>
      </c>
      <c r="G58" s="4" t="s">
        <v>20</v>
      </c>
      <c r="H58" s="4">
        <v>0</v>
      </c>
      <c r="I58" s="4">
        <v>5.3144</v>
      </c>
      <c r="J58" s="4">
        <v>10.855600000000001</v>
      </c>
      <c r="K58" s="4">
        <v>0.63</v>
      </c>
      <c r="L58" s="4">
        <v>1.24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20210329</v>
      </c>
      <c r="T58">
        <f t="shared" si="1"/>
        <v>18.04</v>
      </c>
    </row>
    <row r="59" spans="1:20" x14ac:dyDescent="0.25">
      <c r="A59" s="4" t="s">
        <v>19</v>
      </c>
      <c r="B59" s="4">
        <v>2018</v>
      </c>
      <c r="C59" s="4">
        <v>1</v>
      </c>
      <c r="D59" s="4">
        <v>21</v>
      </c>
      <c r="E59" s="4">
        <v>11</v>
      </c>
      <c r="F59" s="4">
        <v>126436</v>
      </c>
      <c r="G59" s="4" t="s">
        <v>20</v>
      </c>
      <c r="H59" s="4">
        <v>0</v>
      </c>
      <c r="I59" s="4">
        <v>1.75</v>
      </c>
      <c r="J59" s="4">
        <v>5.9249999999999998</v>
      </c>
      <c r="K59" s="4">
        <v>2.3250000000000002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20210329</v>
      </c>
      <c r="T59">
        <f t="shared" si="1"/>
        <v>10</v>
      </c>
    </row>
    <row r="60" spans="1:20" x14ac:dyDescent="0.25">
      <c r="A60" s="4" t="s">
        <v>19</v>
      </c>
      <c r="B60" s="4">
        <v>2018</v>
      </c>
      <c r="C60" s="4">
        <v>1</v>
      </c>
      <c r="D60" s="4">
        <v>21</v>
      </c>
      <c r="E60" s="4">
        <v>9</v>
      </c>
      <c r="F60" s="4">
        <v>126436</v>
      </c>
      <c r="G60" s="4" t="s">
        <v>20</v>
      </c>
      <c r="H60" s="4">
        <v>0</v>
      </c>
      <c r="I60" s="4">
        <v>4.2765000000000004</v>
      </c>
      <c r="J60" s="4">
        <v>20.835000000000001</v>
      </c>
      <c r="K60" s="4">
        <v>2.2730999999999999</v>
      </c>
      <c r="L60" s="4">
        <v>27.9</v>
      </c>
      <c r="M60" s="4">
        <v>12.1615</v>
      </c>
      <c r="N60" s="4">
        <v>4.0537999999999998</v>
      </c>
      <c r="O60" s="4">
        <v>0</v>
      </c>
      <c r="P60" s="4">
        <v>0</v>
      </c>
      <c r="Q60" s="4">
        <v>0</v>
      </c>
      <c r="R60" s="4">
        <v>0</v>
      </c>
      <c r="S60" s="4">
        <v>20210329</v>
      </c>
      <c r="T60">
        <f t="shared" si="1"/>
        <v>71.499899999999997</v>
      </c>
    </row>
    <row r="61" spans="1:20" x14ac:dyDescent="0.25">
      <c r="A61" s="4" t="s">
        <v>19</v>
      </c>
      <c r="B61" s="4">
        <v>2018</v>
      </c>
      <c r="C61" s="4">
        <v>1</v>
      </c>
      <c r="D61" s="4">
        <v>22</v>
      </c>
      <c r="E61" s="4">
        <v>8</v>
      </c>
      <c r="F61" s="4">
        <v>126436</v>
      </c>
      <c r="G61" s="4" t="s">
        <v>20</v>
      </c>
      <c r="H61" s="4">
        <v>0</v>
      </c>
      <c r="I61" s="4">
        <v>1.694</v>
      </c>
      <c r="J61" s="4">
        <v>23.126000000000001</v>
      </c>
      <c r="K61" s="4">
        <v>0</v>
      </c>
      <c r="L61" s="4">
        <v>0</v>
      </c>
      <c r="M61" s="4">
        <v>0</v>
      </c>
      <c r="N61" s="4">
        <v>0.62</v>
      </c>
      <c r="O61" s="4">
        <v>0</v>
      </c>
      <c r="P61" s="4">
        <v>0</v>
      </c>
      <c r="Q61" s="4">
        <v>0</v>
      </c>
      <c r="R61" s="4">
        <v>0</v>
      </c>
      <c r="S61" s="4">
        <v>20210329</v>
      </c>
      <c r="T61">
        <f t="shared" si="1"/>
        <v>25.44</v>
      </c>
    </row>
    <row r="62" spans="1:20" x14ac:dyDescent="0.25">
      <c r="A62" s="4" t="s">
        <v>19</v>
      </c>
      <c r="B62" s="4">
        <v>2018</v>
      </c>
      <c r="C62" s="4">
        <v>1</v>
      </c>
      <c r="D62" s="4">
        <v>22</v>
      </c>
      <c r="E62" s="4">
        <v>9</v>
      </c>
      <c r="F62" s="4">
        <v>126436</v>
      </c>
      <c r="G62" s="4" t="s">
        <v>20</v>
      </c>
      <c r="H62" s="4">
        <v>0</v>
      </c>
      <c r="I62" s="4">
        <v>4.5392999999999999</v>
      </c>
      <c r="J62" s="4">
        <v>734.78869999999995</v>
      </c>
      <c r="K62" s="4">
        <v>13.6937</v>
      </c>
      <c r="L62" s="4">
        <v>17.4693</v>
      </c>
      <c r="M62" s="4">
        <v>6.1132999999999997</v>
      </c>
      <c r="N62" s="4">
        <v>0.70020000000000004</v>
      </c>
      <c r="O62" s="4">
        <v>0.34899999999999998</v>
      </c>
      <c r="P62" s="4">
        <v>0.1163</v>
      </c>
      <c r="Q62" s="4">
        <v>0</v>
      </c>
      <c r="R62" s="4">
        <v>0</v>
      </c>
      <c r="S62" s="4">
        <v>20210329</v>
      </c>
      <c r="T62">
        <f t="shared" si="1"/>
        <v>777.76980000000003</v>
      </c>
    </row>
    <row r="63" spans="1:20" x14ac:dyDescent="0.25">
      <c r="A63" s="4" t="s">
        <v>19</v>
      </c>
      <c r="B63" s="4">
        <v>2018</v>
      </c>
      <c r="C63" s="4">
        <v>1</v>
      </c>
      <c r="D63" s="4">
        <v>23</v>
      </c>
      <c r="E63" s="4">
        <v>8</v>
      </c>
      <c r="F63" s="4">
        <v>126436</v>
      </c>
      <c r="G63" s="4" t="s">
        <v>20</v>
      </c>
      <c r="H63" s="4">
        <v>0</v>
      </c>
      <c r="I63" s="4">
        <v>10.2667</v>
      </c>
      <c r="J63" s="4">
        <v>1381.8643999999999</v>
      </c>
      <c r="K63" s="4">
        <v>18.944400000000002</v>
      </c>
      <c r="L63" s="4">
        <v>489.52440000000001</v>
      </c>
      <c r="M63" s="4">
        <v>146.73330000000001</v>
      </c>
      <c r="N63" s="4">
        <v>10.333299999999999</v>
      </c>
      <c r="O63" s="4">
        <v>2.0667</v>
      </c>
      <c r="P63" s="4">
        <v>0</v>
      </c>
      <c r="Q63" s="4">
        <v>0</v>
      </c>
      <c r="R63" s="4">
        <v>0</v>
      </c>
      <c r="S63" s="4">
        <v>20210329</v>
      </c>
      <c r="T63">
        <f t="shared" si="1"/>
        <v>2059.7331999999997</v>
      </c>
    </row>
    <row r="64" spans="1:20" x14ac:dyDescent="0.25">
      <c r="A64" s="4" t="s">
        <v>19</v>
      </c>
      <c r="B64" s="4">
        <v>2018</v>
      </c>
      <c r="C64" s="4">
        <v>1</v>
      </c>
      <c r="D64" s="4">
        <v>23</v>
      </c>
      <c r="E64" s="4">
        <v>9</v>
      </c>
      <c r="F64" s="4">
        <v>126436</v>
      </c>
      <c r="G64" s="4" t="s">
        <v>20</v>
      </c>
      <c r="H64" s="4">
        <v>0</v>
      </c>
      <c r="I64" s="4">
        <v>2.3045</v>
      </c>
      <c r="J64" s="4">
        <v>5370.3814000000002</v>
      </c>
      <c r="K64" s="4">
        <v>70.388599999999997</v>
      </c>
      <c r="L64" s="4">
        <v>269.65589999999997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20210329</v>
      </c>
      <c r="T64">
        <f t="shared" si="1"/>
        <v>5712.7304000000004</v>
      </c>
    </row>
    <row r="65" spans="1:20" x14ac:dyDescent="0.25">
      <c r="A65" s="4" t="s">
        <v>19</v>
      </c>
      <c r="B65" s="4">
        <v>2018</v>
      </c>
      <c r="C65" s="4">
        <v>1</v>
      </c>
      <c r="D65" s="4">
        <v>24</v>
      </c>
      <c r="E65" s="4">
        <v>10</v>
      </c>
      <c r="F65" s="4">
        <v>126436</v>
      </c>
      <c r="G65" s="4" t="s">
        <v>20</v>
      </c>
      <c r="H65" s="4">
        <v>0</v>
      </c>
      <c r="I65" s="4">
        <v>1.2846</v>
      </c>
      <c r="J65" s="4">
        <v>900.98829999999998</v>
      </c>
      <c r="K65" s="4">
        <v>633.46559999999999</v>
      </c>
      <c r="L65" s="4">
        <v>147.1951</v>
      </c>
      <c r="M65" s="4">
        <v>46.958399999999997</v>
      </c>
      <c r="N65" s="4">
        <v>24.410399999999999</v>
      </c>
      <c r="O65" s="4">
        <v>0</v>
      </c>
      <c r="P65" s="4">
        <v>0</v>
      </c>
      <c r="Q65" s="4">
        <v>0</v>
      </c>
      <c r="R65" s="4">
        <v>0</v>
      </c>
      <c r="S65" s="4">
        <v>20210329</v>
      </c>
      <c r="T65">
        <f t="shared" si="1"/>
        <v>1754.3023999999998</v>
      </c>
    </row>
    <row r="66" spans="1:20" x14ac:dyDescent="0.25">
      <c r="A66" s="4" t="s">
        <v>19</v>
      </c>
      <c r="B66" s="4">
        <v>2018</v>
      </c>
      <c r="C66" s="4">
        <v>1</v>
      </c>
      <c r="D66" s="4">
        <v>24</v>
      </c>
      <c r="E66" s="4">
        <v>11</v>
      </c>
      <c r="F66" s="4">
        <v>126436</v>
      </c>
      <c r="G66" s="4" t="s">
        <v>20</v>
      </c>
      <c r="H66" s="4">
        <v>0</v>
      </c>
      <c r="I66" s="4">
        <v>6</v>
      </c>
      <c r="J66" s="4">
        <v>612.85239999999999</v>
      </c>
      <c r="K66" s="4">
        <v>237.9119</v>
      </c>
      <c r="L66" s="4">
        <v>26.835699999999999</v>
      </c>
      <c r="M66" s="4">
        <v>4</v>
      </c>
      <c r="N66" s="4">
        <v>0.4</v>
      </c>
      <c r="O66" s="4">
        <v>0</v>
      </c>
      <c r="P66" s="4">
        <v>0</v>
      </c>
      <c r="Q66" s="4">
        <v>0</v>
      </c>
      <c r="R66" s="4">
        <v>0</v>
      </c>
      <c r="S66" s="4">
        <v>20210329</v>
      </c>
      <c r="T66">
        <f t="shared" ref="T66:T97" si="2">SUM(I66:R66)</f>
        <v>888</v>
      </c>
    </row>
    <row r="67" spans="1:20" x14ac:dyDescent="0.25">
      <c r="A67" s="4" t="s">
        <v>19</v>
      </c>
      <c r="B67" s="4">
        <v>2018</v>
      </c>
      <c r="C67" s="4">
        <v>1</v>
      </c>
      <c r="D67" s="4">
        <v>24</v>
      </c>
      <c r="E67" s="4">
        <v>8</v>
      </c>
      <c r="F67" s="4">
        <v>126436</v>
      </c>
      <c r="G67" s="4" t="s">
        <v>20</v>
      </c>
      <c r="H67" s="4">
        <v>0</v>
      </c>
      <c r="I67" s="4">
        <v>0</v>
      </c>
      <c r="J67" s="4">
        <v>175.95060000000001</v>
      </c>
      <c r="K67" s="4">
        <v>98.251999999999995</v>
      </c>
      <c r="L67" s="4">
        <v>13.5664</v>
      </c>
      <c r="M67" s="4">
        <v>2.8178000000000001</v>
      </c>
      <c r="N67" s="4">
        <v>0.51400000000000001</v>
      </c>
      <c r="O67" s="4">
        <v>0</v>
      </c>
      <c r="P67" s="4">
        <v>0</v>
      </c>
      <c r="Q67" s="4">
        <v>0</v>
      </c>
      <c r="R67" s="4">
        <v>0</v>
      </c>
      <c r="S67" s="4">
        <v>20210329</v>
      </c>
      <c r="T67">
        <f t="shared" si="2"/>
        <v>291.10079999999999</v>
      </c>
    </row>
    <row r="68" spans="1:20" x14ac:dyDescent="0.25">
      <c r="A68" s="4" t="s">
        <v>19</v>
      </c>
      <c r="B68" s="4">
        <v>2018</v>
      </c>
      <c r="C68" s="4">
        <v>1</v>
      </c>
      <c r="D68" s="4">
        <v>24</v>
      </c>
      <c r="E68" s="4">
        <v>9</v>
      </c>
      <c r="F68" s="4">
        <v>126436</v>
      </c>
      <c r="G68" s="4" t="s">
        <v>20</v>
      </c>
      <c r="H68" s="4">
        <v>0</v>
      </c>
      <c r="I68" s="4">
        <v>1.4564999999999999</v>
      </c>
      <c r="J68" s="4">
        <v>578.54510000000005</v>
      </c>
      <c r="K68" s="4">
        <v>397.03100000000001</v>
      </c>
      <c r="L68" s="4">
        <v>57.665799999999997</v>
      </c>
      <c r="M68" s="4">
        <v>9.7164999999999999</v>
      </c>
      <c r="N68" s="4">
        <v>2.4409000000000001</v>
      </c>
      <c r="O68" s="4">
        <v>0</v>
      </c>
      <c r="P68" s="4">
        <v>0</v>
      </c>
      <c r="Q68" s="4">
        <v>0</v>
      </c>
      <c r="R68" s="4">
        <v>0</v>
      </c>
      <c r="S68" s="4">
        <v>20210329</v>
      </c>
      <c r="T68">
        <f t="shared" si="2"/>
        <v>1046.8558</v>
      </c>
    </row>
    <row r="69" spans="1:20" x14ac:dyDescent="0.25">
      <c r="A69" s="4" t="s">
        <v>19</v>
      </c>
      <c r="B69" s="4">
        <v>2018</v>
      </c>
      <c r="C69" s="4">
        <v>1</v>
      </c>
      <c r="D69" s="4">
        <v>25</v>
      </c>
      <c r="E69" s="4">
        <v>10</v>
      </c>
      <c r="F69" s="4">
        <v>126436</v>
      </c>
      <c r="G69" s="4" t="s">
        <v>20</v>
      </c>
      <c r="H69" s="4">
        <v>0</v>
      </c>
      <c r="I69" s="4">
        <v>9.5351999999999997</v>
      </c>
      <c r="J69" s="4">
        <v>447.28530000000001</v>
      </c>
      <c r="K69" s="4">
        <v>316.42230000000001</v>
      </c>
      <c r="L69" s="4">
        <v>127.8312</v>
      </c>
      <c r="M69" s="4">
        <v>30.630299999999998</v>
      </c>
      <c r="N69" s="4">
        <v>9.8268000000000004</v>
      </c>
      <c r="O69" s="4">
        <v>0.59160000000000001</v>
      </c>
      <c r="P69" s="4">
        <v>0.55049999999999999</v>
      </c>
      <c r="Q69" s="4">
        <v>0</v>
      </c>
      <c r="R69" s="4">
        <v>0</v>
      </c>
      <c r="S69" s="4">
        <v>20210329</v>
      </c>
      <c r="T69">
        <f t="shared" si="2"/>
        <v>942.67320000000007</v>
      </c>
    </row>
    <row r="70" spans="1:20" x14ac:dyDescent="0.25">
      <c r="A70" s="4" t="s">
        <v>19</v>
      </c>
      <c r="B70" s="4">
        <v>2018</v>
      </c>
      <c r="C70" s="4">
        <v>1</v>
      </c>
      <c r="D70" s="4">
        <v>25</v>
      </c>
      <c r="E70" s="4">
        <v>11</v>
      </c>
      <c r="F70" s="4">
        <v>126436</v>
      </c>
      <c r="G70" s="4" t="s">
        <v>20</v>
      </c>
      <c r="H70" s="4">
        <v>0</v>
      </c>
      <c r="I70" s="4">
        <v>2.3816000000000002</v>
      </c>
      <c r="J70" s="4">
        <v>183.44810000000001</v>
      </c>
      <c r="K70" s="4">
        <v>204.4306</v>
      </c>
      <c r="L70" s="4">
        <v>149.5301</v>
      </c>
      <c r="M70" s="4">
        <v>37.7517</v>
      </c>
      <c r="N70" s="4">
        <v>11.374000000000001</v>
      </c>
      <c r="O70" s="4">
        <v>0.55600000000000005</v>
      </c>
      <c r="P70" s="4">
        <v>0.56669999999999998</v>
      </c>
      <c r="Q70" s="4">
        <v>0</v>
      </c>
      <c r="R70" s="4">
        <v>0</v>
      </c>
      <c r="S70" s="4">
        <v>20210329</v>
      </c>
      <c r="T70">
        <f t="shared" si="2"/>
        <v>590.03880000000015</v>
      </c>
    </row>
    <row r="71" spans="1:20" x14ac:dyDescent="0.25">
      <c r="A71" s="4" t="s">
        <v>19</v>
      </c>
      <c r="B71" s="4">
        <v>2018</v>
      </c>
      <c r="C71" s="4">
        <v>1</v>
      </c>
      <c r="D71" s="4">
        <v>25</v>
      </c>
      <c r="E71" s="4">
        <v>12</v>
      </c>
      <c r="F71" s="4">
        <v>126436</v>
      </c>
      <c r="G71" s="4" t="s">
        <v>20</v>
      </c>
      <c r="H71" s="4">
        <v>0</v>
      </c>
      <c r="I71" s="4">
        <v>0.4</v>
      </c>
      <c r="J71" s="4">
        <v>5.3224</v>
      </c>
      <c r="K71" s="4">
        <v>24.5792</v>
      </c>
      <c r="L71" s="4">
        <v>41.188299999999998</v>
      </c>
      <c r="M71" s="4">
        <v>15.286300000000001</v>
      </c>
      <c r="N71" s="4">
        <v>5.7248000000000001</v>
      </c>
      <c r="O71" s="4">
        <v>0.36559999999999998</v>
      </c>
      <c r="P71" s="4">
        <v>0.33329999999999999</v>
      </c>
      <c r="Q71" s="4">
        <v>0</v>
      </c>
      <c r="R71" s="4">
        <v>0</v>
      </c>
      <c r="S71" s="4">
        <v>20210329</v>
      </c>
      <c r="T71">
        <f t="shared" si="2"/>
        <v>93.1999</v>
      </c>
    </row>
    <row r="72" spans="1:20" x14ac:dyDescent="0.25">
      <c r="A72" s="4" t="s">
        <v>19</v>
      </c>
      <c r="B72" s="4">
        <v>2018</v>
      </c>
      <c r="C72" s="4">
        <v>1</v>
      </c>
      <c r="D72" s="4">
        <v>25</v>
      </c>
      <c r="E72" s="4">
        <v>9</v>
      </c>
      <c r="F72" s="4">
        <v>126436</v>
      </c>
      <c r="G72" s="4" t="s">
        <v>20</v>
      </c>
      <c r="H72" s="4">
        <v>0</v>
      </c>
      <c r="I72" s="4">
        <v>1.8125</v>
      </c>
      <c r="J72" s="4">
        <v>12.184900000000001</v>
      </c>
      <c r="K72" s="4">
        <v>67.873800000000003</v>
      </c>
      <c r="L72" s="4">
        <v>74.9846</v>
      </c>
      <c r="M72" s="4">
        <v>16.140899999999998</v>
      </c>
      <c r="N72" s="4">
        <v>4.6177999999999999</v>
      </c>
      <c r="O72" s="4">
        <v>0.27829999999999999</v>
      </c>
      <c r="P72" s="4">
        <v>0.1071</v>
      </c>
      <c r="Q72" s="4">
        <v>0</v>
      </c>
      <c r="R72" s="4">
        <v>0</v>
      </c>
      <c r="S72" s="4">
        <v>20210329</v>
      </c>
      <c r="T72">
        <f t="shared" si="2"/>
        <v>177.99989999999997</v>
      </c>
    </row>
    <row r="73" spans="1:20" x14ac:dyDescent="0.25">
      <c r="A73" s="4" t="s">
        <v>19</v>
      </c>
      <c r="B73" s="4">
        <v>2018</v>
      </c>
      <c r="C73" s="4">
        <v>1</v>
      </c>
      <c r="D73" s="4">
        <v>26</v>
      </c>
      <c r="E73" s="4">
        <v>10</v>
      </c>
      <c r="F73" s="4">
        <v>126436</v>
      </c>
      <c r="G73" s="4" t="s">
        <v>20</v>
      </c>
      <c r="H73" s="4">
        <v>0</v>
      </c>
      <c r="I73" s="4">
        <v>17.328499999999998</v>
      </c>
      <c r="J73" s="4">
        <v>348.00360000000001</v>
      </c>
      <c r="K73" s="4">
        <v>90.428700000000006</v>
      </c>
      <c r="L73" s="4">
        <v>53.033700000000003</v>
      </c>
      <c r="M73" s="4">
        <v>42.098999999999997</v>
      </c>
      <c r="N73" s="4">
        <v>13.1731</v>
      </c>
      <c r="O73" s="4">
        <v>4.9690000000000003</v>
      </c>
      <c r="P73" s="4">
        <v>1.3137000000000001</v>
      </c>
      <c r="Q73" s="4">
        <v>0.23230000000000001</v>
      </c>
      <c r="R73" s="4">
        <v>0</v>
      </c>
      <c r="S73" s="4">
        <v>20210329</v>
      </c>
      <c r="T73">
        <f t="shared" si="2"/>
        <v>570.58160000000009</v>
      </c>
    </row>
    <row r="74" spans="1:20" x14ac:dyDescent="0.25">
      <c r="A74" s="4" t="s">
        <v>19</v>
      </c>
      <c r="B74" s="4">
        <v>2018</v>
      </c>
      <c r="C74" s="4">
        <v>1</v>
      </c>
      <c r="D74" s="4">
        <v>26</v>
      </c>
      <c r="E74" s="4">
        <v>11</v>
      </c>
      <c r="F74" s="4">
        <v>126436</v>
      </c>
      <c r="G74" s="4" t="s">
        <v>20</v>
      </c>
      <c r="H74" s="4">
        <v>0</v>
      </c>
      <c r="I74" s="4">
        <v>136.74889999999999</v>
      </c>
      <c r="J74" s="4">
        <v>780.34990000000005</v>
      </c>
      <c r="K74" s="4">
        <v>138.809</v>
      </c>
      <c r="L74" s="4">
        <v>96.480999999999995</v>
      </c>
      <c r="M74" s="4">
        <v>87.689800000000005</v>
      </c>
      <c r="N74" s="4">
        <v>29.976400000000002</v>
      </c>
      <c r="O74" s="4">
        <v>14.345499999999999</v>
      </c>
      <c r="P74" s="4">
        <v>9.6768000000000001</v>
      </c>
      <c r="Q74" s="4">
        <v>2.6951999999999998</v>
      </c>
      <c r="R74" s="4">
        <v>0.2273</v>
      </c>
      <c r="S74" s="4">
        <v>20210329</v>
      </c>
      <c r="T74">
        <f t="shared" si="2"/>
        <v>1296.9998000000001</v>
      </c>
    </row>
    <row r="75" spans="1:20" x14ac:dyDescent="0.25">
      <c r="A75" s="4" t="s">
        <v>19</v>
      </c>
      <c r="B75" s="4">
        <v>2018</v>
      </c>
      <c r="C75" s="4">
        <v>1</v>
      </c>
      <c r="D75" s="4">
        <v>26</v>
      </c>
      <c r="E75" s="4">
        <v>12</v>
      </c>
      <c r="F75" s="4">
        <v>126436</v>
      </c>
      <c r="G75" s="4" t="s">
        <v>20</v>
      </c>
      <c r="H75" s="4">
        <v>0</v>
      </c>
      <c r="I75" s="4">
        <v>6.5799999999999997E-2</v>
      </c>
      <c r="J75" s="4">
        <v>4.9983000000000004</v>
      </c>
      <c r="K75" s="4">
        <v>5.5263</v>
      </c>
      <c r="L75" s="4">
        <v>5.6334999999999997</v>
      </c>
      <c r="M75" s="4">
        <v>4.6298000000000004</v>
      </c>
      <c r="N75" s="4">
        <v>1.1456</v>
      </c>
      <c r="O75" s="4">
        <v>0.36159999999999998</v>
      </c>
      <c r="P75" s="4">
        <v>2.4199999999999999E-2</v>
      </c>
      <c r="Q75" s="4">
        <v>1.4800000000000001E-2</v>
      </c>
      <c r="R75" s="4">
        <v>0</v>
      </c>
      <c r="S75" s="4">
        <v>20210329</v>
      </c>
      <c r="T75">
        <f t="shared" si="2"/>
        <v>22.399899999999999</v>
      </c>
    </row>
    <row r="76" spans="1:20" x14ac:dyDescent="0.25">
      <c r="A76" s="4" t="s">
        <v>19</v>
      </c>
      <c r="B76" s="4">
        <v>2018</v>
      </c>
      <c r="C76" s="4">
        <v>1</v>
      </c>
      <c r="D76" s="4">
        <v>26</v>
      </c>
      <c r="E76" s="4">
        <v>13</v>
      </c>
      <c r="F76" s="4">
        <v>126436</v>
      </c>
      <c r="G76" s="4" t="s">
        <v>20</v>
      </c>
      <c r="H76" s="4">
        <v>0</v>
      </c>
      <c r="I76" s="4">
        <v>0.25</v>
      </c>
      <c r="J76" s="4">
        <v>0</v>
      </c>
      <c r="K76" s="4">
        <v>0.16489999999999999</v>
      </c>
      <c r="L76" s="4">
        <v>0.30430000000000001</v>
      </c>
      <c r="M76" s="4">
        <v>0.27410000000000001</v>
      </c>
      <c r="N76" s="4">
        <v>6.7999999999999996E-3</v>
      </c>
      <c r="O76" s="4">
        <v>0</v>
      </c>
      <c r="P76" s="4">
        <v>0</v>
      </c>
      <c r="Q76" s="4">
        <v>0</v>
      </c>
      <c r="R76" s="4">
        <v>0</v>
      </c>
      <c r="S76" s="4">
        <v>20210329</v>
      </c>
      <c r="T76">
        <f t="shared" si="2"/>
        <v>1.0001</v>
      </c>
    </row>
    <row r="77" spans="1:20" x14ac:dyDescent="0.25">
      <c r="A77" s="4" t="s">
        <v>19</v>
      </c>
      <c r="B77" s="4">
        <v>2018</v>
      </c>
      <c r="C77" s="4">
        <v>1</v>
      </c>
      <c r="D77" s="4">
        <v>26</v>
      </c>
      <c r="E77" s="4">
        <v>14</v>
      </c>
      <c r="F77" s="4">
        <v>126436</v>
      </c>
      <c r="G77" s="4" t="s">
        <v>20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20210329</v>
      </c>
      <c r="T77">
        <f t="shared" si="2"/>
        <v>0</v>
      </c>
    </row>
    <row r="78" spans="1:20" x14ac:dyDescent="0.25">
      <c r="A78" s="4" t="s">
        <v>19</v>
      </c>
      <c r="B78" s="4">
        <v>2018</v>
      </c>
      <c r="C78" s="4">
        <v>1</v>
      </c>
      <c r="D78" s="4">
        <v>26</v>
      </c>
      <c r="E78" s="4">
        <v>9</v>
      </c>
      <c r="F78" s="4">
        <v>126436</v>
      </c>
      <c r="G78" s="4" t="s">
        <v>20</v>
      </c>
      <c r="H78" s="4">
        <v>0</v>
      </c>
      <c r="I78" s="4">
        <v>1.4879</v>
      </c>
      <c r="J78" s="4">
        <v>9.9525000000000006</v>
      </c>
      <c r="K78" s="4">
        <v>11.1286</v>
      </c>
      <c r="L78" s="4">
        <v>11.677099999999999</v>
      </c>
      <c r="M78" s="4">
        <v>10.0014</v>
      </c>
      <c r="N78" s="4">
        <v>2.4544999999999999</v>
      </c>
      <c r="O78" s="4">
        <v>0.53139999999999998</v>
      </c>
      <c r="P78" s="4">
        <v>2.5600000000000001E-2</v>
      </c>
      <c r="Q78" s="4">
        <v>7.4099999999999999E-2</v>
      </c>
      <c r="R78" s="4">
        <v>0</v>
      </c>
      <c r="S78" s="4">
        <v>20210329</v>
      </c>
      <c r="T78">
        <f t="shared" si="2"/>
        <v>47.333100000000002</v>
      </c>
    </row>
    <row r="79" spans="1:20" x14ac:dyDescent="0.25">
      <c r="A79" s="4" t="s">
        <v>19</v>
      </c>
      <c r="B79" s="4">
        <v>2018</v>
      </c>
      <c r="C79" s="4">
        <v>1</v>
      </c>
      <c r="D79" s="4">
        <v>27</v>
      </c>
      <c r="E79" s="4">
        <v>11</v>
      </c>
      <c r="F79" s="4">
        <v>126436</v>
      </c>
      <c r="G79" s="4" t="s">
        <v>20</v>
      </c>
      <c r="H79" s="4">
        <v>0</v>
      </c>
      <c r="I79" s="4">
        <v>0.5</v>
      </c>
      <c r="J79" s="4">
        <v>12</v>
      </c>
      <c r="K79" s="4">
        <v>5.75</v>
      </c>
      <c r="L79" s="4">
        <v>4.25</v>
      </c>
      <c r="M79" s="4">
        <v>0.5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20210329</v>
      </c>
      <c r="T79">
        <f t="shared" si="2"/>
        <v>23</v>
      </c>
    </row>
    <row r="80" spans="1:20" x14ac:dyDescent="0.25">
      <c r="A80" s="4" t="s">
        <v>19</v>
      </c>
      <c r="B80" s="4">
        <v>2018</v>
      </c>
      <c r="C80" s="4">
        <v>1</v>
      </c>
      <c r="D80" s="4">
        <v>27</v>
      </c>
      <c r="E80" s="4">
        <v>12</v>
      </c>
      <c r="F80" s="4">
        <v>126436</v>
      </c>
      <c r="G80" s="4" t="s">
        <v>20</v>
      </c>
      <c r="H80" s="4">
        <v>0</v>
      </c>
      <c r="I80" s="4">
        <v>0</v>
      </c>
      <c r="J80" s="4">
        <v>36</v>
      </c>
      <c r="K80" s="4">
        <v>18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20210329</v>
      </c>
      <c r="T80">
        <f t="shared" si="2"/>
        <v>54</v>
      </c>
    </row>
    <row r="81" spans="1:20" x14ac:dyDescent="0.25">
      <c r="A81" s="4" t="s">
        <v>19</v>
      </c>
      <c r="B81" s="4">
        <v>2018</v>
      </c>
      <c r="C81" s="4">
        <v>1</v>
      </c>
      <c r="D81" s="4">
        <v>28</v>
      </c>
      <c r="E81" s="4">
        <v>10</v>
      </c>
      <c r="F81" s="4">
        <v>126436</v>
      </c>
      <c r="G81" s="4" t="s">
        <v>20</v>
      </c>
      <c r="H81" s="4">
        <v>0</v>
      </c>
      <c r="I81" s="4">
        <v>2.0832999999999999</v>
      </c>
      <c r="J81" s="4">
        <v>6.9081000000000001</v>
      </c>
      <c r="K81" s="4">
        <v>2.5163000000000002</v>
      </c>
      <c r="L81" s="4">
        <v>2.3624999999999998</v>
      </c>
      <c r="M81" s="4">
        <v>1.7464</v>
      </c>
      <c r="N81" s="4">
        <v>0.25829999999999997</v>
      </c>
      <c r="O81" s="4">
        <v>0</v>
      </c>
      <c r="P81" s="4">
        <v>0</v>
      </c>
      <c r="Q81" s="4">
        <v>0</v>
      </c>
      <c r="R81" s="4">
        <v>0</v>
      </c>
      <c r="S81" s="4">
        <v>20210329</v>
      </c>
      <c r="T81">
        <f t="shared" si="2"/>
        <v>15.8749</v>
      </c>
    </row>
    <row r="82" spans="1:20" x14ac:dyDescent="0.25">
      <c r="A82" s="4" t="s">
        <v>19</v>
      </c>
      <c r="B82" s="4">
        <v>2018</v>
      </c>
      <c r="C82" s="4">
        <v>1</v>
      </c>
      <c r="D82" s="4">
        <v>28</v>
      </c>
      <c r="E82" s="4">
        <v>11</v>
      </c>
      <c r="F82" s="4">
        <v>126436</v>
      </c>
      <c r="G82" s="4" t="s">
        <v>20</v>
      </c>
      <c r="H82" s="4">
        <v>0</v>
      </c>
      <c r="I82" s="4">
        <v>2.7732999999999999</v>
      </c>
      <c r="J82" s="4">
        <v>30.173500000000001</v>
      </c>
      <c r="K82" s="4">
        <v>8.0876999999999999</v>
      </c>
      <c r="L82" s="4">
        <v>4.8343999999999996</v>
      </c>
      <c r="M82" s="4">
        <v>2.0975999999999999</v>
      </c>
      <c r="N82" s="4">
        <v>0.43330000000000002</v>
      </c>
      <c r="O82" s="4">
        <v>0</v>
      </c>
      <c r="P82" s="4">
        <v>0</v>
      </c>
      <c r="Q82" s="4">
        <v>0</v>
      </c>
      <c r="R82" s="4">
        <v>0</v>
      </c>
      <c r="S82" s="4">
        <v>20210329</v>
      </c>
      <c r="T82">
        <f t="shared" si="2"/>
        <v>48.399800000000006</v>
      </c>
    </row>
    <row r="83" spans="1:20" x14ac:dyDescent="0.25">
      <c r="A83" s="4" t="s">
        <v>19</v>
      </c>
      <c r="B83" s="4">
        <v>2018</v>
      </c>
      <c r="C83" s="4">
        <v>1</v>
      </c>
      <c r="D83" s="4">
        <v>28</v>
      </c>
      <c r="E83" s="4">
        <v>12</v>
      </c>
      <c r="F83" s="4">
        <v>126436</v>
      </c>
      <c r="G83" s="4" t="s">
        <v>20</v>
      </c>
      <c r="H83" s="4">
        <v>0</v>
      </c>
      <c r="I83" s="4">
        <v>0.2</v>
      </c>
      <c r="J83" s="4">
        <v>18.8446</v>
      </c>
      <c r="K83" s="4">
        <v>3.0626000000000002</v>
      </c>
      <c r="L83" s="4">
        <v>0.5</v>
      </c>
      <c r="M83" s="4">
        <v>0.39290000000000003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20210329</v>
      </c>
      <c r="T83">
        <f t="shared" si="2"/>
        <v>23.0001</v>
      </c>
    </row>
    <row r="84" spans="1:20" x14ac:dyDescent="0.25">
      <c r="A84" s="4" t="s">
        <v>19</v>
      </c>
      <c r="B84" s="4">
        <v>2018</v>
      </c>
      <c r="C84" s="4">
        <v>1</v>
      </c>
      <c r="D84" s="4">
        <v>28</v>
      </c>
      <c r="E84" s="4">
        <v>9</v>
      </c>
      <c r="F84" s="4">
        <v>126436</v>
      </c>
      <c r="G84" s="4" t="s">
        <v>20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20210329</v>
      </c>
      <c r="T84">
        <f t="shared" si="2"/>
        <v>0</v>
      </c>
    </row>
    <row r="85" spans="1:20" x14ac:dyDescent="0.25">
      <c r="A85" s="4" t="s">
        <v>19</v>
      </c>
      <c r="B85" s="4">
        <v>2019</v>
      </c>
      <c r="C85" s="4">
        <v>1</v>
      </c>
      <c r="D85" s="4">
        <v>21</v>
      </c>
      <c r="E85" s="4">
        <v>10</v>
      </c>
      <c r="F85" s="4">
        <v>126436</v>
      </c>
      <c r="G85" s="4" t="s">
        <v>20</v>
      </c>
      <c r="H85" s="4">
        <v>0</v>
      </c>
      <c r="I85" s="4">
        <v>0.36670000000000003</v>
      </c>
      <c r="J85" s="4">
        <v>0.36670000000000003</v>
      </c>
      <c r="K85" s="4">
        <v>1.0333000000000001</v>
      </c>
      <c r="L85" s="4">
        <v>3.1</v>
      </c>
      <c r="M85" s="4">
        <v>0</v>
      </c>
      <c r="N85" s="4">
        <v>0</v>
      </c>
      <c r="O85" s="4">
        <v>0.51670000000000005</v>
      </c>
      <c r="P85" s="4">
        <v>0</v>
      </c>
      <c r="Q85" s="4">
        <v>0</v>
      </c>
      <c r="R85" s="4">
        <v>0</v>
      </c>
      <c r="S85" s="4">
        <v>20210325</v>
      </c>
      <c r="T85">
        <f t="shared" si="2"/>
        <v>5.3834</v>
      </c>
    </row>
    <row r="86" spans="1:20" x14ac:dyDescent="0.25">
      <c r="A86" s="4" t="s">
        <v>19</v>
      </c>
      <c r="B86" s="4">
        <v>2019</v>
      </c>
      <c r="C86" s="4">
        <v>1</v>
      </c>
      <c r="D86" s="4">
        <v>21</v>
      </c>
      <c r="E86" s="4">
        <v>11</v>
      </c>
      <c r="F86" s="4">
        <v>126436</v>
      </c>
      <c r="G86" s="4" t="s">
        <v>20</v>
      </c>
      <c r="H86" s="4">
        <v>0</v>
      </c>
      <c r="I86" s="4">
        <v>0</v>
      </c>
      <c r="J86" s="4">
        <v>3.3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20210325</v>
      </c>
      <c r="T86">
        <f t="shared" si="2"/>
        <v>3.3</v>
      </c>
    </row>
    <row r="87" spans="1:20" x14ac:dyDescent="0.25">
      <c r="A87" s="4" t="s">
        <v>19</v>
      </c>
      <c r="B87" s="4">
        <v>2019</v>
      </c>
      <c r="C87" s="4">
        <v>1</v>
      </c>
      <c r="D87" s="4">
        <v>21</v>
      </c>
      <c r="E87" s="4">
        <v>9</v>
      </c>
      <c r="F87" s="4">
        <v>126436</v>
      </c>
      <c r="G87" s="4" t="s">
        <v>20</v>
      </c>
      <c r="H87" s="4">
        <v>0</v>
      </c>
      <c r="I87" s="4">
        <v>0</v>
      </c>
      <c r="J87" s="4">
        <v>2.9315000000000002</v>
      </c>
      <c r="K87" s="4">
        <v>3.8351999999999999</v>
      </c>
      <c r="L87" s="4">
        <v>2.4110999999999998</v>
      </c>
      <c r="M87" s="4">
        <v>1.3777999999999999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20210325</v>
      </c>
      <c r="T87">
        <f t="shared" si="2"/>
        <v>10.5556</v>
      </c>
    </row>
    <row r="88" spans="1:20" x14ac:dyDescent="0.25">
      <c r="A88" s="4" t="s">
        <v>19</v>
      </c>
      <c r="B88" s="4">
        <v>2019</v>
      </c>
      <c r="C88" s="4">
        <v>1</v>
      </c>
      <c r="D88" s="4">
        <v>22</v>
      </c>
      <c r="E88" s="4">
        <v>8</v>
      </c>
      <c r="F88" s="4">
        <v>126436</v>
      </c>
      <c r="G88" s="4" t="s">
        <v>20</v>
      </c>
      <c r="H88" s="4">
        <v>0</v>
      </c>
      <c r="I88" s="4">
        <v>0.28810000000000002</v>
      </c>
      <c r="J88" s="4">
        <v>1.3997999999999999</v>
      </c>
      <c r="K88" s="4">
        <v>2.6997</v>
      </c>
      <c r="L88" s="4">
        <v>0.23949999999999999</v>
      </c>
      <c r="M88" s="4">
        <v>0.93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20210325</v>
      </c>
      <c r="T88">
        <f t="shared" si="2"/>
        <v>5.5570999999999993</v>
      </c>
    </row>
    <row r="89" spans="1:20" x14ac:dyDescent="0.25">
      <c r="A89" s="4" t="s">
        <v>19</v>
      </c>
      <c r="B89" s="4">
        <v>2019</v>
      </c>
      <c r="C89" s="4">
        <v>1</v>
      </c>
      <c r="D89" s="4">
        <v>22</v>
      </c>
      <c r="E89" s="4">
        <v>9</v>
      </c>
      <c r="F89" s="4">
        <v>126436</v>
      </c>
      <c r="G89" s="4" t="s">
        <v>20</v>
      </c>
      <c r="H89" s="4">
        <v>0</v>
      </c>
      <c r="I89" s="4">
        <v>2.8658000000000001</v>
      </c>
      <c r="J89" s="4">
        <v>97.535700000000006</v>
      </c>
      <c r="K89" s="4">
        <v>1697.4685999999999</v>
      </c>
      <c r="L89" s="4">
        <v>33.086199999999998</v>
      </c>
      <c r="M89" s="4">
        <v>6.1746999999999996</v>
      </c>
      <c r="N89" s="4">
        <v>0.16320000000000001</v>
      </c>
      <c r="O89" s="4">
        <v>0</v>
      </c>
      <c r="P89" s="4">
        <v>0</v>
      </c>
      <c r="Q89" s="4">
        <v>0</v>
      </c>
      <c r="R89" s="4">
        <v>0</v>
      </c>
      <c r="S89" s="4">
        <v>20210325</v>
      </c>
      <c r="T89">
        <f t="shared" si="2"/>
        <v>1837.2941999999998</v>
      </c>
    </row>
    <row r="90" spans="1:20" x14ac:dyDescent="0.25">
      <c r="A90" s="4" t="s">
        <v>19</v>
      </c>
      <c r="B90" s="4">
        <v>2019</v>
      </c>
      <c r="C90" s="4">
        <v>1</v>
      </c>
      <c r="D90" s="4">
        <v>23</v>
      </c>
      <c r="E90" s="4">
        <v>8</v>
      </c>
      <c r="F90" s="4">
        <v>126436</v>
      </c>
      <c r="G90" s="4" t="s">
        <v>20</v>
      </c>
      <c r="H90" s="4">
        <v>0</v>
      </c>
      <c r="I90" s="4">
        <v>0.66</v>
      </c>
      <c r="J90" s="4">
        <v>107.0741</v>
      </c>
      <c r="K90" s="4">
        <v>1552.7879</v>
      </c>
      <c r="L90" s="4">
        <v>103.3185</v>
      </c>
      <c r="M90" s="4">
        <v>21.438400000000001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20210325</v>
      </c>
      <c r="T90">
        <f t="shared" si="2"/>
        <v>1785.2789</v>
      </c>
    </row>
    <row r="91" spans="1:20" x14ac:dyDescent="0.25">
      <c r="A91" s="4" t="s">
        <v>19</v>
      </c>
      <c r="B91" s="4">
        <v>2019</v>
      </c>
      <c r="C91" s="4">
        <v>1</v>
      </c>
      <c r="D91" s="4">
        <v>23</v>
      </c>
      <c r="E91" s="4">
        <v>9</v>
      </c>
      <c r="F91" s="4">
        <v>126436</v>
      </c>
      <c r="G91" s="4" t="s">
        <v>20</v>
      </c>
      <c r="H91" s="4">
        <v>0</v>
      </c>
      <c r="I91" s="4">
        <v>0</v>
      </c>
      <c r="J91" s="4">
        <v>1.9039999999999999</v>
      </c>
      <c r="K91" s="4">
        <v>8.5790000000000006</v>
      </c>
      <c r="L91" s="4">
        <v>20.573699999999999</v>
      </c>
      <c r="M91" s="4">
        <v>23.043299999999999</v>
      </c>
      <c r="N91" s="4">
        <v>4.34</v>
      </c>
      <c r="O91" s="4">
        <v>0</v>
      </c>
      <c r="P91" s="4">
        <v>0</v>
      </c>
      <c r="Q91" s="4">
        <v>0</v>
      </c>
      <c r="R91" s="4">
        <v>0</v>
      </c>
      <c r="S91" s="4">
        <v>20210325</v>
      </c>
      <c r="T91">
        <f t="shared" si="2"/>
        <v>58.44</v>
      </c>
    </row>
    <row r="92" spans="1:20" x14ac:dyDescent="0.25">
      <c r="A92" s="4" t="s">
        <v>19</v>
      </c>
      <c r="B92" s="4">
        <v>2019</v>
      </c>
      <c r="C92" s="4">
        <v>1</v>
      </c>
      <c r="D92" s="4">
        <v>24</v>
      </c>
      <c r="E92" s="4">
        <v>10</v>
      </c>
      <c r="F92" s="4">
        <v>126436</v>
      </c>
      <c r="G92" s="4" t="s">
        <v>20</v>
      </c>
      <c r="H92" s="4">
        <v>0</v>
      </c>
      <c r="I92" s="4">
        <v>3.7241</v>
      </c>
      <c r="J92" s="4">
        <v>131.03210000000001</v>
      </c>
      <c r="K92" s="4">
        <v>552.24480000000005</v>
      </c>
      <c r="L92" s="4">
        <v>166.20939999999999</v>
      </c>
      <c r="M92" s="4">
        <v>55.540500000000002</v>
      </c>
      <c r="N92" s="4">
        <v>8.9792000000000005</v>
      </c>
      <c r="O92" s="4">
        <v>0</v>
      </c>
      <c r="P92" s="4">
        <v>0</v>
      </c>
      <c r="Q92" s="4">
        <v>0</v>
      </c>
      <c r="R92" s="4">
        <v>0</v>
      </c>
      <c r="S92" s="4">
        <v>20210325</v>
      </c>
      <c r="T92">
        <f t="shared" si="2"/>
        <v>917.73009999999999</v>
      </c>
    </row>
    <row r="93" spans="1:20" x14ac:dyDescent="0.25">
      <c r="A93" s="4" t="s">
        <v>19</v>
      </c>
      <c r="B93" s="4">
        <v>2019</v>
      </c>
      <c r="C93" s="4">
        <v>1</v>
      </c>
      <c r="D93" s="4">
        <v>24</v>
      </c>
      <c r="E93" s="4">
        <v>8</v>
      </c>
      <c r="F93" s="4">
        <v>126436</v>
      </c>
      <c r="G93" s="4" t="s">
        <v>20</v>
      </c>
      <c r="H93" s="4">
        <v>0</v>
      </c>
      <c r="I93" s="4">
        <v>1.6667000000000001</v>
      </c>
      <c r="J93" s="4">
        <v>13.933299999999999</v>
      </c>
      <c r="K93" s="4">
        <v>148.47329999999999</v>
      </c>
      <c r="L93" s="4">
        <v>48.500700000000002</v>
      </c>
      <c r="M93" s="4">
        <v>15.866099999999999</v>
      </c>
      <c r="N93" s="4">
        <v>2.8416999999999999</v>
      </c>
      <c r="O93" s="4">
        <v>0</v>
      </c>
      <c r="P93" s="4">
        <v>0</v>
      </c>
      <c r="Q93" s="4">
        <v>0</v>
      </c>
      <c r="R93" s="4">
        <v>0</v>
      </c>
      <c r="S93" s="4">
        <v>20210325</v>
      </c>
      <c r="T93">
        <f t="shared" si="2"/>
        <v>231.28179999999998</v>
      </c>
    </row>
    <row r="94" spans="1:20" x14ac:dyDescent="0.25">
      <c r="A94" s="4" t="s">
        <v>19</v>
      </c>
      <c r="B94" s="4">
        <v>2019</v>
      </c>
      <c r="C94" s="4">
        <v>1</v>
      </c>
      <c r="D94" s="4">
        <v>24</v>
      </c>
      <c r="E94" s="4">
        <v>9</v>
      </c>
      <c r="F94" s="4">
        <v>126436</v>
      </c>
      <c r="G94" s="4" t="s">
        <v>20</v>
      </c>
      <c r="H94" s="4">
        <v>0</v>
      </c>
      <c r="I94" s="4">
        <v>2.2667000000000002</v>
      </c>
      <c r="J94" s="4">
        <v>19.164999999999999</v>
      </c>
      <c r="K94" s="4">
        <v>132.95169999999999</v>
      </c>
      <c r="L94" s="4">
        <v>40.036499999999997</v>
      </c>
      <c r="M94" s="4">
        <v>11.2326</v>
      </c>
      <c r="N94" s="4">
        <v>2.2099000000000002</v>
      </c>
      <c r="O94" s="4">
        <v>0</v>
      </c>
      <c r="P94" s="4">
        <v>0</v>
      </c>
      <c r="Q94" s="4">
        <v>0</v>
      </c>
      <c r="R94" s="4">
        <v>0</v>
      </c>
      <c r="S94" s="4">
        <v>20210325</v>
      </c>
      <c r="T94">
        <f t="shared" si="2"/>
        <v>207.86239999999998</v>
      </c>
    </row>
    <row r="95" spans="1:20" x14ac:dyDescent="0.25">
      <c r="A95" s="4" t="s">
        <v>19</v>
      </c>
      <c r="B95" s="4">
        <v>2019</v>
      </c>
      <c r="C95" s="4">
        <v>1</v>
      </c>
      <c r="D95" s="4">
        <v>25</v>
      </c>
      <c r="E95" s="4">
        <v>10</v>
      </c>
      <c r="F95" s="4">
        <v>126436</v>
      </c>
      <c r="G95" s="4" t="s">
        <v>20</v>
      </c>
      <c r="H95" s="4">
        <v>0</v>
      </c>
      <c r="I95" s="4">
        <v>13.0831</v>
      </c>
      <c r="J95" s="4">
        <v>427.95870000000002</v>
      </c>
      <c r="K95" s="4">
        <v>142.69220000000001</v>
      </c>
      <c r="L95" s="4">
        <v>31.657599999999999</v>
      </c>
      <c r="M95" s="4">
        <v>5.0620000000000003</v>
      </c>
      <c r="N95" s="4">
        <v>0.67010000000000003</v>
      </c>
      <c r="O95" s="4">
        <v>0.40970000000000001</v>
      </c>
      <c r="P95" s="4">
        <v>0</v>
      </c>
      <c r="Q95" s="4">
        <v>0</v>
      </c>
      <c r="R95" s="4">
        <v>0</v>
      </c>
      <c r="S95" s="4">
        <v>20210325</v>
      </c>
      <c r="T95">
        <f t="shared" si="2"/>
        <v>621.53340000000014</v>
      </c>
    </row>
    <row r="96" spans="1:20" x14ac:dyDescent="0.25">
      <c r="A96" s="4" t="s">
        <v>19</v>
      </c>
      <c r="B96" s="4">
        <v>2019</v>
      </c>
      <c r="C96" s="4">
        <v>1</v>
      </c>
      <c r="D96" s="4">
        <v>25</v>
      </c>
      <c r="E96" s="4">
        <v>11</v>
      </c>
      <c r="F96" s="4">
        <v>126436</v>
      </c>
      <c r="G96" s="4" t="s">
        <v>20</v>
      </c>
      <c r="H96" s="4">
        <v>0</v>
      </c>
      <c r="I96" s="4">
        <v>6.3727999999999998</v>
      </c>
      <c r="J96" s="4">
        <v>329.96440000000001</v>
      </c>
      <c r="K96" s="4">
        <v>342.77339999999998</v>
      </c>
      <c r="L96" s="4">
        <v>89.283799999999999</v>
      </c>
      <c r="M96" s="4">
        <v>12.092599999999999</v>
      </c>
      <c r="N96" s="4">
        <v>1.5599000000000001</v>
      </c>
      <c r="O96" s="4">
        <v>0.77010000000000001</v>
      </c>
      <c r="P96" s="4">
        <v>0</v>
      </c>
      <c r="Q96" s="4">
        <v>0</v>
      </c>
      <c r="R96" s="4">
        <v>0</v>
      </c>
      <c r="S96" s="4">
        <v>20210325</v>
      </c>
      <c r="T96">
        <f t="shared" si="2"/>
        <v>782.81699999999989</v>
      </c>
    </row>
    <row r="97" spans="1:20" x14ac:dyDescent="0.25">
      <c r="A97" s="4" t="s">
        <v>19</v>
      </c>
      <c r="B97" s="4">
        <v>2019</v>
      </c>
      <c r="C97" s="4">
        <v>1</v>
      </c>
      <c r="D97" s="4">
        <v>25</v>
      </c>
      <c r="E97" s="4">
        <v>12</v>
      </c>
      <c r="F97" s="4">
        <v>126436</v>
      </c>
      <c r="G97" s="4" t="s">
        <v>20</v>
      </c>
      <c r="H97" s="4">
        <v>0</v>
      </c>
      <c r="I97" s="4">
        <v>0.95279999999999998</v>
      </c>
      <c r="J97" s="4">
        <v>189.3801</v>
      </c>
      <c r="K97" s="4">
        <v>418.15339999999998</v>
      </c>
      <c r="L97" s="4">
        <v>151.38030000000001</v>
      </c>
      <c r="M97" s="4">
        <v>22.756399999999999</v>
      </c>
      <c r="N97" s="4">
        <v>2.7641</v>
      </c>
      <c r="O97" s="4">
        <v>1.9460999999999999</v>
      </c>
      <c r="P97" s="4">
        <v>0</v>
      </c>
      <c r="Q97" s="4">
        <v>0</v>
      </c>
      <c r="R97" s="4">
        <v>0</v>
      </c>
      <c r="S97" s="4">
        <v>20210325</v>
      </c>
      <c r="T97">
        <f t="shared" si="2"/>
        <v>787.33320000000003</v>
      </c>
    </row>
    <row r="98" spans="1:20" x14ac:dyDescent="0.25">
      <c r="A98" s="4" t="s">
        <v>19</v>
      </c>
      <c r="B98" s="4">
        <v>2019</v>
      </c>
      <c r="C98" s="4">
        <v>1</v>
      </c>
      <c r="D98" s="4">
        <v>25</v>
      </c>
      <c r="E98" s="4">
        <v>9</v>
      </c>
      <c r="F98" s="4">
        <v>126436</v>
      </c>
      <c r="G98" s="4" t="s">
        <v>20</v>
      </c>
      <c r="H98" s="4">
        <v>0</v>
      </c>
      <c r="I98" s="4">
        <v>1</v>
      </c>
      <c r="J98" s="4">
        <v>5.2889999999999997</v>
      </c>
      <c r="K98" s="4">
        <v>30.590800000000002</v>
      </c>
      <c r="L98" s="4">
        <v>11.5898</v>
      </c>
      <c r="M98" s="4">
        <v>1.6483000000000001</v>
      </c>
      <c r="N98" s="4">
        <v>0.18129999999999999</v>
      </c>
      <c r="O98" s="4">
        <v>7.5800000000000006E-2</v>
      </c>
      <c r="P98" s="4">
        <v>0</v>
      </c>
      <c r="Q98" s="4">
        <v>0</v>
      </c>
      <c r="R98" s="4">
        <v>0</v>
      </c>
      <c r="S98" s="4">
        <v>20210325</v>
      </c>
      <c r="T98">
        <f t="shared" ref="T98:T129" si="3">SUM(I98:R98)</f>
        <v>50.375</v>
      </c>
    </row>
    <row r="99" spans="1:20" x14ac:dyDescent="0.25">
      <c r="A99" s="4" t="s">
        <v>19</v>
      </c>
      <c r="B99" s="4">
        <v>2019</v>
      </c>
      <c r="C99" s="4">
        <v>1</v>
      </c>
      <c r="D99" s="4">
        <v>26</v>
      </c>
      <c r="E99" s="4">
        <v>10</v>
      </c>
      <c r="F99" s="4">
        <v>126436</v>
      </c>
      <c r="G99" s="4" t="s">
        <v>20</v>
      </c>
      <c r="H99" s="4">
        <v>0</v>
      </c>
      <c r="I99" s="4">
        <v>3.85</v>
      </c>
      <c r="J99" s="4">
        <v>175.48939999999999</v>
      </c>
      <c r="K99" s="4">
        <v>210.661</v>
      </c>
      <c r="L99" s="4">
        <v>24.0166</v>
      </c>
      <c r="M99" s="4">
        <v>3.8744999999999998</v>
      </c>
      <c r="N99" s="4">
        <v>0.42320000000000002</v>
      </c>
      <c r="O99" s="4">
        <v>0.05</v>
      </c>
      <c r="P99" s="4">
        <v>0</v>
      </c>
      <c r="Q99" s="4">
        <v>0</v>
      </c>
      <c r="R99" s="4">
        <v>0</v>
      </c>
      <c r="S99" s="4">
        <v>20210325</v>
      </c>
      <c r="T99">
        <f t="shared" si="3"/>
        <v>418.36470000000003</v>
      </c>
    </row>
    <row r="100" spans="1:20" x14ac:dyDescent="0.25">
      <c r="A100" s="4" t="s">
        <v>19</v>
      </c>
      <c r="B100" s="4">
        <v>2019</v>
      </c>
      <c r="C100" s="4">
        <v>1</v>
      </c>
      <c r="D100" s="4">
        <v>26</v>
      </c>
      <c r="E100" s="4">
        <v>11</v>
      </c>
      <c r="F100" s="4">
        <v>126436</v>
      </c>
      <c r="G100" s="4" t="s">
        <v>20</v>
      </c>
      <c r="H100" s="4">
        <v>0</v>
      </c>
      <c r="I100" s="4">
        <v>9.7543000000000006</v>
      </c>
      <c r="J100" s="4">
        <v>447.71899999999999</v>
      </c>
      <c r="K100" s="4">
        <v>263.3109</v>
      </c>
      <c r="L100" s="4">
        <v>28.409099999999999</v>
      </c>
      <c r="M100" s="4">
        <v>3.7147000000000001</v>
      </c>
      <c r="N100" s="4">
        <v>1.8989</v>
      </c>
      <c r="O100" s="4">
        <v>0.12379999999999999</v>
      </c>
      <c r="P100" s="4">
        <v>0</v>
      </c>
      <c r="Q100" s="4">
        <v>0</v>
      </c>
      <c r="R100" s="4">
        <v>0</v>
      </c>
      <c r="S100" s="4">
        <v>20210325</v>
      </c>
      <c r="T100">
        <f t="shared" si="3"/>
        <v>754.9307</v>
      </c>
    </row>
    <row r="101" spans="1:20" x14ac:dyDescent="0.25">
      <c r="A101" s="4" t="s">
        <v>19</v>
      </c>
      <c r="B101" s="4">
        <v>2019</v>
      </c>
      <c r="C101" s="4">
        <v>1</v>
      </c>
      <c r="D101" s="4">
        <v>26</v>
      </c>
      <c r="E101" s="4">
        <v>12</v>
      </c>
      <c r="F101" s="4">
        <v>126436</v>
      </c>
      <c r="G101" s="4" t="s">
        <v>20</v>
      </c>
      <c r="H101" s="4">
        <v>0</v>
      </c>
      <c r="I101" s="4">
        <v>0.40560000000000002</v>
      </c>
      <c r="J101" s="4">
        <v>227.1112</v>
      </c>
      <c r="K101" s="4">
        <v>332.1628</v>
      </c>
      <c r="L101" s="4">
        <v>42.510199999999998</v>
      </c>
      <c r="M101" s="4">
        <v>5.1497000000000002</v>
      </c>
      <c r="N101" s="4">
        <v>1.1218999999999999</v>
      </c>
      <c r="O101" s="4">
        <v>0.15379999999999999</v>
      </c>
      <c r="P101" s="4">
        <v>0</v>
      </c>
      <c r="Q101" s="4">
        <v>0</v>
      </c>
      <c r="R101" s="4">
        <v>0</v>
      </c>
      <c r="S101" s="4">
        <v>20210325</v>
      </c>
      <c r="T101">
        <f t="shared" si="3"/>
        <v>608.61519999999996</v>
      </c>
    </row>
    <row r="102" spans="1:20" x14ac:dyDescent="0.25">
      <c r="A102" s="4" t="s">
        <v>19</v>
      </c>
      <c r="B102" s="4">
        <v>2019</v>
      </c>
      <c r="C102" s="4">
        <v>1</v>
      </c>
      <c r="D102" s="4">
        <v>26</v>
      </c>
      <c r="E102" s="4">
        <v>13</v>
      </c>
      <c r="F102" s="4">
        <v>126436</v>
      </c>
      <c r="G102" s="4" t="s">
        <v>20</v>
      </c>
      <c r="H102" s="4">
        <v>0</v>
      </c>
      <c r="I102" s="4">
        <v>0</v>
      </c>
      <c r="J102" s="4">
        <v>1.837</v>
      </c>
      <c r="K102" s="4">
        <v>4.3921000000000001</v>
      </c>
      <c r="L102" s="4">
        <v>1.6324000000000001</v>
      </c>
      <c r="M102" s="4">
        <v>8.8499999999999995E-2</v>
      </c>
      <c r="N102" s="4">
        <v>0</v>
      </c>
      <c r="O102" s="4">
        <v>0.05</v>
      </c>
      <c r="P102" s="4">
        <v>0</v>
      </c>
      <c r="Q102" s="4">
        <v>0</v>
      </c>
      <c r="R102" s="4">
        <v>0</v>
      </c>
      <c r="S102" s="4">
        <v>20210325</v>
      </c>
      <c r="T102">
        <f t="shared" si="3"/>
        <v>7.9999999999999991</v>
      </c>
    </row>
    <row r="103" spans="1:20" x14ac:dyDescent="0.25">
      <c r="A103" s="4" t="s">
        <v>19</v>
      </c>
      <c r="B103" s="4">
        <v>2019</v>
      </c>
      <c r="C103" s="4">
        <v>1</v>
      </c>
      <c r="D103" s="4">
        <v>26</v>
      </c>
      <c r="E103" s="4">
        <v>14</v>
      </c>
      <c r="F103" s="4">
        <v>126436</v>
      </c>
      <c r="G103" s="4" t="s">
        <v>20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20210325</v>
      </c>
      <c r="T103">
        <f t="shared" si="3"/>
        <v>0</v>
      </c>
    </row>
    <row r="104" spans="1:20" x14ac:dyDescent="0.25">
      <c r="A104" s="4" t="s">
        <v>19</v>
      </c>
      <c r="B104" s="4">
        <v>2019</v>
      </c>
      <c r="C104" s="4">
        <v>1</v>
      </c>
      <c r="D104" s="4">
        <v>26</v>
      </c>
      <c r="E104" s="4">
        <v>9</v>
      </c>
      <c r="F104" s="4">
        <v>126436</v>
      </c>
      <c r="G104" s="4" t="s">
        <v>20</v>
      </c>
      <c r="H104" s="4">
        <v>0</v>
      </c>
      <c r="I104" s="4">
        <v>0.54769999999999996</v>
      </c>
      <c r="J104" s="4">
        <v>33.043199999999999</v>
      </c>
      <c r="K104" s="4">
        <v>72.622200000000007</v>
      </c>
      <c r="L104" s="4">
        <v>17.3993</v>
      </c>
      <c r="M104" s="4">
        <v>2.2017000000000002</v>
      </c>
      <c r="N104" s="4">
        <v>0.69699999999999995</v>
      </c>
      <c r="O104" s="4">
        <v>8.8800000000000004E-2</v>
      </c>
      <c r="P104" s="4">
        <v>0</v>
      </c>
      <c r="Q104" s="4">
        <v>0</v>
      </c>
      <c r="R104" s="4">
        <v>0</v>
      </c>
      <c r="S104" s="4">
        <v>20210325</v>
      </c>
      <c r="T104">
        <f t="shared" si="3"/>
        <v>126.59990000000001</v>
      </c>
    </row>
    <row r="105" spans="1:20" x14ac:dyDescent="0.25">
      <c r="A105" s="4" t="s">
        <v>19</v>
      </c>
      <c r="B105" s="4">
        <v>2019</v>
      </c>
      <c r="C105" s="4">
        <v>1</v>
      </c>
      <c r="D105" s="4">
        <v>27</v>
      </c>
      <c r="E105" s="4">
        <v>11</v>
      </c>
      <c r="F105" s="4">
        <v>126436</v>
      </c>
      <c r="G105" s="4" t="s">
        <v>20</v>
      </c>
      <c r="H105" s="4">
        <v>0</v>
      </c>
      <c r="I105" s="4">
        <v>0</v>
      </c>
      <c r="J105" s="4">
        <v>10.119</v>
      </c>
      <c r="K105" s="4">
        <v>3.7381000000000002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20210325</v>
      </c>
      <c r="T105">
        <f t="shared" si="3"/>
        <v>13.857099999999999</v>
      </c>
    </row>
    <row r="106" spans="1:20" x14ac:dyDescent="0.25">
      <c r="A106" s="4" t="s">
        <v>19</v>
      </c>
      <c r="B106" s="4">
        <v>2019</v>
      </c>
      <c r="C106" s="4">
        <v>1</v>
      </c>
      <c r="D106" s="4">
        <v>27</v>
      </c>
      <c r="E106" s="4">
        <v>12</v>
      </c>
      <c r="F106" s="4">
        <v>126436</v>
      </c>
      <c r="G106" s="4" t="s">
        <v>20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20210325</v>
      </c>
      <c r="T106">
        <f t="shared" si="3"/>
        <v>0</v>
      </c>
    </row>
    <row r="107" spans="1:20" x14ac:dyDescent="0.25">
      <c r="A107" s="4" t="s">
        <v>19</v>
      </c>
      <c r="B107" s="4">
        <v>2019</v>
      </c>
      <c r="C107" s="4">
        <v>1</v>
      </c>
      <c r="D107" s="4">
        <v>28</v>
      </c>
      <c r="E107" s="4">
        <v>10</v>
      </c>
      <c r="F107" s="4">
        <v>126436</v>
      </c>
      <c r="G107" s="4" t="s">
        <v>20</v>
      </c>
      <c r="H107" s="4">
        <v>0</v>
      </c>
      <c r="I107" s="4">
        <v>0</v>
      </c>
      <c r="J107" s="4">
        <v>20.937799999999999</v>
      </c>
      <c r="K107" s="4">
        <v>20.261600000000001</v>
      </c>
      <c r="L107" s="4">
        <v>5.4034000000000004</v>
      </c>
      <c r="M107" s="4">
        <v>0.6472</v>
      </c>
      <c r="N107" s="4">
        <v>0.25</v>
      </c>
      <c r="O107" s="4">
        <v>0.25</v>
      </c>
      <c r="P107" s="4">
        <v>0</v>
      </c>
      <c r="Q107" s="4">
        <v>0</v>
      </c>
      <c r="R107" s="4">
        <v>0</v>
      </c>
      <c r="S107" s="4">
        <v>20210325</v>
      </c>
      <c r="T107">
        <f t="shared" si="3"/>
        <v>47.749999999999993</v>
      </c>
    </row>
    <row r="108" spans="1:20" x14ac:dyDescent="0.25">
      <c r="A108" s="4" t="s">
        <v>19</v>
      </c>
      <c r="B108" s="4">
        <v>2019</v>
      </c>
      <c r="C108" s="4">
        <v>1</v>
      </c>
      <c r="D108" s="4">
        <v>28</v>
      </c>
      <c r="E108" s="4">
        <v>11</v>
      </c>
      <c r="F108" s="4">
        <v>126436</v>
      </c>
      <c r="G108" s="4" t="s">
        <v>20</v>
      </c>
      <c r="H108" s="4">
        <v>0</v>
      </c>
      <c r="I108" s="4">
        <v>0</v>
      </c>
      <c r="J108" s="4">
        <v>34.598500000000001</v>
      </c>
      <c r="K108" s="4">
        <v>20.752800000000001</v>
      </c>
      <c r="L108" s="4">
        <v>3.0518999999999998</v>
      </c>
      <c r="M108" s="4">
        <v>1.3746</v>
      </c>
      <c r="N108" s="4">
        <v>0.44440000000000002</v>
      </c>
      <c r="O108" s="4">
        <v>0</v>
      </c>
      <c r="P108" s="4">
        <v>0</v>
      </c>
      <c r="Q108" s="4">
        <v>0</v>
      </c>
      <c r="R108" s="4">
        <v>0</v>
      </c>
      <c r="S108" s="4">
        <v>20210325</v>
      </c>
      <c r="T108">
        <f t="shared" si="3"/>
        <v>60.222200000000001</v>
      </c>
    </row>
    <row r="109" spans="1:20" x14ac:dyDescent="0.25">
      <c r="A109" s="4" t="s">
        <v>19</v>
      </c>
      <c r="B109" s="4">
        <v>2019</v>
      </c>
      <c r="C109" s="4">
        <v>1</v>
      </c>
      <c r="D109" s="4">
        <v>28</v>
      </c>
      <c r="E109" s="4">
        <v>12</v>
      </c>
      <c r="F109" s="4">
        <v>126436</v>
      </c>
      <c r="G109" s="4" t="s">
        <v>20</v>
      </c>
      <c r="H109" s="4">
        <v>0</v>
      </c>
      <c r="I109" s="4">
        <v>0</v>
      </c>
      <c r="J109" s="4">
        <v>14.0084</v>
      </c>
      <c r="K109" s="4">
        <v>8.1692999999999998</v>
      </c>
      <c r="L109" s="4">
        <v>0.33879999999999999</v>
      </c>
      <c r="M109" s="4">
        <v>5.4899999999999997E-2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20210325</v>
      </c>
      <c r="T109">
        <f t="shared" si="3"/>
        <v>22.571400000000001</v>
      </c>
    </row>
    <row r="110" spans="1:20" x14ac:dyDescent="0.25">
      <c r="A110" s="4" t="s">
        <v>19</v>
      </c>
      <c r="B110" s="4">
        <v>2019</v>
      </c>
      <c r="C110" s="4">
        <v>1</v>
      </c>
      <c r="D110" s="4">
        <v>28</v>
      </c>
      <c r="E110" s="4">
        <v>13</v>
      </c>
      <c r="F110" s="4">
        <v>126436</v>
      </c>
      <c r="G110" s="4" t="s">
        <v>20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20210325</v>
      </c>
      <c r="T110">
        <f t="shared" si="3"/>
        <v>0</v>
      </c>
    </row>
    <row r="111" spans="1:20" x14ac:dyDescent="0.25">
      <c r="A111" s="4" t="s">
        <v>19</v>
      </c>
      <c r="B111" s="4">
        <v>2019</v>
      </c>
      <c r="C111" s="4">
        <v>1</v>
      </c>
      <c r="D111" s="4">
        <v>28</v>
      </c>
      <c r="E111" s="4">
        <v>9</v>
      </c>
      <c r="F111" s="4">
        <v>126436</v>
      </c>
      <c r="G111" s="4" t="s">
        <v>20</v>
      </c>
      <c r="H111" s="4">
        <v>0</v>
      </c>
      <c r="I111" s="4">
        <v>0.5</v>
      </c>
      <c r="J111" s="4">
        <v>6.1609999999999996</v>
      </c>
      <c r="K111" s="4">
        <v>12.3118</v>
      </c>
      <c r="L111" s="4">
        <v>4.0624000000000002</v>
      </c>
      <c r="M111" s="4">
        <v>0.4647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20210325</v>
      </c>
      <c r="T111">
        <f t="shared" si="3"/>
        <v>23.4999</v>
      </c>
    </row>
    <row r="112" spans="1:20" x14ac:dyDescent="0.25">
      <c r="A112" s="4" t="s">
        <v>19</v>
      </c>
      <c r="B112" s="4">
        <v>2020</v>
      </c>
      <c r="C112" s="4">
        <v>1</v>
      </c>
      <c r="D112" s="4">
        <v>21</v>
      </c>
      <c r="E112" s="4">
        <v>10</v>
      </c>
      <c r="F112" s="4">
        <v>126436</v>
      </c>
      <c r="G112" s="4" t="s">
        <v>20</v>
      </c>
      <c r="H112" s="4">
        <v>0</v>
      </c>
      <c r="I112" s="4">
        <v>19.2089</v>
      </c>
      <c r="J112" s="4">
        <v>2.7911000000000001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20210325</v>
      </c>
      <c r="T112">
        <f t="shared" si="3"/>
        <v>22</v>
      </c>
    </row>
    <row r="113" spans="1:20" x14ac:dyDescent="0.25">
      <c r="A113" s="4" t="s">
        <v>19</v>
      </c>
      <c r="B113" s="4">
        <v>2020</v>
      </c>
      <c r="C113" s="4">
        <v>1</v>
      </c>
      <c r="D113" s="4">
        <v>21</v>
      </c>
      <c r="E113" s="4">
        <v>11</v>
      </c>
      <c r="F113" s="4">
        <v>126436</v>
      </c>
      <c r="G113" s="4" t="s">
        <v>20</v>
      </c>
      <c r="H113" s="4">
        <v>0</v>
      </c>
      <c r="I113" s="4">
        <v>34.130200000000002</v>
      </c>
      <c r="J113" s="4">
        <v>9.2197999999999993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20210325</v>
      </c>
      <c r="T113">
        <f t="shared" si="3"/>
        <v>43.35</v>
      </c>
    </row>
    <row r="114" spans="1:20" x14ac:dyDescent="0.25">
      <c r="A114" s="4" t="s">
        <v>19</v>
      </c>
      <c r="B114" s="4">
        <v>2020</v>
      </c>
      <c r="C114" s="4">
        <v>1</v>
      </c>
      <c r="D114" s="4">
        <v>21</v>
      </c>
      <c r="E114" s="4">
        <v>9</v>
      </c>
      <c r="F114" s="4">
        <v>126436</v>
      </c>
      <c r="G114" s="4" t="s">
        <v>20</v>
      </c>
      <c r="H114" s="4">
        <v>0</v>
      </c>
      <c r="I114" s="4">
        <v>21.050999999999998</v>
      </c>
      <c r="J114" s="4">
        <v>9.2690000000000001</v>
      </c>
      <c r="K114" s="4">
        <v>0.62</v>
      </c>
      <c r="L114" s="4">
        <v>9.61</v>
      </c>
      <c r="M114" s="4">
        <v>0.20669999999999999</v>
      </c>
      <c r="N114" s="4">
        <v>3.2033</v>
      </c>
      <c r="O114" s="4">
        <v>0</v>
      </c>
      <c r="P114" s="4">
        <v>1.0333000000000001</v>
      </c>
      <c r="Q114" s="4">
        <v>0</v>
      </c>
      <c r="R114" s="4">
        <v>0</v>
      </c>
      <c r="S114" s="4">
        <v>20210325</v>
      </c>
      <c r="T114">
        <f t="shared" si="3"/>
        <v>44.993299999999991</v>
      </c>
    </row>
    <row r="115" spans="1:20" x14ac:dyDescent="0.25">
      <c r="A115" s="4" t="s">
        <v>19</v>
      </c>
      <c r="B115" s="4">
        <v>2020</v>
      </c>
      <c r="C115" s="4">
        <v>1</v>
      </c>
      <c r="D115" s="4">
        <v>22</v>
      </c>
      <c r="E115" s="4">
        <v>8</v>
      </c>
      <c r="F115" s="4">
        <v>126436</v>
      </c>
      <c r="G115" s="4" t="s">
        <v>20</v>
      </c>
      <c r="H115" s="4">
        <v>0</v>
      </c>
      <c r="I115" s="4">
        <v>13.97</v>
      </c>
      <c r="J115" s="4">
        <v>9.6588999999999992</v>
      </c>
      <c r="K115" s="4">
        <v>3.0792000000000002</v>
      </c>
      <c r="L115" s="4">
        <v>82.230699999999999</v>
      </c>
      <c r="M115" s="4">
        <v>0.91049999999999998</v>
      </c>
      <c r="N115" s="4">
        <v>7.9399999999999998E-2</v>
      </c>
      <c r="O115" s="4">
        <v>0</v>
      </c>
      <c r="P115" s="4">
        <v>0</v>
      </c>
      <c r="Q115" s="4">
        <v>0</v>
      </c>
      <c r="R115" s="4">
        <v>0.20669999999999999</v>
      </c>
      <c r="S115" s="4">
        <v>20210325</v>
      </c>
      <c r="T115">
        <f t="shared" si="3"/>
        <v>110.1354</v>
      </c>
    </row>
    <row r="116" spans="1:20" x14ac:dyDescent="0.25">
      <c r="A116" s="4" t="s">
        <v>19</v>
      </c>
      <c r="B116" s="4">
        <v>2020</v>
      </c>
      <c r="C116" s="4">
        <v>1</v>
      </c>
      <c r="D116" s="4">
        <v>22</v>
      </c>
      <c r="E116" s="4">
        <v>9</v>
      </c>
      <c r="F116" s="4">
        <v>126436</v>
      </c>
      <c r="G116" s="4" t="s">
        <v>20</v>
      </c>
      <c r="H116" s="4">
        <v>0</v>
      </c>
      <c r="I116" s="4">
        <v>6.6314000000000002</v>
      </c>
      <c r="J116" s="4">
        <v>3.0893000000000002</v>
      </c>
      <c r="K116" s="4">
        <v>3.1415000000000002</v>
      </c>
      <c r="L116" s="4">
        <v>185.1112</v>
      </c>
      <c r="M116" s="4">
        <v>2.5365000000000002</v>
      </c>
      <c r="N116" s="4">
        <v>1.4079999999999999</v>
      </c>
      <c r="O116" s="4">
        <v>0.11070000000000001</v>
      </c>
      <c r="P116" s="4">
        <v>0</v>
      </c>
      <c r="Q116" s="4">
        <v>0</v>
      </c>
      <c r="R116" s="4">
        <v>0</v>
      </c>
      <c r="S116" s="4">
        <v>20210325</v>
      </c>
      <c r="T116">
        <f t="shared" si="3"/>
        <v>202.02859999999998</v>
      </c>
    </row>
    <row r="117" spans="1:20" x14ac:dyDescent="0.25">
      <c r="A117" s="4" t="s">
        <v>19</v>
      </c>
      <c r="B117" s="4">
        <v>2020</v>
      </c>
      <c r="C117" s="4">
        <v>1</v>
      </c>
      <c r="D117" s="4">
        <v>23</v>
      </c>
      <c r="E117" s="4">
        <v>8</v>
      </c>
      <c r="F117" s="4">
        <v>126436</v>
      </c>
      <c r="G117" s="4" t="s">
        <v>20</v>
      </c>
      <c r="H117" s="4">
        <v>0</v>
      </c>
      <c r="I117" s="4">
        <v>35.415999999999997</v>
      </c>
      <c r="J117" s="4">
        <v>150.57230000000001</v>
      </c>
      <c r="K117" s="4">
        <v>59.716500000000003</v>
      </c>
      <c r="L117" s="4">
        <v>413.78870000000001</v>
      </c>
      <c r="M117" s="4">
        <v>49.435600000000001</v>
      </c>
      <c r="N117" s="4">
        <v>174.74510000000001</v>
      </c>
      <c r="O117" s="4">
        <v>20.837800000000001</v>
      </c>
      <c r="P117" s="4">
        <v>13.058400000000001</v>
      </c>
      <c r="Q117" s="4">
        <v>13.3362</v>
      </c>
      <c r="R117" s="4">
        <v>0</v>
      </c>
      <c r="S117" s="4">
        <v>20210325</v>
      </c>
      <c r="T117">
        <f t="shared" si="3"/>
        <v>930.90660000000003</v>
      </c>
    </row>
    <row r="118" spans="1:20" x14ac:dyDescent="0.25">
      <c r="A118" s="4" t="s">
        <v>19</v>
      </c>
      <c r="B118" s="4">
        <v>2020</v>
      </c>
      <c r="C118" s="4">
        <v>1</v>
      </c>
      <c r="D118" s="4">
        <v>23</v>
      </c>
      <c r="E118" s="4">
        <v>9</v>
      </c>
      <c r="F118" s="4">
        <v>126436</v>
      </c>
      <c r="G118" s="4" t="s">
        <v>20</v>
      </c>
      <c r="H118" s="4">
        <v>0</v>
      </c>
      <c r="I118" s="4">
        <v>4.2789999999999999</v>
      </c>
      <c r="J118" s="4">
        <v>67.102000000000004</v>
      </c>
      <c r="K118" s="4">
        <v>302.06360000000001</v>
      </c>
      <c r="L118" s="4">
        <v>3185.069</v>
      </c>
      <c r="M118" s="4">
        <v>189.3263</v>
      </c>
      <c r="N118" s="4">
        <v>104.91330000000001</v>
      </c>
      <c r="O118" s="4">
        <v>3.0148000000000001</v>
      </c>
      <c r="P118" s="4">
        <v>0</v>
      </c>
      <c r="Q118" s="4">
        <v>0</v>
      </c>
      <c r="R118" s="4">
        <v>0</v>
      </c>
      <c r="S118" s="4">
        <v>20210325</v>
      </c>
      <c r="T118">
        <f t="shared" si="3"/>
        <v>3855.7680000000005</v>
      </c>
    </row>
    <row r="119" spans="1:20" x14ac:dyDescent="0.25">
      <c r="A119" s="4" t="s">
        <v>19</v>
      </c>
      <c r="B119" s="4">
        <v>2020</v>
      </c>
      <c r="C119" s="4">
        <v>1</v>
      </c>
      <c r="D119" s="4">
        <v>24</v>
      </c>
      <c r="E119" s="4">
        <v>10</v>
      </c>
      <c r="F119" s="4">
        <v>126436</v>
      </c>
      <c r="G119" s="4" t="s">
        <v>20</v>
      </c>
      <c r="H119" s="4">
        <v>0</v>
      </c>
      <c r="I119" s="4">
        <v>81.073899999999995</v>
      </c>
      <c r="J119" s="4">
        <v>263.81700000000001</v>
      </c>
      <c r="K119" s="4">
        <v>171.82599999999999</v>
      </c>
      <c r="L119" s="4">
        <v>122.2017</v>
      </c>
      <c r="M119" s="4">
        <v>1.8123</v>
      </c>
      <c r="N119" s="4">
        <v>1.7031000000000001</v>
      </c>
      <c r="O119" s="4">
        <v>1.4964999999999999</v>
      </c>
      <c r="P119" s="4">
        <v>0.28610000000000002</v>
      </c>
      <c r="Q119" s="4">
        <v>0</v>
      </c>
      <c r="R119" s="4">
        <v>0</v>
      </c>
      <c r="S119" s="4">
        <v>20210325</v>
      </c>
      <c r="T119">
        <f t="shared" si="3"/>
        <v>644.21659999999997</v>
      </c>
    </row>
    <row r="120" spans="1:20" x14ac:dyDescent="0.25">
      <c r="A120" s="4" t="s">
        <v>19</v>
      </c>
      <c r="B120" s="4">
        <v>2020</v>
      </c>
      <c r="C120" s="4">
        <v>1</v>
      </c>
      <c r="D120" s="4">
        <v>24</v>
      </c>
      <c r="E120" s="4">
        <v>11</v>
      </c>
      <c r="F120" s="4">
        <v>126436</v>
      </c>
      <c r="G120" s="4" t="s">
        <v>20</v>
      </c>
      <c r="H120" s="4">
        <v>0</v>
      </c>
      <c r="I120" s="4">
        <v>47.431699999999999</v>
      </c>
      <c r="J120" s="4">
        <v>143.8142</v>
      </c>
      <c r="K120" s="4">
        <v>132.6806</v>
      </c>
      <c r="L120" s="4">
        <v>66.983500000000006</v>
      </c>
      <c r="M120" s="4">
        <v>1.24</v>
      </c>
      <c r="N120" s="4">
        <v>1.55</v>
      </c>
      <c r="O120" s="4">
        <v>0</v>
      </c>
      <c r="P120" s="4">
        <v>0</v>
      </c>
      <c r="Q120" s="4">
        <v>0</v>
      </c>
      <c r="R120" s="4">
        <v>0</v>
      </c>
      <c r="S120" s="4">
        <v>20210325</v>
      </c>
      <c r="T120">
        <f t="shared" si="3"/>
        <v>393.70000000000005</v>
      </c>
    </row>
    <row r="121" spans="1:20" x14ac:dyDescent="0.25">
      <c r="A121" s="4" t="s">
        <v>19</v>
      </c>
      <c r="B121" s="4">
        <v>2020</v>
      </c>
      <c r="C121" s="4">
        <v>1</v>
      </c>
      <c r="D121" s="4">
        <v>24</v>
      </c>
      <c r="E121" s="4">
        <v>8</v>
      </c>
      <c r="F121" s="4">
        <v>126436</v>
      </c>
      <c r="G121" s="4" t="s">
        <v>20</v>
      </c>
      <c r="H121" s="4">
        <v>0</v>
      </c>
      <c r="I121" s="4">
        <v>41.1051</v>
      </c>
      <c r="J121" s="4">
        <v>14.4681</v>
      </c>
      <c r="K121" s="4">
        <v>31.776399999999999</v>
      </c>
      <c r="L121" s="4">
        <v>81.156700000000001</v>
      </c>
      <c r="M121" s="4">
        <v>3.1619999999999999</v>
      </c>
      <c r="N121" s="4">
        <v>1.7050000000000001</v>
      </c>
      <c r="O121" s="4">
        <v>3.0310999999999999</v>
      </c>
      <c r="P121" s="4">
        <v>1.1022000000000001</v>
      </c>
      <c r="Q121" s="4">
        <v>0</v>
      </c>
      <c r="R121" s="4">
        <v>0</v>
      </c>
      <c r="S121" s="4">
        <v>20210325</v>
      </c>
      <c r="T121">
        <f t="shared" si="3"/>
        <v>177.50660000000005</v>
      </c>
    </row>
    <row r="122" spans="1:20" x14ac:dyDescent="0.25">
      <c r="A122" s="4" t="s">
        <v>19</v>
      </c>
      <c r="B122" s="4">
        <v>2020</v>
      </c>
      <c r="C122" s="4">
        <v>1</v>
      </c>
      <c r="D122" s="4">
        <v>24</v>
      </c>
      <c r="E122" s="4">
        <v>9</v>
      </c>
      <c r="F122" s="4">
        <v>126436</v>
      </c>
      <c r="G122" s="4" t="s">
        <v>20</v>
      </c>
      <c r="H122" s="4">
        <v>0</v>
      </c>
      <c r="I122" s="4">
        <v>162.0573</v>
      </c>
      <c r="J122" s="4">
        <v>230.79300000000001</v>
      </c>
      <c r="K122" s="4">
        <v>116.2574</v>
      </c>
      <c r="L122" s="4">
        <v>75.343900000000005</v>
      </c>
      <c r="M122" s="4">
        <v>1.5474000000000001</v>
      </c>
      <c r="N122" s="4">
        <v>0.77939999999999998</v>
      </c>
      <c r="O122" s="4">
        <v>1.0206</v>
      </c>
      <c r="P122" s="4">
        <v>0.28239999999999998</v>
      </c>
      <c r="Q122" s="4">
        <v>0</v>
      </c>
      <c r="R122" s="4">
        <v>0</v>
      </c>
      <c r="S122" s="4">
        <v>20210325</v>
      </c>
      <c r="T122">
        <f t="shared" si="3"/>
        <v>588.08140000000003</v>
      </c>
    </row>
    <row r="123" spans="1:20" x14ac:dyDescent="0.25">
      <c r="A123" s="4" t="s">
        <v>19</v>
      </c>
      <c r="B123" s="4">
        <v>2020</v>
      </c>
      <c r="C123" s="4">
        <v>1</v>
      </c>
      <c r="D123" s="4">
        <v>25</v>
      </c>
      <c r="E123" s="4">
        <v>10</v>
      </c>
      <c r="F123" s="4">
        <v>126436</v>
      </c>
      <c r="G123" s="4" t="s">
        <v>20</v>
      </c>
      <c r="H123" s="4">
        <v>0</v>
      </c>
      <c r="I123" s="4">
        <v>48.702399999999997</v>
      </c>
      <c r="J123" s="4">
        <v>198.93469999999999</v>
      </c>
      <c r="K123" s="4">
        <v>204.6413</v>
      </c>
      <c r="L123" s="4">
        <v>52.533200000000001</v>
      </c>
      <c r="M123" s="4">
        <v>4.9824000000000002</v>
      </c>
      <c r="N123" s="4">
        <v>0.1414</v>
      </c>
      <c r="O123" s="4">
        <v>0.1857</v>
      </c>
      <c r="P123" s="4">
        <v>0</v>
      </c>
      <c r="Q123" s="4">
        <v>0</v>
      </c>
      <c r="R123" s="4">
        <v>0</v>
      </c>
      <c r="S123" s="4">
        <v>20210325</v>
      </c>
      <c r="T123">
        <f t="shared" si="3"/>
        <v>510.12109999999996</v>
      </c>
    </row>
    <row r="124" spans="1:20" x14ac:dyDescent="0.25">
      <c r="A124" s="4" t="s">
        <v>19</v>
      </c>
      <c r="B124" s="4">
        <v>2020</v>
      </c>
      <c r="C124" s="4">
        <v>1</v>
      </c>
      <c r="D124" s="4">
        <v>25</v>
      </c>
      <c r="E124" s="4">
        <v>11</v>
      </c>
      <c r="F124" s="4">
        <v>126436</v>
      </c>
      <c r="G124" s="4" t="s">
        <v>20</v>
      </c>
      <c r="H124" s="4">
        <v>0</v>
      </c>
      <c r="I124" s="4">
        <v>29.633199999999999</v>
      </c>
      <c r="J124" s="4">
        <v>252.25370000000001</v>
      </c>
      <c r="K124" s="4">
        <v>390.66860000000003</v>
      </c>
      <c r="L124" s="4">
        <v>107.39100000000001</v>
      </c>
      <c r="M124" s="4">
        <v>10.7255</v>
      </c>
      <c r="N124" s="4">
        <v>0.42249999999999999</v>
      </c>
      <c r="O124" s="4">
        <v>0.3513</v>
      </c>
      <c r="P124" s="4">
        <v>0</v>
      </c>
      <c r="Q124" s="4">
        <v>0</v>
      </c>
      <c r="R124" s="4">
        <v>0</v>
      </c>
      <c r="S124" s="4">
        <v>20210325</v>
      </c>
      <c r="T124">
        <f t="shared" si="3"/>
        <v>791.44580000000008</v>
      </c>
    </row>
    <row r="125" spans="1:20" x14ac:dyDescent="0.25">
      <c r="A125" s="4" t="s">
        <v>19</v>
      </c>
      <c r="B125" s="4">
        <v>2020</v>
      </c>
      <c r="C125" s="4">
        <v>1</v>
      </c>
      <c r="D125" s="4">
        <v>25</v>
      </c>
      <c r="E125" s="4">
        <v>12</v>
      </c>
      <c r="F125" s="4">
        <v>126436</v>
      </c>
      <c r="G125" s="4" t="s">
        <v>20</v>
      </c>
      <c r="H125" s="4">
        <v>0</v>
      </c>
      <c r="I125" s="4">
        <v>16.099399999999999</v>
      </c>
      <c r="J125" s="4">
        <v>270.43540000000002</v>
      </c>
      <c r="K125" s="4">
        <v>620.65790000000004</v>
      </c>
      <c r="L125" s="4">
        <v>196.97550000000001</v>
      </c>
      <c r="M125" s="4">
        <v>21.0716</v>
      </c>
      <c r="N125" s="4">
        <v>0.6825</v>
      </c>
      <c r="O125" s="4">
        <v>0.93479999999999996</v>
      </c>
      <c r="P125" s="4">
        <v>0</v>
      </c>
      <c r="Q125" s="4">
        <v>0</v>
      </c>
      <c r="R125" s="4">
        <v>0</v>
      </c>
      <c r="S125" s="4">
        <v>20210325</v>
      </c>
      <c r="T125">
        <f t="shared" si="3"/>
        <v>1126.8570999999999</v>
      </c>
    </row>
    <row r="126" spans="1:20" x14ac:dyDescent="0.25">
      <c r="A126" s="4" t="s">
        <v>19</v>
      </c>
      <c r="B126" s="4">
        <v>2020</v>
      </c>
      <c r="C126" s="4">
        <v>1</v>
      </c>
      <c r="D126" s="4">
        <v>25</v>
      </c>
      <c r="E126" s="4">
        <v>9</v>
      </c>
      <c r="F126" s="4">
        <v>126436</v>
      </c>
      <c r="G126" s="4" t="s">
        <v>20</v>
      </c>
      <c r="H126" s="4">
        <v>0</v>
      </c>
      <c r="I126" s="4">
        <v>23.886299999999999</v>
      </c>
      <c r="J126" s="4">
        <v>168.54660000000001</v>
      </c>
      <c r="K126" s="4">
        <v>127.89579999999999</v>
      </c>
      <c r="L126" s="4">
        <v>30.5503</v>
      </c>
      <c r="M126" s="4">
        <v>3.5442</v>
      </c>
      <c r="N126" s="4">
        <v>0.22969999999999999</v>
      </c>
      <c r="O126" s="4">
        <v>0.1706</v>
      </c>
      <c r="P126" s="4">
        <v>0</v>
      </c>
      <c r="Q126" s="4">
        <v>0</v>
      </c>
      <c r="R126" s="4">
        <v>0</v>
      </c>
      <c r="S126" s="4">
        <v>20210325</v>
      </c>
      <c r="T126">
        <f t="shared" si="3"/>
        <v>354.82349999999997</v>
      </c>
    </row>
    <row r="127" spans="1:20" x14ac:dyDescent="0.25">
      <c r="A127" s="4" t="s">
        <v>19</v>
      </c>
      <c r="B127" s="4">
        <v>2020</v>
      </c>
      <c r="C127" s="4">
        <v>1</v>
      </c>
      <c r="D127" s="4">
        <v>26</v>
      </c>
      <c r="E127" s="4">
        <v>10</v>
      </c>
      <c r="F127" s="4">
        <v>126436</v>
      </c>
      <c r="G127" s="4" t="s">
        <v>20</v>
      </c>
      <c r="H127" s="4">
        <v>0</v>
      </c>
      <c r="I127" s="4">
        <v>26.258600000000001</v>
      </c>
      <c r="J127" s="4">
        <v>106.0111</v>
      </c>
      <c r="K127" s="4">
        <v>341.90179999999998</v>
      </c>
      <c r="L127" s="4">
        <v>233.08690000000001</v>
      </c>
      <c r="M127" s="4">
        <v>53.7667</v>
      </c>
      <c r="N127" s="4">
        <v>0.125</v>
      </c>
      <c r="O127" s="4">
        <v>0</v>
      </c>
      <c r="P127" s="4">
        <v>0</v>
      </c>
      <c r="Q127" s="4">
        <v>0</v>
      </c>
      <c r="R127" s="4">
        <v>0</v>
      </c>
      <c r="S127" s="4">
        <v>20210325</v>
      </c>
      <c r="T127">
        <f t="shared" si="3"/>
        <v>761.15009999999995</v>
      </c>
    </row>
    <row r="128" spans="1:20" x14ac:dyDescent="0.25">
      <c r="A128" s="4" t="s">
        <v>19</v>
      </c>
      <c r="B128" s="4">
        <v>2020</v>
      </c>
      <c r="C128" s="4">
        <v>1</v>
      </c>
      <c r="D128" s="4">
        <v>26</v>
      </c>
      <c r="E128" s="4">
        <v>11</v>
      </c>
      <c r="F128" s="4">
        <v>126436</v>
      </c>
      <c r="G128" s="4" t="s">
        <v>20</v>
      </c>
      <c r="H128" s="4">
        <v>0</v>
      </c>
      <c r="I128" s="4">
        <v>10.0718</v>
      </c>
      <c r="J128" s="4">
        <v>47.804299999999998</v>
      </c>
      <c r="K128" s="4">
        <v>152.42660000000001</v>
      </c>
      <c r="L128" s="4">
        <v>90.791499999999999</v>
      </c>
      <c r="M128" s="4">
        <v>18.530799999999999</v>
      </c>
      <c r="N128" s="4">
        <v>0.15379999999999999</v>
      </c>
      <c r="O128" s="4">
        <v>0</v>
      </c>
      <c r="P128" s="4">
        <v>0.15379999999999999</v>
      </c>
      <c r="Q128" s="4">
        <v>0</v>
      </c>
      <c r="R128" s="4">
        <v>0</v>
      </c>
      <c r="S128" s="4">
        <v>20210325</v>
      </c>
      <c r="T128">
        <f t="shared" si="3"/>
        <v>319.93259999999998</v>
      </c>
    </row>
    <row r="129" spans="1:20" x14ac:dyDescent="0.25">
      <c r="A129" s="4" t="s">
        <v>19</v>
      </c>
      <c r="B129" s="4">
        <v>2020</v>
      </c>
      <c r="C129" s="4">
        <v>1</v>
      </c>
      <c r="D129" s="4">
        <v>26</v>
      </c>
      <c r="E129" s="4">
        <v>12</v>
      </c>
      <c r="F129" s="4">
        <v>126436</v>
      </c>
      <c r="G129" s="4" t="s">
        <v>20</v>
      </c>
      <c r="H129" s="4">
        <v>0</v>
      </c>
      <c r="I129" s="4">
        <v>0</v>
      </c>
      <c r="J129" s="4">
        <v>4.1054000000000004</v>
      </c>
      <c r="K129" s="4">
        <v>16.1831</v>
      </c>
      <c r="L129" s="4">
        <v>9.5759000000000007</v>
      </c>
      <c r="M129" s="4">
        <v>1.6758999999999999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20210325</v>
      </c>
      <c r="T129">
        <f t="shared" si="3"/>
        <v>31.540299999999998</v>
      </c>
    </row>
    <row r="130" spans="1:20" x14ac:dyDescent="0.25">
      <c r="A130" s="4" t="s">
        <v>19</v>
      </c>
      <c r="B130" s="4">
        <v>2020</v>
      </c>
      <c r="C130" s="4">
        <v>1</v>
      </c>
      <c r="D130" s="4">
        <v>26</v>
      </c>
      <c r="E130" s="4">
        <v>13</v>
      </c>
      <c r="F130" s="4">
        <v>126436</v>
      </c>
      <c r="G130" s="4" t="s">
        <v>20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20210325</v>
      </c>
      <c r="T130">
        <f t="shared" ref="T130:T139" si="4">SUM(I130:R130)</f>
        <v>0</v>
      </c>
    </row>
    <row r="131" spans="1:20" x14ac:dyDescent="0.25">
      <c r="A131" s="4" t="s">
        <v>19</v>
      </c>
      <c r="B131" s="4">
        <v>2020</v>
      </c>
      <c r="C131" s="4">
        <v>1</v>
      </c>
      <c r="D131" s="4">
        <v>26</v>
      </c>
      <c r="E131" s="4">
        <v>14</v>
      </c>
      <c r="F131" s="4">
        <v>126436</v>
      </c>
      <c r="G131" s="4" t="s">
        <v>20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20210325</v>
      </c>
      <c r="T131">
        <f t="shared" si="4"/>
        <v>0</v>
      </c>
    </row>
    <row r="132" spans="1:20" x14ac:dyDescent="0.25">
      <c r="A132" s="4" t="s">
        <v>19</v>
      </c>
      <c r="B132" s="4">
        <v>2020</v>
      </c>
      <c r="C132" s="4">
        <v>1</v>
      </c>
      <c r="D132" s="4">
        <v>26</v>
      </c>
      <c r="E132" s="4">
        <v>9</v>
      </c>
      <c r="F132" s="4">
        <v>126436</v>
      </c>
      <c r="G132" s="4" t="s">
        <v>20</v>
      </c>
      <c r="H132" s="4">
        <v>0</v>
      </c>
      <c r="I132" s="4">
        <v>1.2111000000000001</v>
      </c>
      <c r="J132" s="4">
        <v>22.790099999999999</v>
      </c>
      <c r="K132" s="4">
        <v>64.401899999999998</v>
      </c>
      <c r="L132" s="4">
        <v>43.569699999999997</v>
      </c>
      <c r="M132" s="4">
        <v>12.027200000000001</v>
      </c>
      <c r="N132" s="4">
        <v>0.16669999999999999</v>
      </c>
      <c r="O132" s="4">
        <v>0</v>
      </c>
      <c r="P132" s="4">
        <v>5.5599999999999997E-2</v>
      </c>
      <c r="Q132" s="4">
        <v>0</v>
      </c>
      <c r="R132" s="4">
        <v>0</v>
      </c>
      <c r="S132" s="4">
        <v>20210325</v>
      </c>
      <c r="T132">
        <f t="shared" si="4"/>
        <v>144.22229999999999</v>
      </c>
    </row>
    <row r="133" spans="1:20" x14ac:dyDescent="0.25">
      <c r="A133" s="4" t="s">
        <v>19</v>
      </c>
      <c r="B133" s="4">
        <v>2020</v>
      </c>
      <c r="C133" s="4">
        <v>1</v>
      </c>
      <c r="D133" s="4">
        <v>27</v>
      </c>
      <c r="E133" s="4">
        <v>10</v>
      </c>
      <c r="F133" s="4">
        <v>126436</v>
      </c>
      <c r="G133" s="4" t="s">
        <v>20</v>
      </c>
      <c r="H133" s="4">
        <v>0</v>
      </c>
      <c r="I133" s="4">
        <v>3</v>
      </c>
      <c r="J133" s="4">
        <v>2.625</v>
      </c>
      <c r="K133" s="4">
        <v>1.875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20210325</v>
      </c>
      <c r="T133">
        <f t="shared" si="4"/>
        <v>7.5</v>
      </c>
    </row>
    <row r="134" spans="1:20" x14ac:dyDescent="0.25">
      <c r="A134" s="4" t="s">
        <v>19</v>
      </c>
      <c r="B134" s="4">
        <v>2020</v>
      </c>
      <c r="C134" s="4">
        <v>1</v>
      </c>
      <c r="D134" s="4">
        <v>27</v>
      </c>
      <c r="E134" s="4">
        <v>11</v>
      </c>
      <c r="F134" s="4">
        <v>126436</v>
      </c>
      <c r="G134" s="4" t="s">
        <v>20</v>
      </c>
      <c r="H134" s="4">
        <v>0</v>
      </c>
      <c r="I134" s="4">
        <v>1.5713999999999999</v>
      </c>
      <c r="J134" s="4">
        <v>3.3571</v>
      </c>
      <c r="K134" s="4">
        <v>8.3571000000000009</v>
      </c>
      <c r="L134" s="4">
        <v>1.5713999999999999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20210325</v>
      </c>
      <c r="T134">
        <f t="shared" si="4"/>
        <v>14.857000000000001</v>
      </c>
    </row>
    <row r="135" spans="1:20" x14ac:dyDescent="0.25">
      <c r="A135" s="4" t="s">
        <v>19</v>
      </c>
      <c r="B135" s="4">
        <v>2020</v>
      </c>
      <c r="C135" s="4">
        <v>1</v>
      </c>
      <c r="D135" s="4">
        <v>27</v>
      </c>
      <c r="E135" s="4">
        <v>13</v>
      </c>
      <c r="F135" s="4">
        <v>126436</v>
      </c>
      <c r="G135" s="4" t="s">
        <v>20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20210325</v>
      </c>
      <c r="T135">
        <f t="shared" si="4"/>
        <v>0</v>
      </c>
    </row>
    <row r="136" spans="1:20" x14ac:dyDescent="0.25">
      <c r="A136" s="4" t="s">
        <v>19</v>
      </c>
      <c r="B136" s="4">
        <v>2020</v>
      </c>
      <c r="C136" s="4">
        <v>1</v>
      </c>
      <c r="D136" s="4">
        <v>28</v>
      </c>
      <c r="E136" s="4">
        <v>10</v>
      </c>
      <c r="F136" s="4">
        <v>126436</v>
      </c>
      <c r="G136" s="4" t="s">
        <v>20</v>
      </c>
      <c r="H136" s="4">
        <v>0</v>
      </c>
      <c r="I136" s="4">
        <v>5.1429</v>
      </c>
      <c r="J136" s="4">
        <v>7.6662999999999997</v>
      </c>
      <c r="K136" s="4">
        <v>17.572500000000002</v>
      </c>
      <c r="L136" s="4">
        <v>3.1335000000000002</v>
      </c>
      <c r="M136" s="4">
        <v>0.1991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20210325</v>
      </c>
      <c r="T136">
        <f t="shared" si="4"/>
        <v>33.714300000000001</v>
      </c>
    </row>
    <row r="137" spans="1:20" x14ac:dyDescent="0.25">
      <c r="A137" t="s">
        <v>19</v>
      </c>
      <c r="B137">
        <v>2020</v>
      </c>
      <c r="C137">
        <v>1</v>
      </c>
      <c r="D137">
        <v>28</v>
      </c>
      <c r="E137">
        <v>11</v>
      </c>
      <c r="F137">
        <v>126436</v>
      </c>
      <c r="G137" t="s">
        <v>20</v>
      </c>
      <c r="H137">
        <v>0</v>
      </c>
      <c r="I137">
        <v>0.22220000000000001</v>
      </c>
      <c r="J137">
        <v>3.4373</v>
      </c>
      <c r="K137">
        <v>16.671600000000002</v>
      </c>
      <c r="L137">
        <v>3.5493000000000001</v>
      </c>
      <c r="M137">
        <v>0.78620000000000001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20210325</v>
      </c>
      <c r="T137">
        <f t="shared" si="4"/>
        <v>24.666600000000003</v>
      </c>
    </row>
    <row r="138" spans="1:20" x14ac:dyDescent="0.25">
      <c r="A138" t="s">
        <v>19</v>
      </c>
      <c r="B138">
        <v>2020</v>
      </c>
      <c r="C138">
        <v>1</v>
      </c>
      <c r="D138">
        <v>28</v>
      </c>
      <c r="E138">
        <v>12</v>
      </c>
      <c r="F138">
        <v>126436</v>
      </c>
      <c r="G138" t="s">
        <v>20</v>
      </c>
      <c r="H138">
        <v>0</v>
      </c>
      <c r="I138">
        <v>0</v>
      </c>
      <c r="J138">
        <v>7.0699999999999999E-2</v>
      </c>
      <c r="K138">
        <v>0.1515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20210325</v>
      </c>
      <c r="T138">
        <f t="shared" si="4"/>
        <v>0.22220000000000001</v>
      </c>
    </row>
    <row r="139" spans="1:20" x14ac:dyDescent="0.25">
      <c r="A139" t="s">
        <v>19</v>
      </c>
      <c r="B139">
        <v>2020</v>
      </c>
      <c r="C139">
        <v>1</v>
      </c>
      <c r="D139">
        <v>28</v>
      </c>
      <c r="E139">
        <v>9</v>
      </c>
      <c r="F139">
        <v>126436</v>
      </c>
      <c r="G139" t="s">
        <v>20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20210325</v>
      </c>
      <c r="T139">
        <f t="shared" si="4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 me</vt:lpstr>
      <vt:lpstr>CPUE per area</vt:lpstr>
      <vt:lpstr>CPUE per area and depth strata</vt:lpstr>
      <vt:lpstr>CPUE per age per subarea_2020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Henrik Degel</dc:creator>
  <cp:lastModifiedBy>Henrik Degel</cp:lastModifiedBy>
  <dcterms:created xsi:type="dcterms:W3CDTF">2017-03-02T19:30:48Z</dcterms:created>
  <dcterms:modified xsi:type="dcterms:W3CDTF">2021-03-30T05:55:38Z</dcterms:modified>
</cp:coreProperties>
</file>