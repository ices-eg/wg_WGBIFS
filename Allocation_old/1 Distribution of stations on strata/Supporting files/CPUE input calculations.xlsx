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1 Distribution of stations on strata\Supporting files\"/>
    </mc:Choice>
  </mc:AlternateContent>
  <bookViews>
    <workbookView xWindow="480" yWindow="120" windowWidth="25440" windowHeight="12585" firstSheet="3" activeTab="3"/>
  </bookViews>
  <sheets>
    <sheet name="Mean CPUE per age per subarea" sheetId="4" r:id="rId1"/>
    <sheet name="DATRAS CPUE per age per subarea" sheetId="1" r:id="rId2"/>
    <sheet name="Mean CPUE per age per area" sheetId="6" r:id="rId3"/>
    <sheet name="DATRAS CPUE per age per area" sheetId="5" r:id="rId4"/>
  </sheets>
  <calcPr calcId="162913"/>
  <pivotCaches>
    <pivotCache cacheId="31" r:id="rId5"/>
    <pivotCache cacheId="32" r:id="rId6"/>
  </pivotCaches>
</workbook>
</file>

<file path=xl/calcChain.xml><?xml version="1.0" encoding="utf-8"?>
<calcChain xmlns="http://schemas.openxmlformats.org/spreadsheetml/2006/main">
  <c r="I6" i="4" l="1"/>
  <c r="I6" i="6" l="1"/>
  <c r="I7" i="6"/>
  <c r="I8" i="6"/>
  <c r="I9" i="6"/>
  <c r="I10" i="6"/>
  <c r="I11" i="6"/>
  <c r="I12" i="6"/>
  <c r="I5" i="6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5" i="5"/>
  <c r="R4" i="5"/>
  <c r="R3" i="5"/>
  <c r="R2" i="5"/>
  <c r="I10" i="4"/>
  <c r="I11" i="4"/>
  <c r="I12" i="4"/>
  <c r="I14" i="4"/>
  <c r="I15" i="4"/>
  <c r="I17" i="4"/>
  <c r="I18" i="4"/>
  <c r="I19" i="4"/>
  <c r="I21" i="4"/>
  <c r="I22" i="4"/>
  <c r="I23" i="4"/>
  <c r="I24" i="4"/>
  <c r="I26" i="4"/>
  <c r="I27" i="4"/>
  <c r="I28" i="4"/>
  <c r="I29" i="4"/>
  <c r="I30" i="4"/>
  <c r="I31" i="4"/>
  <c r="I33" i="4"/>
  <c r="I34" i="4"/>
  <c r="I35" i="4"/>
  <c r="I36" i="4"/>
  <c r="I38" i="4"/>
  <c r="I39" i="4"/>
  <c r="I40" i="4"/>
  <c r="I41" i="4"/>
  <c r="I7" i="4"/>
  <c r="I8" i="4"/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2" i="1"/>
</calcChain>
</file>

<file path=xl/sharedStrings.xml><?xml version="1.0" encoding="utf-8"?>
<sst xmlns="http://schemas.openxmlformats.org/spreadsheetml/2006/main" count="404" uniqueCount="33">
  <si>
    <t>Survey</t>
  </si>
  <si>
    <t>Year</t>
  </si>
  <si>
    <t>Quarter</t>
  </si>
  <si>
    <t>Area</t>
  </si>
  <si>
    <t>SubArea</t>
  </si>
  <si>
    <t>AphiaID</t>
  </si>
  <si>
    <t>Species</t>
  </si>
  <si>
    <t>Age_0</t>
  </si>
  <si>
    <t>Age_1</t>
  </si>
  <si>
    <t>Age_2</t>
  </si>
  <si>
    <t>Age_3</t>
  </si>
  <si>
    <t>Age_4</t>
  </si>
  <si>
    <t>Age_5</t>
  </si>
  <si>
    <t>Age_6</t>
  </si>
  <si>
    <t>Age_7</t>
  </si>
  <si>
    <t>Age_8</t>
  </si>
  <si>
    <t>Age_9</t>
  </si>
  <si>
    <t>Age_10</t>
  </si>
  <si>
    <t>DateofCalculation</t>
  </si>
  <si>
    <t>BITS</t>
  </si>
  <si>
    <t>Gadus morhua</t>
  </si>
  <si>
    <t>Column Labels</t>
  </si>
  <si>
    <t>Grand Total</t>
  </si>
  <si>
    <t>Row Labels</t>
  </si>
  <si>
    <t>Age_1+</t>
  </si>
  <si>
    <t>Average of Age_1+</t>
  </si>
  <si>
    <t>Sum of Age_1+</t>
  </si>
  <si>
    <t>I download the CPUE per length per subarea (depth layer) of last 5 years. Then I sum up the CPUE values over the total length range for each year, SD and depth layer to get estimates of age group 1 +. The I calculate the mean over the 6 years. The estimates are used as running mean of CPUE by SD and depth layer.</t>
  </si>
  <si>
    <t>The same procedure is used based on the downloaded CPUE per length per area (SD).</t>
  </si>
  <si>
    <t>Mean(5 years)</t>
  </si>
  <si>
    <t>age 1+</t>
  </si>
  <si>
    <t>Sum of age 1+</t>
  </si>
  <si>
    <t>mean(5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</si>
</sst>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1F497D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33" borderId="0" xfId="0" applyFill="1"/>
    <xf numFmtId="0" fontId="0" fillId="0" borderId="0" xfId="0" applyFill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enrik Degel" refreshedDate="42796.850058449076" createdVersion="4" refreshedVersion="4" minRefreshableVersion="3" recordCount="135">
  <cacheSource type="worksheet">
    <worksheetSource ref="A1:T136" sheet="DATRAS CPUE per age per subarea"/>
  </cacheSource>
  <cacheFields count="20">
    <cacheField name="Survey" numFmtId="0">
      <sharedItems/>
    </cacheField>
    <cacheField name="Year" numFmtId="0">
      <sharedItems containsSemiMixedTypes="0" containsString="0" containsNumber="1" containsInteger="1" minValue="2011" maxValue="2015" count="5">
        <n v="2011"/>
        <n v="2012"/>
        <n v="2013"/>
        <n v="2014"/>
        <n v="2015"/>
      </sharedItems>
    </cacheField>
    <cacheField name="Quarter" numFmtId="0">
      <sharedItems containsSemiMixedTypes="0" containsString="0" containsNumber="1" containsInteger="1" minValue="1" maxValue="1"/>
    </cacheField>
    <cacheField name="Area" numFmtId="0">
      <sharedItems containsSemiMixedTypes="0" containsString="0" containsNumber="1" containsInteger="1" minValue="21" maxValue="28" count="8">
        <n v="21"/>
        <n v="22"/>
        <n v="23"/>
        <n v="24"/>
        <n v="25"/>
        <n v="26"/>
        <n v="27"/>
        <n v="28"/>
      </sharedItems>
    </cacheField>
    <cacheField name="SubArea" numFmtId="0">
      <sharedItems containsSemiMixedTypes="0" containsString="0" containsNumber="1" containsInteger="1" minValue="8" maxValue="14" count="7">
        <n v="10"/>
        <n v="11"/>
        <n v="9"/>
        <n v="8"/>
        <n v="12"/>
        <n v="13"/>
        <n v="14"/>
      </sharedItems>
    </cacheField>
    <cacheField name="AphiaID" numFmtId="0">
      <sharedItems containsSemiMixedTypes="0" containsString="0" containsNumber="1" containsInteger="1" minValue="126436" maxValue="126436"/>
    </cacheField>
    <cacheField name="Species" numFmtId="0">
      <sharedItems/>
    </cacheField>
    <cacheField name="Age_0" numFmtId="0">
      <sharedItems containsSemiMixedTypes="0" containsString="0" containsNumber="1" containsInteger="1" minValue="0" maxValue="0"/>
    </cacheField>
    <cacheField name="Age_1" numFmtId="0">
      <sharedItems containsSemiMixedTypes="0" containsString="0" containsNumber="1" minValue="0" maxValue="1005.7243999999999"/>
    </cacheField>
    <cacheField name="Age_2" numFmtId="0">
      <sharedItems containsSemiMixedTypes="0" containsString="0" containsNumber="1" minValue="0" maxValue="2206.7676999999999"/>
    </cacheField>
    <cacheField name="Age_3" numFmtId="0">
      <sharedItems containsSemiMixedTypes="0" containsString="0" containsNumber="1" minValue="0" maxValue="4834.6733000000004"/>
    </cacheField>
    <cacheField name="Age_4" numFmtId="0">
      <sharedItems containsSemiMixedTypes="0" containsString="0" containsNumber="1" minValue="0" maxValue="824.57360000000006"/>
    </cacheField>
    <cacheField name="Age_5" numFmtId="0">
      <sharedItems containsSemiMixedTypes="0" containsString="0" containsNumber="1" minValue="0" maxValue="374.91230000000002"/>
    </cacheField>
    <cacheField name="Age_6" numFmtId="0">
      <sharedItems containsSemiMixedTypes="0" containsString="0" containsNumber="1" minValue="0" maxValue="85.188500000000005"/>
    </cacheField>
    <cacheField name="Age_7" numFmtId="0">
      <sharedItems containsSemiMixedTypes="0" containsString="0" containsNumber="1" minValue="0" maxValue="19.2973"/>
    </cacheField>
    <cacheField name="Age_8" numFmtId="0">
      <sharedItems containsSemiMixedTypes="0" containsString="0" containsNumber="1" minValue="0" maxValue="5.6360999999999999"/>
    </cacheField>
    <cacheField name="Age_9" numFmtId="0">
      <sharedItems containsSemiMixedTypes="0" containsString="0" containsNumber="1" minValue="0" maxValue="1.6400999999999999"/>
    </cacheField>
    <cacheField name="Age_10" numFmtId="0">
      <sharedItems containsSemiMixedTypes="0" containsString="0" containsNumber="1" minValue="0" maxValue="1.5461"/>
    </cacheField>
    <cacheField name="DateofCalculation" numFmtId="0">
      <sharedItems containsSemiMixedTypes="0" containsString="0" containsNumber="1" containsInteger="1" minValue="20140611" maxValue="20160126"/>
    </cacheField>
    <cacheField name="Age_1+" numFmtId="0">
      <sharedItems containsSemiMixedTypes="0" containsString="0" containsNumber="1" minValue="0" maxValue="5333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enrik Degel" refreshedDate="42796.886265624998" createdVersion="4" refreshedVersion="4" minRefreshableVersion="3" recordCount="41">
  <cacheSource type="worksheet">
    <worksheetSource ref="A1:R1048576" sheet="DATRAS CPUE per age per area"/>
  </cacheSource>
  <cacheFields count="18">
    <cacheField name="Survey" numFmtId="0">
      <sharedItems containsBlank="1"/>
    </cacheField>
    <cacheField name="Year" numFmtId="0">
      <sharedItems containsString="0" containsBlank="1" containsNumber="1" containsInteger="1" minValue="2011" maxValue="2015" count="6">
        <n v="2011"/>
        <n v="2012"/>
        <n v="2013"/>
        <n v="2014"/>
        <n v="2015"/>
        <m/>
      </sharedItems>
    </cacheField>
    <cacheField name="Quarter" numFmtId="0">
      <sharedItems containsString="0" containsBlank="1" containsNumber="1" containsInteger="1" minValue="1" maxValue="1"/>
    </cacheField>
    <cacheField name="Area" numFmtId="0">
      <sharedItems containsString="0" containsBlank="1" containsNumber="1" containsInteger="1" minValue="21" maxValue="28" count="9">
        <n v="21"/>
        <n v="22"/>
        <n v="23"/>
        <n v="24"/>
        <n v="25"/>
        <n v="26"/>
        <n v="27"/>
        <n v="28"/>
        <m/>
      </sharedItems>
    </cacheField>
    <cacheField name="AphiaID" numFmtId="0">
      <sharedItems containsString="0" containsBlank="1" containsNumber="1" containsInteger="1" minValue="126436" maxValue="126436"/>
    </cacheField>
    <cacheField name="Species" numFmtId="0">
      <sharedItems containsBlank="1"/>
    </cacheField>
    <cacheField name="Age_0" numFmtId="0">
      <sharedItems containsString="0" containsBlank="1" containsNumber="1" containsInteger="1" minValue="0" maxValue="0"/>
    </cacheField>
    <cacheField name="Age_1" numFmtId="0">
      <sharedItems containsString="0" containsBlank="1" containsNumber="1" minValue="0" maxValue="412.74733700000002"/>
    </cacheField>
    <cacheField name="Age_2" numFmtId="0">
      <sharedItems containsString="0" containsBlank="1" containsNumber="1" minValue="0.21026" maxValue="1263.0838900000001"/>
    </cacheField>
    <cacheField name="Age_3" numFmtId="0">
      <sharedItems containsString="0" containsBlank="1" containsNumber="1" minValue="5.2565000000000001E-2" maxValue="1988.0576189999999"/>
    </cacheField>
    <cacheField name="Age_4" numFmtId="0">
      <sharedItems containsString="0" containsBlank="1" containsNumber="1" minValue="0" maxValue="429.76055200000002"/>
    </cacheField>
    <cacheField name="Age_5" numFmtId="0">
      <sharedItems containsString="0" containsBlank="1" containsNumber="1" minValue="0" maxValue="207.94400200000001"/>
    </cacheField>
    <cacheField name="Age_6" numFmtId="0">
      <sharedItems containsString="0" containsBlank="1" containsNumber="1" minValue="0" maxValue="51.700843999999996"/>
    </cacheField>
    <cacheField name="Age_7" numFmtId="0">
      <sharedItems containsString="0" containsBlank="1" containsNumber="1" minValue="0" maxValue="11.054693"/>
    </cacheField>
    <cacheField name="Age_8" numFmtId="0">
      <sharedItems containsString="0" containsBlank="1" containsNumber="1" minValue="0" maxValue="3.2840929999999999"/>
    </cacheField>
    <cacheField name="Age_9" numFmtId="0">
      <sharedItems containsString="0" containsBlank="1" containsNumber="1" minValue="0" maxValue="0.952098"/>
    </cacheField>
    <cacheField name="Age_10" numFmtId="0">
      <sharedItems containsString="0" containsBlank="1" containsNumber="1" minValue="0" maxValue="0.67112099999999997"/>
    </cacheField>
    <cacheField name="age 1+" numFmtId="0">
      <sharedItems containsString="0" containsBlank="1" containsNumber="1" minValue="0.39423699999999995" maxValue="2303.147348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5">
  <r>
    <s v="BITS"/>
    <x v="0"/>
    <n v="1"/>
    <x v="0"/>
    <x v="0"/>
    <n v="126436"/>
    <s v="Gadus morhua"/>
    <n v="0"/>
    <n v="9.1428999999999991"/>
    <n v="4.6768000000000001"/>
    <n v="4.7054"/>
    <n v="0"/>
    <n v="0.77500000000000002"/>
    <n v="0"/>
    <n v="0"/>
    <n v="0"/>
    <n v="0"/>
    <n v="0"/>
    <n v="20140611"/>
    <n v="19.300099999999997"/>
  </r>
  <r>
    <s v="BITS"/>
    <x v="0"/>
    <n v="1"/>
    <x v="0"/>
    <x v="1"/>
    <n v="126436"/>
    <s v="Gadus morhua"/>
    <n v="0"/>
    <n v="7.5429000000000004"/>
    <n v="3.4171"/>
    <n v="0.24"/>
    <n v="0"/>
    <n v="0"/>
    <n v="0"/>
    <n v="0"/>
    <n v="0"/>
    <n v="0"/>
    <n v="0"/>
    <n v="20140611"/>
    <n v="11.200000000000001"/>
  </r>
  <r>
    <s v="BITS"/>
    <x v="0"/>
    <n v="1"/>
    <x v="0"/>
    <x v="2"/>
    <n v="126436"/>
    <s v="Gadus morhua"/>
    <n v="0"/>
    <n v="61.144799999999996"/>
    <n v="19.215"/>
    <n v="18.420200000000001"/>
    <n v="0"/>
    <n v="0"/>
    <n v="0"/>
    <n v="0"/>
    <n v="0"/>
    <n v="0"/>
    <n v="0"/>
    <n v="20140611"/>
    <n v="98.78"/>
  </r>
  <r>
    <s v="BITS"/>
    <x v="0"/>
    <n v="1"/>
    <x v="1"/>
    <x v="0"/>
    <n v="126436"/>
    <s v="Gadus morhua"/>
    <n v="0"/>
    <n v="253.8349"/>
    <n v="637.87840000000006"/>
    <n v="689.4366"/>
    <n v="0"/>
    <n v="0"/>
    <n v="4.6500000000000004"/>
    <n v="0"/>
    <n v="0"/>
    <n v="0"/>
    <n v="0"/>
    <n v="20140611"/>
    <n v="1585.7999000000002"/>
  </r>
  <r>
    <s v="BITS"/>
    <x v="0"/>
    <n v="1"/>
    <x v="1"/>
    <x v="3"/>
    <n v="126436"/>
    <s v="Gadus morhua"/>
    <n v="0"/>
    <n v="137.72030000000001"/>
    <n v="35.186599999999999"/>
    <n v="79.426400000000001"/>
    <n v="0"/>
    <n v="0"/>
    <n v="0"/>
    <n v="0"/>
    <n v="0"/>
    <n v="0"/>
    <n v="0"/>
    <n v="20140611"/>
    <n v="252.33330000000001"/>
  </r>
  <r>
    <s v="BITS"/>
    <x v="0"/>
    <n v="1"/>
    <x v="1"/>
    <x v="2"/>
    <n v="126436"/>
    <s v="Gadus morhua"/>
    <n v="0"/>
    <n v="108.9247"/>
    <n v="109.64619999999999"/>
    <n v="252.55099999999999"/>
    <n v="1.1793"/>
    <n v="1.0941000000000001"/>
    <n v="0.18240000000000001"/>
    <n v="0"/>
    <n v="0.27350000000000002"/>
    <n v="0"/>
    <n v="0.18240000000000001"/>
    <n v="20140611"/>
    <n v="474.03359999999998"/>
  </r>
  <r>
    <s v="BITS"/>
    <x v="0"/>
    <n v="1"/>
    <x v="2"/>
    <x v="3"/>
    <n v="126436"/>
    <s v="Gadus morhua"/>
    <n v="0"/>
    <n v="45.4"/>
    <n v="75.284999999999997"/>
    <n v="768.37329999999997"/>
    <n v="0.77500000000000002"/>
    <n v="0.51670000000000005"/>
    <n v="0"/>
    <n v="0"/>
    <n v="0"/>
    <n v="0"/>
    <n v="0"/>
    <n v="20140611"/>
    <n v="890.34999999999991"/>
  </r>
  <r>
    <s v="BITS"/>
    <x v="0"/>
    <n v="1"/>
    <x v="2"/>
    <x v="2"/>
    <n v="126436"/>
    <s v="Gadus morhua"/>
    <n v="0"/>
    <n v="124.2"/>
    <n v="340.31"/>
    <n v="4834.6733000000004"/>
    <n v="6.2"/>
    <n v="23.25"/>
    <n v="5.1666999999999996"/>
    <n v="0"/>
    <n v="0"/>
    <n v="0"/>
    <n v="0"/>
    <n v="20140611"/>
    <n v="5333.8"/>
  </r>
  <r>
    <s v="BITS"/>
    <x v="0"/>
    <n v="1"/>
    <x v="3"/>
    <x v="0"/>
    <n v="126436"/>
    <s v="Gadus morhua"/>
    <n v="0"/>
    <n v="66.270899999999997"/>
    <n v="865.30269999999996"/>
    <n v="317.79340000000002"/>
    <n v="38.844900000000003"/>
    <n v="8.3386999999999993"/>
    <n v="3.3668"/>
    <n v="0.37369999999999998"/>
    <n v="0.25679999999999997"/>
    <n v="0.16070000000000001"/>
    <n v="4.7199999999999999E-2"/>
    <n v="20140611"/>
    <n v="1300.7558000000001"/>
  </r>
  <r>
    <s v="BITS"/>
    <x v="0"/>
    <n v="1"/>
    <x v="3"/>
    <x v="3"/>
    <n v="126436"/>
    <s v="Gadus morhua"/>
    <n v="0"/>
    <n v="13.0954"/>
    <n v="26.810500000000001"/>
    <n v="17.377300000000002"/>
    <n v="2.7052"/>
    <n v="0.68200000000000005"/>
    <n v="0.12839999999999999"/>
    <n v="3.1E-2"/>
    <n v="0"/>
    <n v="0"/>
    <n v="0"/>
    <n v="20140611"/>
    <n v="60.829800000000006"/>
  </r>
  <r>
    <s v="BITS"/>
    <x v="0"/>
    <n v="1"/>
    <x v="3"/>
    <x v="2"/>
    <n v="126436"/>
    <s v="Gadus morhua"/>
    <n v="0"/>
    <n v="18.090399999999999"/>
    <n v="185.078"/>
    <n v="106.6614"/>
    <n v="16.2942"/>
    <n v="4.3996000000000004"/>
    <n v="0.95579999999999998"/>
    <n v="3.5200000000000002E-2"/>
    <n v="0"/>
    <n v="0"/>
    <n v="3.1300000000000001E-2"/>
    <n v="20140611"/>
    <n v="331.54589999999996"/>
  </r>
  <r>
    <s v="BITS"/>
    <x v="0"/>
    <n v="1"/>
    <x v="4"/>
    <x v="0"/>
    <n v="126436"/>
    <s v="Gadus morhua"/>
    <n v="0"/>
    <n v="13.643800000000001"/>
    <n v="317.21949999999998"/>
    <n v="650.70540000000005"/>
    <n v="245.60470000000001"/>
    <n v="99.950100000000006"/>
    <n v="14.868499999999999"/>
    <n v="4.2638999999999996"/>
    <n v="1.4985999999999999"/>
    <n v="0.2331"/>
    <n v="6.6699999999999995E-2"/>
    <n v="20140611"/>
    <n v="1348.0543"/>
  </r>
  <r>
    <s v="BITS"/>
    <x v="0"/>
    <n v="1"/>
    <x v="4"/>
    <x v="1"/>
    <n v="126436"/>
    <s v="Gadus morhua"/>
    <n v="0"/>
    <n v="47.2301"/>
    <n v="845.55870000000004"/>
    <n v="1458.9135000000001"/>
    <n v="456.31689999999998"/>
    <n v="192.6617"/>
    <n v="41.652500000000003"/>
    <n v="11.8917"/>
    <n v="3.8208000000000002"/>
    <n v="0.60089999999999999"/>
    <n v="0.21390000000000001"/>
    <n v="20140611"/>
    <n v="3058.8607000000002"/>
  </r>
  <r>
    <s v="BITS"/>
    <x v="0"/>
    <n v="1"/>
    <x v="4"/>
    <x v="4"/>
    <n v="126436"/>
    <s v="Gadus morhua"/>
    <n v="0"/>
    <n v="0.85519999999999996"/>
    <n v="22.318999999999999"/>
    <n v="153.07570000000001"/>
    <n v="108.7467"/>
    <n v="61.8735"/>
    <n v="16.8916"/>
    <n v="4.9459"/>
    <n v="1.5394000000000001"/>
    <n v="1.3899999999999999E-2"/>
    <n v="7.22E-2"/>
    <n v="20140611"/>
    <n v="370.3331"/>
  </r>
  <r>
    <s v="BITS"/>
    <x v="0"/>
    <n v="1"/>
    <x v="4"/>
    <x v="2"/>
    <n v="126436"/>
    <s v="Gadus morhua"/>
    <n v="0"/>
    <n v="1.8757999999999999"/>
    <n v="8.9686000000000003"/>
    <n v="48.531100000000002"/>
    <n v="18.649100000000001"/>
    <n v="7.0511999999999997"/>
    <n v="1.1681999999999999"/>
    <n v="0.40010000000000001"/>
    <n v="5.9700000000000003E-2"/>
    <n v="0"/>
    <n v="0"/>
    <n v="20140611"/>
    <n v="86.703800000000001"/>
  </r>
  <r>
    <s v="BITS"/>
    <x v="0"/>
    <n v="1"/>
    <x v="5"/>
    <x v="0"/>
    <n v="126436"/>
    <s v="Gadus morhua"/>
    <n v="0"/>
    <n v="8.1242000000000001"/>
    <n v="59.497900000000001"/>
    <n v="118.3835"/>
    <n v="62.955399999999997"/>
    <n v="17.299299999999999"/>
    <n v="6.9050000000000002"/>
    <n v="1.6955"/>
    <n v="1.0366"/>
    <n v="0.39190000000000003"/>
    <n v="0.16289999999999999"/>
    <n v="20140611"/>
    <n v="276.4522"/>
  </r>
  <r>
    <s v="BITS"/>
    <x v="0"/>
    <n v="1"/>
    <x v="5"/>
    <x v="1"/>
    <n v="126436"/>
    <s v="Gadus morhua"/>
    <n v="0"/>
    <n v="7.1056999999999997"/>
    <n v="112.18049999999999"/>
    <n v="295.81599999999997"/>
    <n v="184.75790000000001"/>
    <n v="62.125100000000003"/>
    <n v="25.166399999999999"/>
    <n v="6.6020000000000003"/>
    <n v="3.3292999999999999"/>
    <n v="1.3905000000000001"/>
    <n v="0.83930000000000005"/>
    <n v="20140611"/>
    <n v="699.31269999999984"/>
  </r>
  <r>
    <s v="BITS"/>
    <x v="0"/>
    <n v="1"/>
    <x v="5"/>
    <x v="4"/>
    <n v="126436"/>
    <s v="Gadus morhua"/>
    <n v="0"/>
    <n v="10.4222"/>
    <n v="159.78890000000001"/>
    <n v="363.19049999999999"/>
    <n v="215.29599999999999"/>
    <n v="65.951999999999998"/>
    <n v="24.9434"/>
    <n v="6.1421999999999999"/>
    <n v="3.9432"/>
    <n v="1.6325000000000001"/>
    <n v="1.5461"/>
    <n v="20140611"/>
    <n v="852.85700000000008"/>
  </r>
  <r>
    <s v="BITS"/>
    <x v="0"/>
    <n v="1"/>
    <x v="5"/>
    <x v="5"/>
    <n v="126436"/>
    <s v="Gadus morhua"/>
    <n v="0"/>
    <n v="0.84889999999999999"/>
    <n v="11.0693"/>
    <n v="19.681799999999999"/>
    <n v="17.244700000000002"/>
    <n v="10.1625"/>
    <n v="4.0468000000000002"/>
    <n v="1.7065999999999999"/>
    <n v="1.4320999999999999"/>
    <n v="0.89049999999999996"/>
    <n v="0.41670000000000001"/>
    <n v="20140611"/>
    <n v="67.499900000000011"/>
  </r>
  <r>
    <s v="BITS"/>
    <x v="0"/>
    <n v="1"/>
    <x v="5"/>
    <x v="6"/>
    <n v="126436"/>
    <s v="Gadus morhua"/>
    <n v="0"/>
    <n v="0"/>
    <n v="0"/>
    <n v="0"/>
    <n v="0"/>
    <n v="0"/>
    <n v="0"/>
    <n v="0"/>
    <n v="0"/>
    <n v="0"/>
    <n v="0"/>
    <n v="20140611"/>
    <n v="0"/>
  </r>
  <r>
    <s v="BITS"/>
    <x v="0"/>
    <n v="1"/>
    <x v="5"/>
    <x v="2"/>
    <n v="126436"/>
    <s v="Gadus morhua"/>
    <n v="0"/>
    <n v="16.104299999999999"/>
    <n v="9.0107999999999997"/>
    <n v="15.234"/>
    <n v="9.7528000000000006"/>
    <n v="2.3260999999999998"/>
    <n v="0.95079999999999998"/>
    <n v="0.39169999999999999"/>
    <n v="8.6599999999999996E-2"/>
    <n v="0.1429"/>
    <n v="0"/>
    <n v="20140611"/>
    <n v="53.999999999999993"/>
  </r>
  <r>
    <s v="BITS"/>
    <x v="0"/>
    <n v="1"/>
    <x v="6"/>
    <x v="0"/>
    <n v="126436"/>
    <s v="Gadus morhua"/>
    <n v="0"/>
    <n v="0"/>
    <n v="1.5"/>
    <n v="0"/>
    <n v="0"/>
    <n v="0"/>
    <n v="0"/>
    <n v="0"/>
    <n v="0"/>
    <n v="0"/>
    <n v="0"/>
    <n v="20140611"/>
    <n v="1.5"/>
  </r>
  <r>
    <s v="BITS"/>
    <x v="0"/>
    <n v="1"/>
    <x v="6"/>
    <x v="1"/>
    <n v="126436"/>
    <s v="Gadus morhua"/>
    <n v="0"/>
    <n v="0"/>
    <n v="0.375"/>
    <n v="1.125"/>
    <n v="0"/>
    <n v="0"/>
    <n v="0"/>
    <n v="0"/>
    <n v="0"/>
    <n v="0"/>
    <n v="0"/>
    <n v="20140611"/>
    <n v="1.5"/>
  </r>
  <r>
    <s v="BITS"/>
    <x v="0"/>
    <n v="1"/>
    <x v="6"/>
    <x v="4"/>
    <n v="126436"/>
    <s v="Gadus morhua"/>
    <n v="0"/>
    <n v="0"/>
    <n v="0"/>
    <n v="0"/>
    <n v="0"/>
    <n v="0"/>
    <n v="0"/>
    <n v="0"/>
    <n v="0"/>
    <n v="0"/>
    <n v="0"/>
    <n v="20140611"/>
    <n v="0"/>
  </r>
  <r>
    <s v="BITS"/>
    <x v="0"/>
    <n v="1"/>
    <x v="6"/>
    <x v="5"/>
    <n v="126436"/>
    <s v="Gadus morhua"/>
    <n v="0"/>
    <n v="0"/>
    <n v="0"/>
    <n v="0"/>
    <n v="0"/>
    <n v="0"/>
    <n v="0"/>
    <n v="0"/>
    <n v="0"/>
    <n v="0"/>
    <n v="0"/>
    <n v="20140611"/>
    <n v="0"/>
  </r>
  <r>
    <s v="BITS"/>
    <x v="0"/>
    <n v="1"/>
    <x v="7"/>
    <x v="0"/>
    <n v="126436"/>
    <s v="Gadus morhua"/>
    <n v="0"/>
    <n v="1.3332999999999999"/>
    <n v="1.9698"/>
    <n v="3.1004999999999998"/>
    <n v="2.6171000000000002"/>
    <n v="1.6829000000000001"/>
    <n v="7.4099999999999999E-2"/>
    <n v="0"/>
    <n v="0"/>
    <n v="0"/>
    <n v="0"/>
    <n v="20140611"/>
    <n v="10.777699999999999"/>
  </r>
  <r>
    <s v="BITS"/>
    <x v="0"/>
    <n v="1"/>
    <x v="7"/>
    <x v="1"/>
    <n v="126436"/>
    <s v="Gadus morhua"/>
    <n v="0"/>
    <n v="1.2031000000000001"/>
    <n v="10.6038"/>
    <n v="9.3389000000000006"/>
    <n v="7.2801999999999998"/>
    <n v="3.3239999999999998"/>
    <n v="0.125"/>
    <n v="0"/>
    <n v="0"/>
    <n v="0"/>
    <n v="0"/>
    <n v="20140611"/>
    <n v="31.875"/>
  </r>
  <r>
    <s v="BITS"/>
    <x v="0"/>
    <n v="1"/>
    <x v="7"/>
    <x v="4"/>
    <n v="126436"/>
    <s v="Gadus morhua"/>
    <n v="0"/>
    <n v="0.38890000000000002"/>
    <n v="20.049099999999999"/>
    <n v="11.7644"/>
    <n v="6.9119000000000002"/>
    <n v="2.7189999999999999"/>
    <n v="0"/>
    <n v="0"/>
    <n v="0"/>
    <n v="0"/>
    <n v="0"/>
    <n v="20140611"/>
    <n v="41.833300000000001"/>
  </r>
  <r>
    <s v="BITS"/>
    <x v="0"/>
    <n v="1"/>
    <x v="7"/>
    <x v="2"/>
    <n v="126436"/>
    <s v="Gadus morhua"/>
    <n v="0"/>
    <n v="0.4"/>
    <n v="0.7"/>
    <n v="1.3448"/>
    <n v="1.2638"/>
    <n v="0.42480000000000001"/>
    <n v="6.6699999999999995E-2"/>
    <n v="0"/>
    <n v="0"/>
    <n v="0"/>
    <n v="0"/>
    <n v="20140611"/>
    <n v="4.2000999999999999"/>
  </r>
  <r>
    <s v="BITS"/>
    <x v="1"/>
    <n v="1"/>
    <x v="0"/>
    <x v="0"/>
    <n v="126436"/>
    <s v="Gadus morhua"/>
    <n v="0"/>
    <n v="137.91720000000001"/>
    <n v="7.6452"/>
    <n v="1.64"/>
    <n v="1.24"/>
    <n v="0"/>
    <n v="0"/>
    <n v="0"/>
    <n v="0"/>
    <n v="0"/>
    <n v="0"/>
    <n v="20140611"/>
    <n v="148.44239999999999"/>
  </r>
  <r>
    <s v="BITS"/>
    <x v="1"/>
    <n v="1"/>
    <x v="0"/>
    <x v="1"/>
    <n v="126436"/>
    <s v="Gadus morhua"/>
    <n v="0"/>
    <n v="17.8491"/>
    <n v="1.9509000000000001"/>
    <n v="0"/>
    <n v="0"/>
    <n v="0"/>
    <n v="0"/>
    <n v="0"/>
    <n v="0"/>
    <n v="0"/>
    <n v="0"/>
    <n v="20140611"/>
    <n v="19.8"/>
  </r>
  <r>
    <s v="BITS"/>
    <x v="1"/>
    <n v="1"/>
    <x v="0"/>
    <x v="2"/>
    <n v="126436"/>
    <s v="Gadus morhua"/>
    <n v="0"/>
    <n v="75.694900000000004"/>
    <n v="12.5418"/>
    <n v="2.0556000000000001"/>
    <n v="0.95379999999999998"/>
    <n v="0"/>
    <n v="0"/>
    <n v="0"/>
    <n v="0"/>
    <n v="0"/>
    <n v="0"/>
    <n v="20140611"/>
    <n v="91.246099999999998"/>
  </r>
  <r>
    <s v="BITS"/>
    <x v="1"/>
    <n v="1"/>
    <x v="1"/>
    <x v="3"/>
    <n v="126436"/>
    <s v="Gadus morhua"/>
    <n v="0"/>
    <n v="1.2222"/>
    <n v="1.4749000000000001"/>
    <n v="0.83799999999999997"/>
    <n v="2.9426000000000001"/>
    <n v="0"/>
    <n v="0"/>
    <n v="0"/>
    <n v="0"/>
    <n v="0"/>
    <n v="0"/>
    <n v="20140611"/>
    <n v="6.4777000000000005"/>
  </r>
  <r>
    <s v="BITS"/>
    <x v="1"/>
    <n v="1"/>
    <x v="1"/>
    <x v="2"/>
    <n v="126436"/>
    <s v="Gadus morhua"/>
    <n v="0"/>
    <n v="18.258400000000002"/>
    <n v="37.591999999999999"/>
    <n v="45.966900000000003"/>
    <n v="39.652299999999997"/>
    <n v="0.29520000000000002"/>
    <n v="0.29520000000000002"/>
    <n v="0"/>
    <n v="0"/>
    <n v="0"/>
    <n v="0"/>
    <n v="20140611"/>
    <n v="142.06"/>
  </r>
  <r>
    <s v="BITS"/>
    <x v="1"/>
    <n v="1"/>
    <x v="2"/>
    <x v="3"/>
    <n v="126436"/>
    <s v="Gadus morhua"/>
    <n v="0"/>
    <n v="54.96"/>
    <n v="324.27999999999997"/>
    <n v="369.83"/>
    <n v="168.33"/>
    <n v="0"/>
    <n v="0"/>
    <n v="0"/>
    <n v="0"/>
    <n v="0"/>
    <n v="0"/>
    <n v="20140611"/>
    <n v="917.4"/>
  </r>
  <r>
    <s v="BITS"/>
    <x v="1"/>
    <n v="1"/>
    <x v="2"/>
    <x v="2"/>
    <n v="126436"/>
    <s v="Gadus morhua"/>
    <n v="0"/>
    <n v="69.55"/>
    <n v="96.837500000000006"/>
    <n v="125.67919999999999"/>
    <n v="55.283299999999997"/>
    <n v="0"/>
    <n v="0"/>
    <n v="0"/>
    <n v="0"/>
    <n v="0"/>
    <n v="0"/>
    <n v="20140611"/>
    <n v="347.34999999999997"/>
  </r>
  <r>
    <s v="BITS"/>
    <x v="1"/>
    <n v="1"/>
    <x v="3"/>
    <x v="0"/>
    <n v="126436"/>
    <s v="Gadus morhua"/>
    <n v="0"/>
    <n v="134.47919999999999"/>
    <n v="580.49710000000005"/>
    <n v="575.37249999999995"/>
    <n v="205.26249999999999"/>
    <n v="32.459899999999998"/>
    <n v="4.6044"/>
    <n v="0.1961"/>
    <n v="0.32840000000000003"/>
    <n v="0"/>
    <n v="0"/>
    <n v="20140611"/>
    <n v="1533.2001"/>
  </r>
  <r>
    <s v="BITS"/>
    <x v="1"/>
    <n v="1"/>
    <x v="3"/>
    <x v="3"/>
    <n v="126436"/>
    <s v="Gadus morhua"/>
    <n v="0"/>
    <n v="11.880800000000001"/>
    <n v="30.527000000000001"/>
    <n v="29.335599999999999"/>
    <n v="12.989100000000001"/>
    <n v="2.0247000000000002"/>
    <n v="0.38879999999999998"/>
    <n v="0"/>
    <n v="0"/>
    <n v="0"/>
    <n v="0"/>
    <n v="20140611"/>
    <n v="87.146000000000015"/>
  </r>
  <r>
    <s v="BITS"/>
    <x v="1"/>
    <n v="1"/>
    <x v="3"/>
    <x v="2"/>
    <n v="126436"/>
    <s v="Gadus morhua"/>
    <n v="0"/>
    <n v="33.649299999999997"/>
    <n v="13.7722"/>
    <n v="11.5063"/>
    <n v="3.7423000000000002"/>
    <n v="0.60960000000000003"/>
    <n v="4.3099999999999999E-2"/>
    <n v="0.1409"/>
    <n v="0"/>
    <n v="0"/>
    <n v="0"/>
    <n v="20140611"/>
    <n v="63.463699999999996"/>
  </r>
  <r>
    <s v="BITS"/>
    <x v="1"/>
    <n v="1"/>
    <x v="4"/>
    <x v="0"/>
    <n v="126436"/>
    <s v="Gadus morhua"/>
    <n v="0"/>
    <n v="15.7523"/>
    <n v="233.74600000000001"/>
    <n v="491.18239999999997"/>
    <n v="246.96449999999999"/>
    <n v="73.703400000000002"/>
    <n v="10.7598"/>
    <n v="1.5233000000000001"/>
    <n v="0.1731"/>
    <n v="0.1086"/>
    <n v="0"/>
    <n v="20140611"/>
    <n v="1073.9134000000001"/>
  </r>
  <r>
    <s v="BITS"/>
    <x v="1"/>
    <n v="1"/>
    <x v="4"/>
    <x v="1"/>
    <n v="126436"/>
    <s v="Gadus morhua"/>
    <n v="0"/>
    <n v="15.683199999999999"/>
    <n v="334.98669999999998"/>
    <n v="1013.6602"/>
    <n v="603.51649999999995"/>
    <n v="194.16810000000001"/>
    <n v="34.049399999999999"/>
    <n v="4.5068999999999999"/>
    <n v="0.58109999999999995"/>
    <n v="0.40110000000000001"/>
    <n v="0"/>
    <n v="20140611"/>
    <n v="2201.5531999999998"/>
  </r>
  <r>
    <s v="BITS"/>
    <x v="1"/>
    <n v="1"/>
    <x v="4"/>
    <x v="4"/>
    <n v="126436"/>
    <s v="Gadus morhua"/>
    <n v="0"/>
    <n v="7.1180000000000003"/>
    <n v="147.07509999999999"/>
    <n v="932.22670000000005"/>
    <n v="736.06349999999998"/>
    <n v="270.70710000000003"/>
    <n v="63.583500000000001"/>
    <n v="8.2279999999999998"/>
    <n v="1.0664"/>
    <n v="0.71260000000000001"/>
    <n v="0.14810000000000001"/>
    <n v="20140611"/>
    <n v="2166.9290000000001"/>
  </r>
  <r>
    <s v="BITS"/>
    <x v="1"/>
    <n v="1"/>
    <x v="4"/>
    <x v="2"/>
    <n v="126436"/>
    <s v="Gadus morhua"/>
    <n v="0"/>
    <n v="0.1333"/>
    <n v="5.7064000000000004"/>
    <n v="36.9146"/>
    <n v="26.249600000000001"/>
    <n v="8.4016000000000002"/>
    <n v="1.3882000000000001"/>
    <n v="0.11509999999999999"/>
    <n v="1.84E-2"/>
    <n v="6.1000000000000004E-3"/>
    <n v="0"/>
    <n v="20140611"/>
    <n v="78.933300000000003"/>
  </r>
  <r>
    <s v="BITS"/>
    <x v="1"/>
    <n v="1"/>
    <x v="5"/>
    <x v="0"/>
    <n v="126436"/>
    <s v="Gadus morhua"/>
    <n v="0"/>
    <n v="2.4015"/>
    <n v="223.05369999999999"/>
    <n v="157.21950000000001"/>
    <n v="51.578000000000003"/>
    <n v="4.5637999999999996"/>
    <n v="0.87090000000000001"/>
    <n v="0.31240000000000001"/>
    <n v="0"/>
    <n v="0"/>
    <n v="0"/>
    <n v="20140611"/>
    <n v="439.99980000000005"/>
  </r>
  <r>
    <s v="BITS"/>
    <x v="1"/>
    <n v="1"/>
    <x v="5"/>
    <x v="1"/>
    <n v="126436"/>
    <s v="Gadus morhua"/>
    <n v="0"/>
    <n v="14.9169"/>
    <n v="941.25620000000004"/>
    <n v="1049.6090999999999"/>
    <n v="472.87639999999999"/>
    <n v="93.9833"/>
    <n v="14.4535"/>
    <n v="5.2298999999999998"/>
    <n v="0.60929999999999995"/>
    <n v="0.1293"/>
    <n v="0"/>
    <n v="20140611"/>
    <n v="2593.0639000000001"/>
  </r>
  <r>
    <s v="BITS"/>
    <x v="1"/>
    <n v="1"/>
    <x v="5"/>
    <x v="4"/>
    <n v="126436"/>
    <s v="Gadus morhua"/>
    <n v="0"/>
    <n v="2.2265000000000001"/>
    <n v="267.49810000000002"/>
    <n v="1202.4529"/>
    <n v="521.43449999999996"/>
    <n v="96.789900000000003"/>
    <n v="15.712199999999999"/>
    <n v="5.9459"/>
    <n v="0.54"/>
    <n v="0"/>
    <n v="0"/>
    <n v="20140611"/>
    <n v="2112.6000000000004"/>
  </r>
  <r>
    <s v="BITS"/>
    <x v="1"/>
    <n v="1"/>
    <x v="5"/>
    <x v="5"/>
    <n v="126436"/>
    <s v="Gadus morhua"/>
    <n v="0"/>
    <n v="0"/>
    <n v="0"/>
    <n v="0"/>
    <n v="0"/>
    <n v="0"/>
    <n v="0"/>
    <n v="0"/>
    <n v="0"/>
    <n v="0"/>
    <n v="0"/>
    <n v="20140611"/>
    <n v="0"/>
  </r>
  <r>
    <s v="BITS"/>
    <x v="1"/>
    <n v="1"/>
    <x v="5"/>
    <x v="2"/>
    <n v="126436"/>
    <s v="Gadus morhua"/>
    <n v="0"/>
    <n v="1.4286000000000001"/>
    <n v="1.2194"/>
    <n v="2.2360000000000002"/>
    <n v="1.0204"/>
    <n v="0.36830000000000002"/>
    <n v="1.2999999999999999E-2"/>
    <n v="0"/>
    <n v="0"/>
    <n v="0"/>
    <n v="0"/>
    <n v="20140611"/>
    <n v="6.2857000000000003"/>
  </r>
  <r>
    <s v="BITS"/>
    <x v="1"/>
    <n v="1"/>
    <x v="6"/>
    <x v="0"/>
    <n v="126436"/>
    <s v="Gadus morhua"/>
    <n v="0"/>
    <n v="0"/>
    <n v="0"/>
    <n v="0"/>
    <n v="0"/>
    <n v="0"/>
    <n v="0"/>
    <n v="0"/>
    <n v="0"/>
    <n v="0"/>
    <n v="0"/>
    <n v="20140611"/>
    <n v="0"/>
  </r>
  <r>
    <s v="BITS"/>
    <x v="1"/>
    <n v="1"/>
    <x v="6"/>
    <x v="1"/>
    <n v="126436"/>
    <s v="Gadus morhua"/>
    <n v="0"/>
    <n v="7.5"/>
    <n v="6"/>
    <n v="4"/>
    <n v="0.5"/>
    <n v="0"/>
    <n v="0"/>
    <n v="0"/>
    <n v="0"/>
    <n v="0"/>
    <n v="0"/>
    <n v="20140611"/>
    <n v="18"/>
  </r>
  <r>
    <s v="BITS"/>
    <x v="1"/>
    <n v="1"/>
    <x v="6"/>
    <x v="4"/>
    <n v="126436"/>
    <s v="Gadus morhua"/>
    <n v="0"/>
    <n v="0"/>
    <n v="0"/>
    <n v="0"/>
    <n v="0"/>
    <n v="0"/>
    <n v="0"/>
    <n v="0"/>
    <n v="0"/>
    <n v="0"/>
    <n v="0"/>
    <n v="20140611"/>
    <n v="0"/>
  </r>
  <r>
    <s v="BITS"/>
    <x v="1"/>
    <n v="1"/>
    <x v="6"/>
    <x v="5"/>
    <n v="126436"/>
    <s v="Gadus morhua"/>
    <n v="0"/>
    <n v="0"/>
    <n v="0"/>
    <n v="0"/>
    <n v="0"/>
    <n v="0"/>
    <n v="0"/>
    <n v="0"/>
    <n v="0"/>
    <n v="0"/>
    <n v="0"/>
    <n v="20140611"/>
    <n v="0"/>
  </r>
  <r>
    <s v="BITS"/>
    <x v="1"/>
    <n v="1"/>
    <x v="7"/>
    <x v="0"/>
    <n v="126436"/>
    <s v="Gadus morhua"/>
    <n v="0"/>
    <n v="2.6815000000000002"/>
    <n v="5.28"/>
    <n v="5.4145000000000003"/>
    <n v="1.6344000000000001"/>
    <n v="0.27850000000000003"/>
    <n v="0"/>
    <n v="4.4400000000000002E-2"/>
    <n v="0"/>
    <n v="0"/>
    <n v="0"/>
    <n v="20140611"/>
    <n v="15.333299999999999"/>
  </r>
  <r>
    <s v="BITS"/>
    <x v="1"/>
    <n v="1"/>
    <x v="7"/>
    <x v="1"/>
    <n v="126436"/>
    <s v="Gadus morhua"/>
    <n v="0"/>
    <n v="23.72"/>
    <n v="30.47"/>
    <n v="16.915099999999999"/>
    <n v="4.9317000000000002"/>
    <n v="1.4068000000000001"/>
    <n v="0.43640000000000001"/>
    <n v="0.12"/>
    <n v="0"/>
    <n v="0"/>
    <n v="0"/>
    <n v="20140611"/>
    <n v="78.000000000000014"/>
  </r>
  <r>
    <s v="BITS"/>
    <x v="1"/>
    <n v="1"/>
    <x v="7"/>
    <x v="4"/>
    <n v="126436"/>
    <s v="Gadus morhua"/>
    <n v="0"/>
    <n v="6.8"/>
    <n v="31.494199999999999"/>
    <n v="35.548299999999998"/>
    <n v="11.596399999999999"/>
    <n v="3.1840999999999999"/>
    <n v="0.29699999999999999"/>
    <n v="0.08"/>
    <n v="0"/>
    <n v="0"/>
    <n v="0"/>
    <n v="20140611"/>
    <n v="89"/>
  </r>
  <r>
    <s v="BITS"/>
    <x v="1"/>
    <n v="1"/>
    <x v="7"/>
    <x v="2"/>
    <n v="126436"/>
    <s v="Gadus morhua"/>
    <n v="0"/>
    <n v="3"/>
    <n v="1.125"/>
    <n v="0.54169999999999996"/>
    <n v="0.25"/>
    <n v="8.3299999999999999E-2"/>
    <n v="0"/>
    <n v="0"/>
    <n v="0"/>
    <n v="0"/>
    <n v="0"/>
    <n v="20140611"/>
    <n v="5"/>
  </r>
  <r>
    <s v="BITS"/>
    <x v="2"/>
    <n v="1"/>
    <x v="0"/>
    <x v="0"/>
    <n v="126436"/>
    <s v="Gadus morhua"/>
    <n v="0"/>
    <n v="63.674799999999998"/>
    <n v="14.0586"/>
    <n v="1.7566999999999999"/>
    <n v="0.93"/>
    <n v="0"/>
    <n v="0"/>
    <n v="0"/>
    <n v="0"/>
    <n v="0"/>
    <n v="0"/>
    <n v="20150930"/>
    <n v="80.420100000000005"/>
  </r>
  <r>
    <s v="BITS"/>
    <x v="2"/>
    <n v="1"/>
    <x v="0"/>
    <x v="1"/>
    <n v="126436"/>
    <s v="Gadus morhua"/>
    <n v="0"/>
    <n v="47.7348"/>
    <n v="61.185600000000001"/>
    <n v="5.9130000000000003"/>
    <n v="0"/>
    <n v="0"/>
    <n v="0"/>
    <n v="0"/>
    <n v="0"/>
    <n v="0"/>
    <n v="0"/>
    <n v="20150930"/>
    <n v="114.8334"/>
  </r>
  <r>
    <s v="BITS"/>
    <x v="2"/>
    <n v="1"/>
    <x v="0"/>
    <x v="2"/>
    <n v="126436"/>
    <s v="Gadus morhua"/>
    <n v="0"/>
    <n v="272.7817"/>
    <n v="62.453600000000002"/>
    <n v="13.312799999999999"/>
    <n v="0"/>
    <n v="0.56359999999999999"/>
    <n v="0"/>
    <n v="0"/>
    <n v="0"/>
    <n v="0"/>
    <n v="0"/>
    <n v="20150930"/>
    <n v="349.11169999999998"/>
  </r>
  <r>
    <s v="BITS"/>
    <x v="2"/>
    <n v="1"/>
    <x v="1"/>
    <x v="3"/>
    <n v="126436"/>
    <s v="Gadus morhua"/>
    <n v="0"/>
    <n v="104.1443"/>
    <n v="27.831900000000001"/>
    <n v="13.8634"/>
    <n v="1.3084"/>
    <n v="1.0082"/>
    <n v="0"/>
    <n v="0"/>
    <n v="0"/>
    <n v="0"/>
    <n v="0"/>
    <n v="20150930"/>
    <n v="148.15620000000001"/>
  </r>
  <r>
    <s v="BITS"/>
    <x v="2"/>
    <n v="1"/>
    <x v="1"/>
    <x v="2"/>
    <n v="126436"/>
    <s v="Gadus morhua"/>
    <n v="0"/>
    <n v="178.71340000000001"/>
    <n v="28.4956"/>
    <n v="34.088700000000003"/>
    <n v="3.7921999999999998"/>
    <n v="3.1831999999999998"/>
    <n v="0.77500000000000002"/>
    <n v="0"/>
    <n v="0"/>
    <n v="0"/>
    <n v="0"/>
    <n v="20150930"/>
    <n v="249.04810000000003"/>
  </r>
  <r>
    <s v="BITS"/>
    <x v="2"/>
    <n v="1"/>
    <x v="2"/>
    <x v="3"/>
    <n v="126436"/>
    <s v="Gadus morhua"/>
    <n v="0"/>
    <n v="135.30000000000001"/>
    <n v="462.86500000000001"/>
    <n v="768.07669999999996"/>
    <n v="108.75830000000001"/>
    <n v="53.475000000000001"/>
    <n v="0"/>
    <n v="0"/>
    <n v="0"/>
    <n v="0"/>
    <n v="0"/>
    <n v="20150930"/>
    <n v="1528.4749999999999"/>
  </r>
  <r>
    <s v="BITS"/>
    <x v="2"/>
    <n v="1"/>
    <x v="2"/>
    <x v="2"/>
    <n v="126436"/>
    <s v="Gadus morhua"/>
    <n v="0"/>
    <n v="134.19999999999999"/>
    <n v="77.846699999999998"/>
    <n v="26.453299999999999"/>
    <n v="0"/>
    <n v="3.1"/>
    <n v="0"/>
    <n v="0"/>
    <n v="0"/>
    <n v="0"/>
    <n v="0"/>
    <n v="20150930"/>
    <n v="241.6"/>
  </r>
  <r>
    <s v="BITS"/>
    <x v="2"/>
    <n v="1"/>
    <x v="3"/>
    <x v="0"/>
    <n v="126436"/>
    <s v="Gadus morhua"/>
    <n v="0"/>
    <n v="729.63699999999994"/>
    <n v="361.5949"/>
    <n v="68.501099999999994"/>
    <n v="39.414499999999997"/>
    <n v="4.0400999999999998"/>
    <n v="0.46250000000000002"/>
    <n v="0"/>
    <n v="0.29520000000000002"/>
    <n v="0"/>
    <n v="0"/>
    <n v="20150930"/>
    <n v="1203.9453000000001"/>
  </r>
  <r>
    <s v="BITS"/>
    <x v="2"/>
    <n v="1"/>
    <x v="3"/>
    <x v="3"/>
    <n v="126436"/>
    <s v="Gadus morhua"/>
    <n v="0"/>
    <n v="20.453800000000001"/>
    <n v="13.245900000000001"/>
    <n v="7.0267999999999997"/>
    <n v="3.7299000000000002"/>
    <n v="0.39389999999999997"/>
    <n v="2.3E-2"/>
    <n v="0"/>
    <n v="0"/>
    <n v="0"/>
    <n v="0"/>
    <n v="20150930"/>
    <n v="44.873300000000008"/>
  </r>
  <r>
    <s v="BITS"/>
    <x v="2"/>
    <n v="1"/>
    <x v="3"/>
    <x v="2"/>
    <n v="126436"/>
    <s v="Gadus morhua"/>
    <n v="0"/>
    <n v="91.211799999999997"/>
    <n v="25.1845"/>
    <n v="10.0014"/>
    <n v="5.8097000000000003"/>
    <n v="0.66100000000000003"/>
    <n v="6.2199999999999998E-2"/>
    <n v="0"/>
    <n v="0"/>
    <n v="0"/>
    <n v="0"/>
    <n v="20150930"/>
    <n v="132.9306"/>
  </r>
  <r>
    <s v="BITS"/>
    <x v="2"/>
    <n v="1"/>
    <x v="4"/>
    <x v="0"/>
    <n v="126436"/>
    <s v="Gadus morhua"/>
    <n v="0"/>
    <n v="50.839100000000002"/>
    <n v="2206.7676999999999"/>
    <n v="1194.1274000000001"/>
    <n v="347.96420000000001"/>
    <n v="73.318899999999999"/>
    <n v="33.474800000000002"/>
    <n v="5.0063000000000004"/>
    <n v="0.42049999999999998"/>
    <n v="2.6700000000000002E-2"/>
    <n v="0"/>
    <n v="20150930"/>
    <n v="3911.9456"/>
  </r>
  <r>
    <s v="BITS"/>
    <x v="2"/>
    <n v="1"/>
    <x v="4"/>
    <x v="1"/>
    <n v="126436"/>
    <s v="Gadus morhua"/>
    <n v="0"/>
    <n v="15.3269"/>
    <n v="662.79819999999995"/>
    <n v="562.33429999999998"/>
    <n v="229.49629999999999"/>
    <n v="67.850800000000007"/>
    <n v="29.787800000000001"/>
    <n v="5.63"/>
    <n v="1.0615000000000001"/>
    <n v="0.11310000000000001"/>
    <n v="0.2334"/>
    <n v="20150930"/>
    <n v="1574.6323000000002"/>
  </r>
  <r>
    <s v="BITS"/>
    <x v="2"/>
    <n v="1"/>
    <x v="4"/>
    <x v="4"/>
    <n v="126436"/>
    <s v="Gadus morhua"/>
    <n v="0"/>
    <n v="6.1905999999999999"/>
    <n v="105.5902"/>
    <n v="204.44120000000001"/>
    <n v="119.8943"/>
    <n v="46.803199999999997"/>
    <n v="21.086400000000001"/>
    <n v="4.0568"/>
    <n v="0.57799999999999996"/>
    <n v="1.52E-2"/>
    <n v="0"/>
    <n v="20150930"/>
    <n v="508.65589999999997"/>
  </r>
  <r>
    <s v="BITS"/>
    <x v="2"/>
    <n v="1"/>
    <x v="4"/>
    <x v="2"/>
    <n v="126436"/>
    <s v="Gadus morhua"/>
    <n v="0"/>
    <n v="3.0468000000000002"/>
    <n v="184.9486"/>
    <n v="167.5027"/>
    <n v="68.796599999999998"/>
    <n v="12.8512"/>
    <n v="6.2415000000000003"/>
    <n v="0.7873"/>
    <n v="1.3599999999999999E-2"/>
    <n v="2.5999999999999999E-2"/>
    <n v="0"/>
    <n v="20150930"/>
    <n v="444.21430000000004"/>
  </r>
  <r>
    <s v="BITS"/>
    <x v="2"/>
    <n v="1"/>
    <x v="5"/>
    <x v="0"/>
    <n v="126436"/>
    <s v="Gadus morhua"/>
    <n v="0"/>
    <n v="7.8827999999999996"/>
    <n v="386.9348"/>
    <n v="483.7672"/>
    <n v="145.05539999999999"/>
    <n v="48.6066"/>
    <n v="13.5938"/>
    <n v="1.196"/>
    <n v="1.4612000000000001"/>
    <n v="5.21E-2"/>
    <n v="9.3299999999999994E-2"/>
    <n v="20150930"/>
    <n v="1088.6432"/>
  </r>
  <r>
    <s v="BITS"/>
    <x v="2"/>
    <n v="1"/>
    <x v="5"/>
    <x v="1"/>
    <n v="126436"/>
    <s v="Gadus morhua"/>
    <n v="0"/>
    <n v="83.440200000000004"/>
    <n v="882.18889999999999"/>
    <n v="489.42669999999998"/>
    <n v="140.50040000000001"/>
    <n v="50.922699999999999"/>
    <n v="15.749599999999999"/>
    <n v="2.8902000000000001"/>
    <n v="1.7497"/>
    <n v="0.1716"/>
    <n v="0.1986"/>
    <n v="20150930"/>
    <n v="1667.2386000000001"/>
  </r>
  <r>
    <s v="BITS"/>
    <x v="2"/>
    <n v="1"/>
    <x v="5"/>
    <x v="4"/>
    <n v="126436"/>
    <s v="Gadus morhua"/>
    <n v="0"/>
    <n v="4.8312999999999997"/>
    <n v="151.93209999999999"/>
    <n v="275.73700000000002"/>
    <n v="104.1947"/>
    <n v="47.7898"/>
    <n v="18.6281"/>
    <n v="5.5807000000000002"/>
    <n v="2.3037000000000001"/>
    <n v="0.21129999999999999"/>
    <n v="0.42280000000000001"/>
    <n v="20150930"/>
    <n v="611.63150000000019"/>
  </r>
  <r>
    <s v="BITS"/>
    <x v="2"/>
    <n v="1"/>
    <x v="5"/>
    <x v="5"/>
    <n v="126436"/>
    <s v="Gadus morhua"/>
    <n v="0"/>
    <n v="0.12989999999999999"/>
    <n v="14.8453"/>
    <n v="25.777100000000001"/>
    <n v="14.628299999999999"/>
    <n v="8.4591999999999992"/>
    <n v="4.0587999999999997"/>
    <n v="1.3781000000000001"/>
    <n v="0.41670000000000001"/>
    <n v="7.3099999999999998E-2"/>
    <n v="0.4"/>
    <n v="20150930"/>
    <n v="70.166500000000013"/>
  </r>
  <r>
    <s v="BITS"/>
    <x v="2"/>
    <n v="1"/>
    <x v="5"/>
    <x v="2"/>
    <n v="126436"/>
    <s v="Gadus morhua"/>
    <n v="0"/>
    <n v="1.0238"/>
    <n v="28.3185"/>
    <n v="70.0929"/>
    <n v="22.989100000000001"/>
    <n v="9.9558999999999997"/>
    <n v="2.4769000000000001"/>
    <n v="0.1142"/>
    <n v="0.2787"/>
    <n v="0"/>
    <n v="0"/>
    <n v="20150930"/>
    <n v="135.25"/>
  </r>
  <r>
    <s v="BITS"/>
    <x v="2"/>
    <n v="1"/>
    <x v="6"/>
    <x v="0"/>
    <n v="126436"/>
    <s v="Gadus morhua"/>
    <n v="0"/>
    <n v="0"/>
    <n v="8.8800000000000008"/>
    <n v="18.369900000000001"/>
    <n v="1.75"/>
    <n v="0"/>
    <n v="0"/>
    <n v="0"/>
    <n v="0"/>
    <n v="0"/>
    <n v="0"/>
    <n v="20150930"/>
    <n v="28.999900000000004"/>
  </r>
  <r>
    <s v="BITS"/>
    <x v="2"/>
    <n v="1"/>
    <x v="6"/>
    <x v="1"/>
    <n v="126436"/>
    <s v="Gadus morhua"/>
    <n v="0"/>
    <n v="4.5"/>
    <n v="69.584699999999998"/>
    <n v="23.165299999999998"/>
    <n v="2.75"/>
    <n v="1.875"/>
    <n v="0.625"/>
    <n v="0"/>
    <n v="0"/>
    <n v="0"/>
    <n v="0"/>
    <n v="20150930"/>
    <n v="102.5"/>
  </r>
  <r>
    <s v="BITS"/>
    <x v="2"/>
    <n v="1"/>
    <x v="6"/>
    <x v="4"/>
    <n v="126436"/>
    <s v="Gadus morhua"/>
    <n v="0"/>
    <n v="0"/>
    <n v="439.49439999999998"/>
    <n v="66.005600000000001"/>
    <n v="0"/>
    <n v="0.5"/>
    <n v="0"/>
    <n v="0"/>
    <n v="0"/>
    <n v="0"/>
    <n v="0"/>
    <n v="20150930"/>
    <n v="506"/>
  </r>
  <r>
    <s v="BITS"/>
    <x v="2"/>
    <n v="1"/>
    <x v="6"/>
    <x v="5"/>
    <n v="126436"/>
    <s v="Gadus morhua"/>
    <n v="0"/>
    <n v="0"/>
    <n v="0"/>
    <n v="0"/>
    <n v="0"/>
    <n v="0"/>
    <n v="0"/>
    <n v="0"/>
    <n v="0"/>
    <n v="0"/>
    <n v="0"/>
    <n v="20150930"/>
    <n v="0"/>
  </r>
  <r>
    <s v="BITS"/>
    <x v="2"/>
    <n v="1"/>
    <x v="7"/>
    <x v="0"/>
    <n v="126436"/>
    <s v="Gadus morhua"/>
    <n v="0"/>
    <n v="4.3250000000000002"/>
    <n v="34.210900000000002"/>
    <n v="17.436"/>
    <n v="6.8003"/>
    <n v="1.9333"/>
    <n v="0.49440000000000001"/>
    <n v="0"/>
    <n v="0"/>
    <n v="0"/>
    <n v="0"/>
    <n v="20150930"/>
    <n v="65.1999"/>
  </r>
  <r>
    <s v="BITS"/>
    <x v="2"/>
    <n v="1"/>
    <x v="7"/>
    <x v="1"/>
    <n v="126436"/>
    <s v="Gadus morhua"/>
    <n v="0"/>
    <n v="3.8462000000000001"/>
    <n v="27.481300000000001"/>
    <n v="10.951499999999999"/>
    <n v="3.8792"/>
    <n v="1.7649999999999999"/>
    <n v="0.3846"/>
    <n v="0"/>
    <n v="0"/>
    <n v="0"/>
    <n v="0"/>
    <n v="20150930"/>
    <n v="48.307799999999993"/>
  </r>
  <r>
    <s v="BITS"/>
    <x v="2"/>
    <n v="1"/>
    <x v="7"/>
    <x v="4"/>
    <n v="126436"/>
    <s v="Gadus morhua"/>
    <n v="0"/>
    <n v="0"/>
    <n v="2.7355999999999998"/>
    <n v="2.6093999999999999"/>
    <n v="1.3203"/>
    <n v="0.3347"/>
    <n v="0"/>
    <n v="0"/>
    <n v="0"/>
    <n v="0"/>
    <n v="0"/>
    <n v="20150930"/>
    <n v="7"/>
  </r>
  <r>
    <s v="BITS"/>
    <x v="2"/>
    <n v="1"/>
    <x v="7"/>
    <x v="2"/>
    <n v="126436"/>
    <s v="Gadus morhua"/>
    <n v="0"/>
    <n v="0"/>
    <n v="0"/>
    <n v="0.86670000000000003"/>
    <n v="0.7"/>
    <n v="0.26669999999999999"/>
    <n v="0.16669999999999999"/>
    <n v="0"/>
    <n v="0"/>
    <n v="0"/>
    <n v="0"/>
    <n v="20150930"/>
    <n v="2.0000999999999998"/>
  </r>
  <r>
    <s v="BITS"/>
    <x v="3"/>
    <n v="1"/>
    <x v="0"/>
    <x v="0"/>
    <n v="126436"/>
    <s v="Gadus morhua"/>
    <n v="0"/>
    <n v="20.758600000000001"/>
    <n v="19.101400000000002"/>
    <n v="1.86"/>
    <n v="1.24"/>
    <n v="0"/>
    <n v="0"/>
    <n v="0"/>
    <n v="0"/>
    <n v="0"/>
    <n v="0"/>
    <n v="20160122"/>
    <n v="42.96"/>
  </r>
  <r>
    <s v="BITS"/>
    <x v="3"/>
    <n v="1"/>
    <x v="0"/>
    <x v="1"/>
    <n v="126436"/>
    <s v="Gadus morhua"/>
    <n v="0"/>
    <n v="13.346299999999999"/>
    <n v="11.053699999999999"/>
    <n v="12.4"/>
    <n v="0"/>
    <n v="0"/>
    <n v="0"/>
    <n v="0"/>
    <n v="0"/>
    <n v="0"/>
    <n v="0"/>
    <n v="20160122"/>
    <n v="36.799999999999997"/>
  </r>
  <r>
    <s v="BITS"/>
    <x v="3"/>
    <n v="1"/>
    <x v="0"/>
    <x v="2"/>
    <n v="126436"/>
    <s v="Gadus morhua"/>
    <n v="0"/>
    <n v="130.423"/>
    <n v="1086.1355000000001"/>
    <n v="15.7742"/>
    <n v="1.0730999999999999"/>
    <n v="0"/>
    <n v="0.23849999999999999"/>
    <n v="0"/>
    <n v="0"/>
    <n v="0"/>
    <n v="0.23849999999999999"/>
    <n v="20160122"/>
    <n v="1233.8828000000001"/>
  </r>
  <r>
    <s v="BITS"/>
    <x v="3"/>
    <n v="1"/>
    <x v="1"/>
    <x v="3"/>
    <n v="126436"/>
    <s v="Gadus morhua"/>
    <n v="0"/>
    <n v="11.1952"/>
    <n v="11.286899999999999"/>
    <n v="1.1236999999999999"/>
    <n v="0.871"/>
    <n v="0.25829999999999997"/>
    <n v="0.46500000000000002"/>
    <n v="0"/>
    <n v="0.31"/>
    <n v="0"/>
    <n v="0"/>
    <n v="20160122"/>
    <n v="25.510099999999994"/>
  </r>
  <r>
    <s v="BITS"/>
    <x v="3"/>
    <n v="1"/>
    <x v="1"/>
    <x v="2"/>
    <n v="126436"/>
    <s v="Gadus morhua"/>
    <n v="0"/>
    <n v="37.585299999999997"/>
    <n v="40.135599999999997"/>
    <n v="8.6245999999999992"/>
    <n v="2.91"/>
    <n v="0.25829999999999997"/>
    <n v="0.51670000000000005"/>
    <n v="0"/>
    <n v="0"/>
    <n v="0"/>
    <n v="0"/>
    <n v="20160122"/>
    <n v="90.030500000000004"/>
  </r>
  <r>
    <s v="BITS"/>
    <x v="3"/>
    <n v="1"/>
    <x v="2"/>
    <x v="3"/>
    <n v="126436"/>
    <s v="Gadus morhua"/>
    <n v="0"/>
    <n v="38.484000000000002"/>
    <n v="988.39739999999995"/>
    <n v="79.533600000000007"/>
    <n v="0"/>
    <n v="0"/>
    <n v="0"/>
    <n v="0"/>
    <n v="0"/>
    <n v="0"/>
    <n v="0"/>
    <n v="20160122"/>
    <n v="1106.415"/>
  </r>
  <r>
    <s v="BITS"/>
    <x v="3"/>
    <n v="1"/>
    <x v="2"/>
    <x v="2"/>
    <n v="126436"/>
    <s v="Gadus morhua"/>
    <n v="0"/>
    <n v="10.980399999999999"/>
    <n v="411.84269999999998"/>
    <n v="103.9624"/>
    <n v="5.6707000000000001"/>
    <n v="0"/>
    <n v="0"/>
    <n v="0"/>
    <n v="0"/>
    <n v="0"/>
    <n v="0"/>
    <n v="20160122"/>
    <n v="532.45619999999997"/>
  </r>
  <r>
    <s v="BITS"/>
    <x v="3"/>
    <n v="1"/>
    <x v="3"/>
    <x v="0"/>
    <n v="126436"/>
    <s v="Gadus morhua"/>
    <n v="0"/>
    <n v="1005.7243999999999"/>
    <n v="881.56179999999995"/>
    <n v="60.529000000000003"/>
    <n v="25.138500000000001"/>
    <n v="2.9218000000000002"/>
    <n v="0.98499999999999999"/>
    <n v="0.16489999999999999"/>
    <n v="0"/>
    <n v="0"/>
    <n v="0"/>
    <n v="20160122"/>
    <n v="1977.0254"/>
  </r>
  <r>
    <s v="BITS"/>
    <x v="3"/>
    <n v="1"/>
    <x v="3"/>
    <x v="3"/>
    <n v="126436"/>
    <s v="Gadus morhua"/>
    <n v="0"/>
    <n v="22.2194"/>
    <n v="103.5401"/>
    <n v="15.410500000000001"/>
    <n v="11.214399999999999"/>
    <n v="1.2747999999999999"/>
    <n v="0.39279999999999998"/>
    <n v="8.3500000000000005E-2"/>
    <n v="0"/>
    <n v="0"/>
    <n v="0"/>
    <n v="20160122"/>
    <n v="154.13550000000001"/>
  </r>
  <r>
    <s v="BITS"/>
    <x v="3"/>
    <n v="1"/>
    <x v="3"/>
    <x v="2"/>
    <n v="126436"/>
    <s v="Gadus morhua"/>
    <n v="0"/>
    <n v="447.41980000000001"/>
    <n v="253.517"/>
    <n v="16.0808"/>
    <n v="6.6162000000000001"/>
    <n v="0.71120000000000005"/>
    <n v="0.1552"/>
    <n v="0"/>
    <n v="0"/>
    <n v="0"/>
    <n v="0"/>
    <n v="20160122"/>
    <n v="724.50019999999995"/>
  </r>
  <r>
    <s v="BITS"/>
    <x v="3"/>
    <n v="1"/>
    <x v="4"/>
    <x v="0"/>
    <n v="126436"/>
    <s v="Gadus morhua"/>
    <n v="0"/>
    <n v="63.417099999999998"/>
    <n v="804.09019999999998"/>
    <n v="802.03989999999999"/>
    <n v="824.57360000000006"/>
    <n v="374.91230000000002"/>
    <n v="85.188500000000005"/>
    <n v="15.007199999999999"/>
    <n v="4.2531999999999996"/>
    <n v="1.3418000000000001"/>
    <n v="0.1789"/>
    <n v="20160122"/>
    <n v="2975.0027000000005"/>
  </r>
  <r>
    <s v="BITS"/>
    <x v="3"/>
    <n v="1"/>
    <x v="4"/>
    <x v="1"/>
    <n v="126436"/>
    <s v="Gadus morhua"/>
    <n v="0"/>
    <n v="44.234200000000001"/>
    <n v="566.81179999999995"/>
    <n v="615.48739999999998"/>
    <n v="633.12530000000004"/>
    <n v="315.09780000000001"/>
    <n v="81.919899999999998"/>
    <n v="19.2973"/>
    <n v="5.6360999999999999"/>
    <n v="1.6400999999999999"/>
    <n v="0.32240000000000002"/>
    <n v="20160122"/>
    <n v="2283.5723000000003"/>
  </r>
  <r>
    <s v="BITS"/>
    <x v="3"/>
    <n v="1"/>
    <x v="4"/>
    <x v="4"/>
    <n v="126436"/>
    <s v="Gadus morhua"/>
    <n v="0"/>
    <n v="3.1476999999999999"/>
    <n v="33.635300000000001"/>
    <n v="72.574799999999996"/>
    <n v="88.803100000000001"/>
    <n v="62.713900000000002"/>
    <n v="20.941500000000001"/>
    <n v="6.6502999999999997"/>
    <n v="2.2740999999999998"/>
    <n v="0.43659999999999999"/>
    <n v="8.1000000000000003E-2"/>
    <n v="20160122"/>
    <n v="291.25830000000002"/>
  </r>
  <r>
    <s v="BITS"/>
    <x v="3"/>
    <n v="1"/>
    <x v="4"/>
    <x v="2"/>
    <n v="126436"/>
    <s v="Gadus morhua"/>
    <n v="0"/>
    <n v="0.69020000000000004"/>
    <n v="2.9866000000000001"/>
    <n v="14.5219"/>
    <n v="16.799099999999999"/>
    <n v="14.96"/>
    <n v="5.9317000000000002"/>
    <n v="1.8263"/>
    <n v="0.69820000000000004"/>
    <n v="0.187"/>
    <n v="1.4200000000000001E-2"/>
    <n v="20160122"/>
    <n v="58.615200000000002"/>
  </r>
  <r>
    <s v="BITS"/>
    <x v="3"/>
    <n v="1"/>
    <x v="5"/>
    <x v="0"/>
    <n v="126436"/>
    <s v="Gadus morhua"/>
    <n v="0"/>
    <n v="55.714300000000001"/>
    <n v="314.49619999999999"/>
    <n v="498.1694"/>
    <n v="250.60659999999999"/>
    <n v="64.352099999999993"/>
    <n v="8.6043000000000003"/>
    <n v="0"/>
    <n v="0"/>
    <n v="0"/>
    <n v="0"/>
    <n v="20160122"/>
    <n v="1191.9429"/>
  </r>
  <r>
    <s v="BITS"/>
    <x v="3"/>
    <n v="1"/>
    <x v="5"/>
    <x v="1"/>
    <n v="126436"/>
    <s v="Gadus morhua"/>
    <n v="0"/>
    <n v="2.2139000000000002"/>
    <n v="76.868799999999993"/>
    <n v="88.631600000000006"/>
    <n v="39.441600000000001"/>
    <n v="9.5394000000000005"/>
    <n v="1.1647000000000001"/>
    <n v="0"/>
    <n v="0"/>
    <n v="0"/>
    <n v="0"/>
    <n v="20160122"/>
    <n v="217.85999999999999"/>
  </r>
  <r>
    <s v="BITS"/>
    <x v="3"/>
    <n v="1"/>
    <x v="5"/>
    <x v="4"/>
    <n v="126436"/>
    <s v="Gadus morhua"/>
    <n v="0"/>
    <n v="2.8397999999999999"/>
    <n v="66.757900000000006"/>
    <n v="110.9632"/>
    <n v="56.334600000000002"/>
    <n v="13.9856"/>
    <n v="1.6902999999999999"/>
    <n v="0"/>
    <n v="0"/>
    <n v="0"/>
    <n v="0"/>
    <n v="20160122"/>
    <n v="252.57140000000001"/>
  </r>
  <r>
    <s v="BITS"/>
    <x v="3"/>
    <n v="1"/>
    <x v="5"/>
    <x v="5"/>
    <n v="126436"/>
    <s v="Gadus morhua"/>
    <n v="0"/>
    <n v="0"/>
    <n v="1.8906000000000001"/>
    <n v="6.7755999999999998"/>
    <n v="3.7624"/>
    <n v="1.4742"/>
    <n v="9.7199999999999995E-2"/>
    <n v="0"/>
    <n v="0"/>
    <n v="0"/>
    <n v="0"/>
    <n v="20160122"/>
    <n v="14"/>
  </r>
  <r>
    <s v="BITS"/>
    <x v="3"/>
    <n v="1"/>
    <x v="5"/>
    <x v="2"/>
    <n v="126436"/>
    <s v="Gadus morhua"/>
    <n v="0"/>
    <n v="18.485700000000001"/>
    <n v="60.956899999999997"/>
    <n v="77.756399999999999"/>
    <n v="32.886200000000002"/>
    <n v="10.023"/>
    <n v="1.0918000000000001"/>
    <n v="0"/>
    <n v="0"/>
    <n v="0"/>
    <n v="0"/>
    <n v="20160122"/>
    <n v="201.20000000000002"/>
  </r>
  <r>
    <s v="BITS"/>
    <x v="3"/>
    <n v="1"/>
    <x v="6"/>
    <x v="1"/>
    <n v="126436"/>
    <s v="Gadus morhua"/>
    <n v="0"/>
    <n v="0.5"/>
    <n v="446.39170000000001"/>
    <n v="242.75829999999999"/>
    <n v="9"/>
    <n v="1.6"/>
    <n v="0"/>
    <n v="0"/>
    <n v="0"/>
    <n v="0"/>
    <n v="0"/>
    <n v="20160122"/>
    <n v="700.25"/>
  </r>
  <r>
    <s v="BITS"/>
    <x v="3"/>
    <n v="1"/>
    <x v="6"/>
    <x v="4"/>
    <n v="126436"/>
    <s v="Gadus morhua"/>
    <n v="0"/>
    <n v="0"/>
    <n v="0"/>
    <n v="0"/>
    <n v="0"/>
    <n v="0"/>
    <n v="0"/>
    <n v="0"/>
    <n v="0"/>
    <n v="0"/>
    <n v="0"/>
    <n v="20160122"/>
    <n v="0"/>
  </r>
  <r>
    <s v="BITS"/>
    <x v="3"/>
    <n v="1"/>
    <x v="7"/>
    <x v="0"/>
    <n v="126436"/>
    <s v="Gadus morhua"/>
    <n v="0"/>
    <n v="2.5"/>
    <n v="12.3515"/>
    <n v="14.1153"/>
    <n v="8.5089000000000006"/>
    <n v="3.339"/>
    <n v="0.96299999999999997"/>
    <n v="0.22220000000000001"/>
    <n v="0"/>
    <n v="0"/>
    <n v="0"/>
    <n v="20160122"/>
    <n v="41.999900000000004"/>
  </r>
  <r>
    <s v="BITS"/>
    <x v="3"/>
    <n v="1"/>
    <x v="7"/>
    <x v="1"/>
    <n v="126436"/>
    <s v="Gadus morhua"/>
    <n v="0"/>
    <n v="0.45829999999999999"/>
    <n v="112.452"/>
    <n v="45.37"/>
    <n v="23.463999999999999"/>
    <n v="4.6074999999999999"/>
    <n v="0.89810000000000001"/>
    <n v="0.16669999999999999"/>
    <n v="0"/>
    <n v="0"/>
    <n v="0"/>
    <n v="20160122"/>
    <n v="187.41659999999996"/>
  </r>
  <r>
    <s v="BITS"/>
    <x v="3"/>
    <n v="1"/>
    <x v="7"/>
    <x v="4"/>
    <n v="126436"/>
    <s v="Gadus morhua"/>
    <n v="0"/>
    <n v="0"/>
    <n v="0"/>
    <n v="0"/>
    <n v="0"/>
    <n v="0"/>
    <n v="0"/>
    <n v="0"/>
    <n v="0"/>
    <n v="0"/>
    <n v="0"/>
    <n v="20160122"/>
    <n v="0"/>
  </r>
  <r>
    <s v="BITS"/>
    <x v="3"/>
    <n v="1"/>
    <x v="7"/>
    <x v="2"/>
    <n v="126436"/>
    <s v="Gadus morhua"/>
    <n v="0"/>
    <n v="0"/>
    <n v="0"/>
    <n v="0"/>
    <n v="0"/>
    <n v="0"/>
    <n v="0"/>
    <n v="0"/>
    <n v="0"/>
    <n v="0"/>
    <n v="0"/>
    <n v="20160122"/>
    <n v="0"/>
  </r>
  <r>
    <s v="BITS"/>
    <x v="4"/>
    <n v="1"/>
    <x v="0"/>
    <x v="0"/>
    <n v="126436"/>
    <s v="Gadus morhua"/>
    <n v="0"/>
    <n v="4.8183999999999996"/>
    <n v="7.6687000000000003"/>
    <n v="10.5406"/>
    <n v="0.68889999999999996"/>
    <n v="0"/>
    <n v="0"/>
    <n v="0"/>
    <n v="0"/>
    <n v="0"/>
    <n v="0"/>
    <n v="20160126"/>
    <n v="23.7166"/>
  </r>
  <r>
    <s v="BITS"/>
    <x v="4"/>
    <n v="1"/>
    <x v="0"/>
    <x v="1"/>
    <n v="126436"/>
    <s v="Gadus morhua"/>
    <n v="0"/>
    <n v="10.594900000000001"/>
    <n v="17.6326"/>
    <n v="30.4575"/>
    <n v="2.0150000000000001"/>
    <n v="0"/>
    <n v="0"/>
    <n v="0"/>
    <n v="0"/>
    <n v="0"/>
    <n v="0"/>
    <n v="20160126"/>
    <n v="60.7"/>
  </r>
  <r>
    <s v="BITS"/>
    <x v="4"/>
    <n v="1"/>
    <x v="0"/>
    <x v="2"/>
    <n v="126436"/>
    <s v="Gadus morhua"/>
    <n v="0"/>
    <n v="49.8386"/>
    <n v="20.6676"/>
    <n v="15.445"/>
    <n v="2.3109000000000002"/>
    <n v="0.28179999999999999"/>
    <n v="0"/>
    <n v="0"/>
    <n v="0"/>
    <n v="0"/>
    <n v="0.38329999999999997"/>
    <n v="20160126"/>
    <n v="88.927200000000013"/>
  </r>
  <r>
    <s v="BITS"/>
    <x v="4"/>
    <n v="1"/>
    <x v="1"/>
    <x v="3"/>
    <n v="126436"/>
    <s v="Gadus morhua"/>
    <n v="0"/>
    <n v="13.130100000000001"/>
    <n v="51.026800000000001"/>
    <n v="13.8607"/>
    <n v="2.8227000000000002"/>
    <n v="2.0667"/>
    <n v="0.22140000000000001"/>
    <n v="0"/>
    <n v="0"/>
    <n v="0"/>
    <n v="0"/>
    <n v="20160126"/>
    <n v="83.128399999999999"/>
  </r>
  <r>
    <s v="BITS"/>
    <x v="4"/>
    <n v="1"/>
    <x v="1"/>
    <x v="2"/>
    <n v="126436"/>
    <s v="Gadus morhua"/>
    <n v="0"/>
    <n v="49.503999999999998"/>
    <n v="107.40170000000001"/>
    <n v="52.506300000000003"/>
    <n v="2.6869000000000001"/>
    <n v="0.86109999999999998"/>
    <n v="0"/>
    <n v="0"/>
    <n v="0"/>
    <n v="0"/>
    <n v="0"/>
    <n v="20160126"/>
    <n v="212.96"/>
  </r>
  <r>
    <s v="BITS"/>
    <x v="4"/>
    <n v="1"/>
    <x v="2"/>
    <x v="3"/>
    <n v="126436"/>
    <s v="Gadus morhua"/>
    <n v="0"/>
    <n v="533.33280000000002"/>
    <n v="1496.3154999999999"/>
    <n v="647.45870000000002"/>
    <n v="23.1235"/>
    <n v="0"/>
    <n v="0"/>
    <n v="0"/>
    <n v="0"/>
    <n v="0"/>
    <n v="0"/>
    <n v="20160126"/>
    <n v="2700.2305000000001"/>
  </r>
  <r>
    <s v="BITS"/>
    <x v="4"/>
    <n v="1"/>
    <x v="2"/>
    <x v="2"/>
    <n v="126436"/>
    <s v="Gadus morhua"/>
    <n v="0"/>
    <n v="59.103000000000002"/>
    <n v="718.74570000000006"/>
    <n v="588.77139999999997"/>
    <n v="6.5635000000000003"/>
    <n v="3.2132000000000001"/>
    <n v="0"/>
    <n v="0"/>
    <n v="0"/>
    <n v="0"/>
    <n v="0"/>
    <n v="20160126"/>
    <n v="1376.3968"/>
  </r>
  <r>
    <s v="BITS"/>
    <x v="4"/>
    <n v="1"/>
    <x v="3"/>
    <x v="0"/>
    <n v="126436"/>
    <s v="Gadus morhua"/>
    <n v="0"/>
    <n v="190.60759999999999"/>
    <n v="1368.3439000000001"/>
    <n v="481.39269999999999"/>
    <n v="37.947200000000002"/>
    <n v="0.54149999999999998"/>
    <n v="1.0024999999999999"/>
    <n v="0.62919999999999998"/>
    <n v="0.8861"/>
    <n v="0"/>
    <n v="0"/>
    <n v="20160126"/>
    <n v="2081.3507"/>
  </r>
  <r>
    <s v="BITS"/>
    <x v="4"/>
    <n v="1"/>
    <x v="3"/>
    <x v="3"/>
    <n v="126436"/>
    <s v="Gadus morhua"/>
    <n v="0"/>
    <n v="20.4222"/>
    <n v="68.544399999999996"/>
    <n v="23.2957"/>
    <n v="2.3369"/>
    <n v="3.5200000000000002E-2"/>
    <n v="3.3700000000000001E-2"/>
    <n v="1.61E-2"/>
    <n v="3.3799999999999997E-2"/>
    <n v="0"/>
    <n v="0"/>
    <n v="20160126"/>
    <n v="114.71799999999999"/>
  </r>
  <r>
    <s v="BITS"/>
    <x v="4"/>
    <n v="1"/>
    <x v="3"/>
    <x v="2"/>
    <n v="126436"/>
    <s v="Gadus morhua"/>
    <n v="0"/>
    <n v="16.854700000000001"/>
    <n v="155"/>
    <n v="56.7042"/>
    <n v="4.9557000000000002"/>
    <n v="3.8800000000000001E-2"/>
    <n v="7.1900000000000006E-2"/>
    <n v="4.3099999999999999E-2"/>
    <n v="0.1464"/>
    <n v="0"/>
    <n v="0"/>
    <n v="20160126"/>
    <n v="233.81480000000002"/>
  </r>
  <r>
    <s v="BITS"/>
    <x v="4"/>
    <n v="1"/>
    <x v="4"/>
    <x v="0"/>
    <n v="126436"/>
    <s v="Gadus morhua"/>
    <n v="0"/>
    <n v="7.4968000000000004"/>
    <n v="473.18470000000002"/>
    <n v="728.57680000000005"/>
    <n v="181.3218"/>
    <n v="20.287099999999999"/>
    <n v="3.5602999999999998"/>
    <n v="0.2535"/>
    <n v="0"/>
    <n v="3.8100000000000002E-2"/>
    <n v="0"/>
    <n v="20160126"/>
    <n v="1414.7191"/>
  </r>
  <r>
    <s v="BITS"/>
    <x v="4"/>
    <n v="1"/>
    <x v="4"/>
    <x v="1"/>
    <n v="126436"/>
    <s v="Gadus morhua"/>
    <n v="0"/>
    <n v="5.0511999999999997"/>
    <n v="291.58499999999998"/>
    <n v="963.89750000000004"/>
    <n v="257.20089999999999"/>
    <n v="28.783100000000001"/>
    <n v="5.2507000000000001"/>
    <n v="0.3992"/>
    <n v="0"/>
    <n v="7.3700000000000002E-2"/>
    <n v="0"/>
    <n v="20160126"/>
    <n v="1552.2413000000001"/>
  </r>
  <r>
    <s v="BITS"/>
    <x v="4"/>
    <n v="1"/>
    <x v="4"/>
    <x v="4"/>
    <n v="126436"/>
    <s v="Gadus morhua"/>
    <n v="0"/>
    <n v="2.1696"/>
    <n v="167.54849999999999"/>
    <n v="1315.5862"/>
    <n v="523.35209999999995"/>
    <n v="60.651800000000001"/>
    <n v="11.006399999999999"/>
    <n v="0.74470000000000003"/>
    <n v="0"/>
    <n v="8.6400000000000005E-2"/>
    <n v="0"/>
    <n v="20160126"/>
    <n v="2081.1457000000005"/>
  </r>
  <r>
    <s v="BITS"/>
    <x v="4"/>
    <n v="1"/>
    <x v="4"/>
    <x v="2"/>
    <n v="126436"/>
    <s v="Gadus morhua"/>
    <n v="0"/>
    <n v="0.5"/>
    <n v="26.114000000000001"/>
    <n v="417.65550000000002"/>
    <n v="134.82849999999999"/>
    <n v="11.1174"/>
    <n v="1.631"/>
    <n v="0.15359999999999999"/>
    <n v="0"/>
    <n v="0"/>
    <n v="0"/>
    <n v="20160126"/>
    <n v="591.99999999999989"/>
  </r>
  <r>
    <s v="BITS"/>
    <x v="4"/>
    <n v="1"/>
    <x v="5"/>
    <x v="0"/>
    <n v="126436"/>
    <s v="Gadus morhua"/>
    <n v="0"/>
    <n v="6.5845000000000002"/>
    <n v="65.898899999999998"/>
    <n v="230.3947"/>
    <n v="131.2527"/>
    <n v="53.0349"/>
    <n v="9.2098999999999993"/>
    <n v="2.6444000000000001"/>
    <n v="0.372"/>
    <n v="0"/>
    <n v="0"/>
    <n v="20160126"/>
    <n v="499.39200000000005"/>
  </r>
  <r>
    <s v="BITS"/>
    <x v="4"/>
    <n v="1"/>
    <x v="5"/>
    <x v="1"/>
    <n v="126436"/>
    <s v="Gadus morhua"/>
    <n v="0"/>
    <n v="3.6915"/>
    <n v="69.141000000000005"/>
    <n v="154.7116"/>
    <n v="86.247100000000003"/>
    <n v="31.922499999999999"/>
    <n v="5.0561999999999996"/>
    <n v="1.7359"/>
    <n v="0.29409999999999997"/>
    <n v="0"/>
    <n v="0"/>
    <n v="20160126"/>
    <n v="352.79990000000004"/>
  </r>
  <r>
    <s v="BITS"/>
    <x v="4"/>
    <n v="1"/>
    <x v="5"/>
    <x v="4"/>
    <n v="126436"/>
    <s v="Gadus morhua"/>
    <n v="0"/>
    <n v="1.0545"/>
    <n v="59.8919"/>
    <n v="187.09700000000001"/>
    <n v="109.0159"/>
    <n v="38.962899999999998"/>
    <n v="6.3720999999999997"/>
    <n v="1.6055999999999999"/>
    <n v="0.1"/>
    <n v="0.1"/>
    <n v="0"/>
    <n v="20160126"/>
    <n v="404.19990000000001"/>
  </r>
  <r>
    <s v="BITS"/>
    <x v="4"/>
    <n v="1"/>
    <x v="5"/>
    <x v="5"/>
    <n v="126436"/>
    <s v="Gadus morhua"/>
    <n v="0"/>
    <n v="0.71430000000000005"/>
    <n v="22.894200000000001"/>
    <n v="140.69829999999999"/>
    <n v="78.5261"/>
    <n v="33.675899999999999"/>
    <n v="4.9329999999999998"/>
    <n v="1.3915"/>
    <n v="0.33329999999999999"/>
    <n v="0.16669999999999999"/>
    <n v="0"/>
    <n v="20160126"/>
    <n v="283.33330000000001"/>
  </r>
  <r>
    <s v="BITS"/>
    <x v="4"/>
    <n v="1"/>
    <x v="5"/>
    <x v="6"/>
    <n v="126436"/>
    <s v="Gadus morhua"/>
    <n v="0"/>
    <n v="3.5"/>
    <n v="29.214400000000001"/>
    <n v="179.65520000000001"/>
    <n v="118.23220000000001"/>
    <n v="59.0488"/>
    <n v="13.455299999999999"/>
    <n v="2.8940000000000001"/>
    <n v="0"/>
    <n v="0"/>
    <n v="0"/>
    <n v="20160126"/>
    <n v="405.99990000000008"/>
  </r>
  <r>
    <s v="BITS"/>
    <x v="4"/>
    <n v="1"/>
    <x v="5"/>
    <x v="2"/>
    <n v="126436"/>
    <s v="Gadus morhua"/>
    <n v="0"/>
    <n v="7.8277999999999999"/>
    <n v="18.6859"/>
    <n v="48.572699999999998"/>
    <n v="28.4635"/>
    <n v="11.041700000000001"/>
    <n v="1.9664999999999999"/>
    <n v="0.65300000000000002"/>
    <n v="0"/>
    <n v="0"/>
    <n v="0"/>
    <n v="20160126"/>
    <n v="117.2111"/>
  </r>
  <r>
    <s v="BITS"/>
    <x v="4"/>
    <n v="1"/>
    <x v="6"/>
    <x v="1"/>
    <n v="126436"/>
    <s v="Gadus morhua"/>
    <n v="0"/>
    <n v="0"/>
    <n v="0.8"/>
    <n v="0.2"/>
    <n v="0"/>
    <n v="0.5"/>
    <n v="0"/>
    <n v="0"/>
    <n v="0"/>
    <n v="0"/>
    <n v="0"/>
    <n v="20160126"/>
    <n v="1.5"/>
  </r>
  <r>
    <s v="BITS"/>
    <x v="4"/>
    <n v="1"/>
    <x v="6"/>
    <x v="4"/>
    <n v="126436"/>
    <s v="Gadus morhua"/>
    <n v="0"/>
    <n v="0"/>
    <n v="0"/>
    <n v="0"/>
    <n v="0"/>
    <n v="0"/>
    <n v="0"/>
    <n v="0"/>
    <n v="0"/>
    <n v="0"/>
    <n v="0"/>
    <n v="20160126"/>
    <n v="0"/>
  </r>
  <r>
    <s v="BITS"/>
    <x v="4"/>
    <n v="1"/>
    <x v="6"/>
    <x v="5"/>
    <n v="126436"/>
    <s v="Gadus morhua"/>
    <n v="0"/>
    <n v="0"/>
    <n v="0"/>
    <n v="0"/>
    <n v="0"/>
    <n v="0"/>
    <n v="0"/>
    <n v="0"/>
    <n v="0"/>
    <n v="0"/>
    <n v="0"/>
    <n v="20160126"/>
    <n v="0"/>
  </r>
  <r>
    <s v="BITS"/>
    <x v="4"/>
    <n v="1"/>
    <x v="7"/>
    <x v="0"/>
    <n v="126436"/>
    <s v="Gadus morhua"/>
    <n v="0"/>
    <n v="2"/>
    <n v="15.977600000000001"/>
    <n v="25.257200000000001"/>
    <n v="9.4143000000000008"/>
    <n v="1.7476"/>
    <n v="0.23810000000000001"/>
    <n v="0.22220000000000001"/>
    <n v="0"/>
    <n v="0"/>
    <n v="0"/>
    <n v="20160126"/>
    <n v="54.857000000000006"/>
  </r>
  <r>
    <s v="BITS"/>
    <x v="4"/>
    <n v="1"/>
    <x v="7"/>
    <x v="1"/>
    <n v="126436"/>
    <s v="Gadus morhua"/>
    <n v="0"/>
    <n v="0.36359999999999998"/>
    <n v="18.884799999999998"/>
    <n v="30.355599999999999"/>
    <n v="14.0657"/>
    <n v="3.7368000000000001"/>
    <n v="0.73480000000000001"/>
    <n v="0.40400000000000003"/>
    <n v="0"/>
    <n v="0"/>
    <n v="0"/>
    <n v="20160126"/>
    <n v="68.545299999999997"/>
  </r>
  <r>
    <s v="BITS"/>
    <x v="4"/>
    <n v="1"/>
    <x v="7"/>
    <x v="4"/>
    <n v="126436"/>
    <s v="Gadus morhua"/>
    <n v="0"/>
    <n v="0"/>
    <n v="0.42920000000000003"/>
    <n v="1.7442"/>
    <n v="1.0093000000000001"/>
    <n v="0.65059999999999996"/>
    <n v="0.25"/>
    <n v="0.16669999999999999"/>
    <n v="0"/>
    <n v="0"/>
    <n v="0"/>
    <n v="20160126"/>
    <n v="4.2499999999999991"/>
  </r>
  <r>
    <s v="BITS"/>
    <x v="4"/>
    <n v="1"/>
    <x v="7"/>
    <x v="2"/>
    <n v="126436"/>
    <s v="Gadus morhua"/>
    <n v="0"/>
    <n v="0"/>
    <n v="0.1111"/>
    <n v="1.8889"/>
    <n v="2"/>
    <n v="1"/>
    <n v="0.33329999999999999"/>
    <n v="0"/>
    <n v="0"/>
    <n v="0"/>
    <n v="0"/>
    <n v="20160126"/>
    <n v="5.333300000000000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1">
  <r>
    <s v="BITS"/>
    <x v="0"/>
    <n v="1"/>
    <x v="0"/>
    <n v="126436"/>
    <s v="Gadus morhua"/>
    <n v="0"/>
    <n v="46.248519000000002"/>
    <n v="15.004462"/>
    <n v="14.262676000000001"/>
    <n v="0"/>
    <n v="0.17679400000000001"/>
    <n v="0"/>
    <n v="0"/>
    <n v="0"/>
    <n v="0"/>
    <n v="0"/>
    <n v="75.692451000000005"/>
  </r>
  <r>
    <s v="BITS"/>
    <x v="0"/>
    <n v="1"/>
    <x v="1"/>
    <n v="126436"/>
    <s v="Gadus morhua"/>
    <n v="0"/>
    <n v="126.052396"/>
    <n v="67.866404000000003"/>
    <n v="153.210846"/>
    <n v="0.491062"/>
    <n v="0.45558500000000002"/>
    <n v="8.8872000000000007E-2"/>
    <n v="0"/>
    <n v="0.113885"/>
    <n v="0"/>
    <n v="7.5951000000000005E-2"/>
    <n v="348.3550009999999"/>
  </r>
  <r>
    <s v="BITS"/>
    <x v="0"/>
    <n v="1"/>
    <x v="2"/>
    <n v="126436"/>
    <s v="Gadus morhua"/>
    <n v="0"/>
    <n v="69.036013999999994"/>
    <n v="154.77909399999999"/>
    <n v="1988.0576189999999"/>
    <n v="2.4022250000000001"/>
    <n v="7.3355399999999999"/>
    <n v="1.5497479999999999"/>
    <n v="0"/>
    <n v="0"/>
    <n v="0"/>
    <n v="0"/>
    <n v="2223.1602399999997"/>
  </r>
  <r>
    <s v="BITS"/>
    <x v="0"/>
    <n v="1"/>
    <x v="3"/>
    <n v="126436"/>
    <s v="Gadus morhua"/>
    <n v="0"/>
    <n v="28.799157999999998"/>
    <n v="298.34101600000002"/>
    <n v="124.458573"/>
    <n v="16.443429999999999"/>
    <n v="3.8448020000000001"/>
    <n v="1.2420929999999999"/>
    <n v="0.123788"/>
    <n v="6.8584000000000006E-2"/>
    <n v="4.2917999999999998E-2"/>
    <n v="2.2016999999999998E-2"/>
    <n v="473.38637899999998"/>
  </r>
  <r>
    <s v="BITS"/>
    <x v="0"/>
    <n v="1"/>
    <x v="4"/>
    <n v="126436"/>
    <s v="Gadus morhua"/>
    <n v="0"/>
    <n v="17.535827999999999"/>
    <n v="328.58613500000001"/>
    <n v="622.01079800000002"/>
    <n v="215.736861"/>
    <n v="91.795578000000006"/>
    <n v="18.221744999999999"/>
    <n v="5.2441300000000002"/>
    <n v="1.6949430000000001"/>
    <n v="0.23354"/>
    <n v="8.7041999999999994E-2"/>
    <n v="1301.1466000000003"/>
  </r>
  <r>
    <s v="BITS"/>
    <x v="0"/>
    <n v="1"/>
    <x v="5"/>
    <n v="126436"/>
    <s v="Gadus morhua"/>
    <n v="0"/>
    <n v="8.4983509999999995"/>
    <n v="77.209016000000005"/>
    <n v="178.78090700000001"/>
    <n v="107.62416399999999"/>
    <n v="34.307004999999997"/>
    <n v="13.380720999999999"/>
    <n v="3.5043299999999999"/>
    <n v="2.0939320000000001"/>
    <n v="0.92789699999999997"/>
    <n v="0.67112099999999997"/>
    <n v="426.99744400000003"/>
  </r>
  <r>
    <s v="BITS"/>
    <x v="0"/>
    <n v="1"/>
    <x v="6"/>
    <n v="126436"/>
    <s v="Gadus morhua"/>
    <n v="0"/>
    <n v="0"/>
    <n v="0.41391699999999998"/>
    <n v="0.22914399999999999"/>
    <n v="0"/>
    <n v="0"/>
    <n v="0"/>
    <n v="0"/>
    <n v="0"/>
    <n v="0"/>
    <n v="0"/>
    <n v="0.64306099999999999"/>
  </r>
  <r>
    <s v="BITS"/>
    <x v="0"/>
    <n v="1"/>
    <x v="7"/>
    <n v="126436"/>
    <s v="Gadus morhua"/>
    <n v="0"/>
    <n v="0.79714700000000005"/>
    <n v="7.3973839999999997"/>
    <n v="5.7325970000000002"/>
    <n v="4.0620960000000004"/>
    <n v="1.8362879999999999"/>
    <n v="6.3907000000000005E-2"/>
    <n v="0"/>
    <n v="0"/>
    <n v="0"/>
    <n v="0"/>
    <n v="19.889419"/>
  </r>
  <r>
    <s v="BITS"/>
    <x v="1"/>
    <n v="1"/>
    <x v="0"/>
    <n v="126436"/>
    <s v="Gadus morhua"/>
    <n v="0"/>
    <n v="86.615476999999998"/>
    <n v="10.825404000000001"/>
    <n v="1.8444590000000001"/>
    <n v="0.96510899999999999"/>
    <n v="0"/>
    <n v="0"/>
    <n v="0"/>
    <n v="0"/>
    <n v="0"/>
    <n v="0"/>
    <n v="100.250449"/>
  </r>
  <r>
    <s v="BITS"/>
    <x v="1"/>
    <n v="1"/>
    <x v="1"/>
    <n v="126436"/>
    <s v="Gadus morhua"/>
    <n v="0"/>
    <n v="8.3358740000000004"/>
    <n v="16.556038999999998"/>
    <n v="19.682127000000001"/>
    <n v="18.271186"/>
    <n v="0.123264"/>
    <n v="0.123264"/>
    <n v="0"/>
    <n v="0"/>
    <n v="0"/>
    <n v="0"/>
    <n v="63.091753999999995"/>
  </r>
  <r>
    <s v="BITS"/>
    <x v="1"/>
    <n v="1"/>
    <x v="2"/>
    <n v="126436"/>
    <s v="Gadus morhua"/>
    <n v="0"/>
    <n v="59.336261999999998"/>
    <n v="256.05875400000002"/>
    <n v="296.59710899999999"/>
    <n v="134.421708"/>
    <n v="0"/>
    <n v="0"/>
    <n v="0"/>
    <n v="0"/>
    <n v="0"/>
    <n v="0"/>
    <n v="746.41383299999995"/>
  </r>
  <r>
    <s v="BITS"/>
    <x v="1"/>
    <n v="1"/>
    <x v="3"/>
    <n v="126436"/>
    <s v="Gadus morhua"/>
    <n v="0"/>
    <n v="51.169426000000001"/>
    <n v="172.37077500000001"/>
    <n v="169.805815"/>
    <n v="61.559522000000001"/>
    <n v="9.7275840000000002"/>
    <n v="1.410717"/>
    <n v="9.4742000000000007E-2"/>
    <n v="8.7706000000000006E-2"/>
    <n v="0"/>
    <n v="0"/>
    <n v="466.22628700000001"/>
  </r>
  <r>
    <s v="BITS"/>
    <x v="1"/>
    <n v="1"/>
    <x v="4"/>
    <n v="126436"/>
    <s v="Gadus morhua"/>
    <n v="0"/>
    <n v="9.8281869999999998"/>
    <n v="180.18356199999999"/>
    <n v="550.91759000000002"/>
    <n v="339.35777899999999"/>
    <n v="111.853672"/>
    <n v="21.031679"/>
    <n v="2.767455"/>
    <n v="0.351823"/>
    <n v="0.23461799999999999"/>
    <n v="1.9071999999999999E-2"/>
    <n v="1216.5454369999998"/>
  </r>
  <r>
    <s v="BITS"/>
    <x v="1"/>
    <n v="1"/>
    <x v="5"/>
    <n v="126436"/>
    <s v="Gadus morhua"/>
    <n v="0"/>
    <n v="4.232227"/>
    <n v="298.232955"/>
    <n v="584.77607899999998"/>
    <n v="254.48167599999999"/>
    <n v="47.708607000000001"/>
    <n v="7.5984040000000004"/>
    <n v="2.8248229999999999"/>
    <n v="0.27845399999999998"/>
    <n v="2.5340999999999999E-2"/>
    <n v="0"/>
    <n v="1200.1585660000001"/>
  </r>
  <r>
    <s v="BITS"/>
    <x v="1"/>
    <n v="1"/>
    <x v="6"/>
    <n v="126436"/>
    <s v="Gadus morhua"/>
    <n v="0"/>
    <n v="1.527628"/>
    <n v="1.2221029999999999"/>
    <n v="0.81473499999999999"/>
    <n v="0.101841"/>
    <n v="0"/>
    <n v="0"/>
    <n v="0"/>
    <n v="0"/>
    <n v="0"/>
    <n v="0"/>
    <n v="3.6663069999999993"/>
  </r>
  <r>
    <s v="BITS"/>
    <x v="1"/>
    <n v="1"/>
    <x v="7"/>
    <n v="126436"/>
    <s v="Gadus morhua"/>
    <n v="0"/>
    <n v="7.641311"/>
    <n v="14.77514"/>
    <n v="13.064956"/>
    <n v="4.1407809999999996"/>
    <n v="1.105515"/>
    <n v="0.150252"/>
    <n v="5.2864000000000001E-2"/>
    <n v="0"/>
    <n v="0"/>
    <n v="0"/>
    <n v="40.930819"/>
  </r>
  <r>
    <s v="BITS"/>
    <x v="2"/>
    <n v="1"/>
    <x v="0"/>
    <n v="126436"/>
    <s v="Gadus morhua"/>
    <n v="0"/>
    <n v="212.34369000000001"/>
    <n v="51.341883000000003"/>
    <n v="10.257821"/>
    <n v="0.21215300000000001"/>
    <n v="0.40313399999999999"/>
    <n v="0"/>
    <n v="0"/>
    <n v="0"/>
    <n v="0"/>
    <n v="0"/>
    <n v="274.55868100000004"/>
  </r>
  <r>
    <s v="BITS"/>
    <x v="2"/>
    <n v="1"/>
    <x v="1"/>
    <n v="126436"/>
    <s v="Gadus morhua"/>
    <n v="0"/>
    <n v="135.281544"/>
    <n v="28.109036"/>
    <n v="22.308721999999999"/>
    <n v="2.3455409999999999"/>
    <n v="1.9163969999999999"/>
    <n v="0.32361000000000001"/>
    <n v="0"/>
    <n v="0"/>
    <n v="0"/>
    <n v="0"/>
    <n v="190.28484999999998"/>
  </r>
  <r>
    <s v="BITS"/>
    <x v="2"/>
    <n v="1"/>
    <x v="2"/>
    <n v="126436"/>
    <s v="Gadus morhua"/>
    <n v="0"/>
    <n v="134.970055"/>
    <n v="347.378984"/>
    <n v="545.62719200000004"/>
    <n v="76.136311000000006"/>
    <n v="38.365048000000002"/>
    <n v="0"/>
    <n v="0"/>
    <n v="0"/>
    <n v="0"/>
    <n v="0"/>
    <n v="1142.47759"/>
  </r>
  <r>
    <s v="BITS"/>
    <x v="2"/>
    <n v="1"/>
    <x v="3"/>
    <n v="126436"/>
    <s v="Gadus morhua"/>
    <n v="0"/>
    <n v="231.134727"/>
    <n v="109.87045500000001"/>
    <n v="24.339393999999999"/>
    <n v="13.885695"/>
    <n v="1.4480189999999999"/>
    <n v="0.152166"/>
    <n v="0"/>
    <n v="7.8839000000000006E-2"/>
    <n v="0"/>
    <n v="0"/>
    <n v="380.90929499999999"/>
  </r>
  <r>
    <s v="BITS"/>
    <x v="2"/>
    <n v="1"/>
    <x v="4"/>
    <n v="126436"/>
    <s v="Gadus morhua"/>
    <n v="0"/>
    <n v="20.746915999999999"/>
    <n v="895.04405299999996"/>
    <n v="579.48066700000004"/>
    <n v="200.642402"/>
    <n v="49.857346"/>
    <n v="22.517208"/>
    <n v="3.7591700000000001"/>
    <n v="0.49054700000000001"/>
    <n v="4.8543000000000003E-2"/>
    <n v="6.3589000000000007E-2"/>
    <n v="1772.6504410000002"/>
  </r>
  <r>
    <s v="BITS"/>
    <x v="2"/>
    <n v="1"/>
    <x v="5"/>
    <n v="126436"/>
    <s v="Gadus morhua"/>
    <n v="0"/>
    <n v="19.224246999999998"/>
    <n v="285.78695699999997"/>
    <n v="270.24374699999998"/>
    <n v="87.621499"/>
    <n v="34.909782999999997"/>
    <n v="11.817031"/>
    <n v="2.637035"/>
    <n v="1.3694269999999999"/>
    <n v="0.115562"/>
    <n v="0.241371"/>
    <n v="713.96665899999971"/>
  </r>
  <r>
    <s v="BITS"/>
    <x v="2"/>
    <n v="1"/>
    <x v="6"/>
    <n v="126436"/>
    <s v="Gadus morhua"/>
    <n v="0"/>
    <n v="0.91657699999999998"/>
    <n v="159.55208400000001"/>
    <n v="30.385719999999999"/>
    <n v="0.95392200000000005"/>
    <n v="0.54502700000000004"/>
    <n v="0.127302"/>
    <n v="0"/>
    <n v="0"/>
    <n v="0"/>
    <n v="0"/>
    <n v="192.48063199999999"/>
  </r>
  <r>
    <s v="BITS"/>
    <x v="2"/>
    <n v="1"/>
    <x v="7"/>
    <n v="126436"/>
    <s v="Gadus morhua"/>
    <n v="0"/>
    <n v="1.8755170000000001"/>
    <n v="14.929432"/>
    <n v="7.5974870000000001"/>
    <n v="3.0741999999999998"/>
    <n v="1.0083040000000001"/>
    <n v="0.25623299999999999"/>
    <n v="0"/>
    <n v="0"/>
    <n v="0"/>
    <n v="0"/>
    <n v="28.741173000000003"/>
  </r>
  <r>
    <s v="BITS"/>
    <x v="3"/>
    <n v="1"/>
    <x v="0"/>
    <n v="126436"/>
    <s v="Gadus morhua"/>
    <n v="0"/>
    <n v="98.780392000000006"/>
    <n v="781.879234"/>
    <n v="12.409109000000001"/>
    <n v="1.050443"/>
    <n v="0"/>
    <n v="0.170595"/>
    <n v="0"/>
    <n v="0"/>
    <n v="0"/>
    <n v="0.170595"/>
    <n v="894.46036800000013"/>
  </r>
  <r>
    <s v="BITS"/>
    <x v="3"/>
    <n v="1"/>
    <x v="1"/>
    <n v="126436"/>
    <s v="Gadus morhua"/>
    <n v="0"/>
    <n v="22.21471"/>
    <n v="23.333029"/>
    <n v="4.2557929999999997"/>
    <n v="1.7224090000000001"/>
    <n v="0.25829999999999997"/>
    <n v="0.48658699999999999"/>
    <n v="0"/>
    <n v="0.18055499999999999"/>
    <n v="0"/>
    <n v="0"/>
    <n v="52.451382999999993"/>
  </r>
  <r>
    <s v="BITS"/>
    <x v="3"/>
    <n v="1"/>
    <x v="2"/>
    <n v="126436"/>
    <s v="Gadus morhua"/>
    <n v="0"/>
    <n v="30.234311000000002"/>
    <n v="815.46015299999999"/>
    <n v="86.861003999999994"/>
    <n v="1.700923"/>
    <n v="0"/>
    <n v="0"/>
    <n v="0"/>
    <n v="0"/>
    <n v="0"/>
    <n v="0"/>
    <n v="934.25639100000001"/>
  </r>
  <r>
    <s v="BITS"/>
    <x v="3"/>
    <n v="1"/>
    <x v="3"/>
    <n v="126436"/>
    <s v="Gadus morhua"/>
    <n v="0"/>
    <n v="412.74733700000002"/>
    <n v="356.42755299999999"/>
    <n v="27.661987"/>
    <n v="13.550439000000001"/>
    <n v="1.5451900000000001"/>
    <n v="0.47951199999999999"/>
    <n v="8.0130000000000007E-2"/>
    <n v="0"/>
    <n v="0"/>
    <n v="0"/>
    <n v="812.49214800000004"/>
  </r>
  <r>
    <s v="BITS"/>
    <x v="3"/>
    <n v="1"/>
    <x v="4"/>
    <n v="126436"/>
    <s v="Gadus morhua"/>
    <n v="0"/>
    <n v="31.178778000000001"/>
    <n v="394.37139000000002"/>
    <n v="415.58927199999999"/>
    <n v="429.76055200000002"/>
    <n v="207.94400200000001"/>
    <n v="51.700843999999996"/>
    <n v="11.054693"/>
    <n v="3.2840929999999999"/>
    <n v="0.952098"/>
    <n v="0.15484300000000001"/>
    <n v="1545.9905650000001"/>
  </r>
  <r>
    <s v="BITS"/>
    <x v="3"/>
    <n v="1"/>
    <x v="5"/>
    <n v="126436"/>
    <s v="Gadus morhua"/>
    <n v="0"/>
    <n v="13.556735"/>
    <n v="95.908064999999993"/>
    <n v="143.892056"/>
    <n v="70.368305000000007"/>
    <n v="18.201446000000001"/>
    <n v="2.2946979999999999"/>
    <n v="0"/>
    <n v="0"/>
    <n v="0"/>
    <n v="0"/>
    <n v="344.22130499999997"/>
  </r>
  <r>
    <s v="BITS"/>
    <x v="3"/>
    <n v="1"/>
    <x v="6"/>
    <n v="126436"/>
    <s v="Gadus morhua"/>
    <n v="0"/>
    <n v="0.19218199999999999"/>
    <n v="171.577102"/>
    <n v="93.307660999999996"/>
    <n v="3.4592800000000001"/>
    <n v="0.61498299999999995"/>
    <n v="0"/>
    <n v="0"/>
    <n v="0"/>
    <n v="0"/>
    <n v="0"/>
    <n v="269.151208"/>
  </r>
  <r>
    <s v="BITS"/>
    <x v="3"/>
    <n v="1"/>
    <x v="7"/>
    <n v="126436"/>
    <s v="Gadus morhua"/>
    <n v="0"/>
    <n v="0.7571"/>
    <n v="24.156476000000001"/>
    <n v="12.201542"/>
    <n v="6.6353099999999996"/>
    <n v="1.751463"/>
    <n v="0.42532799999999998"/>
    <n v="9.0630000000000002E-2"/>
    <n v="0"/>
    <n v="0"/>
    <n v="0"/>
    <n v="46.017848999999998"/>
  </r>
  <r>
    <s v="BITS"/>
    <x v="4"/>
    <n v="1"/>
    <x v="0"/>
    <n v="126436"/>
    <s v="Gadus morhua"/>
    <n v="0"/>
    <n v="37.347575999999997"/>
    <n v="17.530505999999999"/>
    <n v="15.175807000000001"/>
    <n v="1.92414"/>
    <n v="0.201567"/>
    <n v="0"/>
    <n v="0"/>
    <n v="0"/>
    <n v="0"/>
    <n v="0.27416800000000002"/>
    <n v="72.453763999999993"/>
  </r>
  <r>
    <s v="BITS"/>
    <x v="4"/>
    <n v="1"/>
    <x v="1"/>
    <n v="126436"/>
    <s v="Gadus morhua"/>
    <n v="0"/>
    <n v="28.318469"/>
    <n v="74.566832000000005"/>
    <n v="29.997644999999999"/>
    <n v="2.7659950000000002"/>
    <n v="1.563286"/>
    <n v="0.12895100000000001"/>
    <n v="0"/>
    <n v="0"/>
    <n v="0"/>
    <n v="0"/>
    <n v="137.34117800000001"/>
  </r>
  <r>
    <s v="BITS"/>
    <x v="4"/>
    <n v="1"/>
    <x v="2"/>
    <n v="126436"/>
    <s v="Gadus morhua"/>
    <n v="0"/>
    <n v="391.08784700000001"/>
    <n v="1263.0838900000001"/>
    <n v="629.85547799999995"/>
    <n v="18.156337000000001"/>
    <n v="0.96379700000000001"/>
    <n v="0"/>
    <n v="0"/>
    <n v="0"/>
    <n v="0"/>
    <n v="0"/>
    <n v="2303.1473489999998"/>
  </r>
  <r>
    <s v="BITS"/>
    <x v="4"/>
    <n v="1"/>
    <x v="3"/>
    <n v="126436"/>
    <s v="Gadus morhua"/>
    <n v="0"/>
    <n v="64.801320000000004"/>
    <n v="441.683244"/>
    <n v="155.68709799999999"/>
    <n v="12.634931999999999"/>
    <n v="0.17150099999999999"/>
    <n v="0.303927"/>
    <n v="0.18796099999999999"/>
    <n v="0.29528500000000002"/>
    <n v="0"/>
    <n v="0"/>
    <n v="675.76526800000011"/>
  </r>
  <r>
    <s v="BITS"/>
    <x v="4"/>
    <n v="1"/>
    <x v="4"/>
    <n v="126436"/>
    <s v="Gadus morhua"/>
    <n v="0"/>
    <n v="3.9971939999999999"/>
    <n v="247.14561699999999"/>
    <n v="772.86657300000002"/>
    <n v="231.77393499999999"/>
    <n v="24.985970999999999"/>
    <n v="4.3876850000000003"/>
    <n v="0.32579399999999997"/>
    <n v="0"/>
    <n v="4.2326000000000003E-2"/>
    <n v="0"/>
    <n v="1285.525095"/>
  </r>
  <r>
    <s v="BITS"/>
    <x v="4"/>
    <n v="1"/>
    <x v="5"/>
    <n v="126436"/>
    <s v="Gadus morhua"/>
    <n v="0"/>
    <n v="3.689886"/>
    <n v="47.628844000000001"/>
    <n v="154.58889099999999"/>
    <n v="89.191742000000005"/>
    <n v="34.927163"/>
    <n v="5.9185420000000004"/>
    <n v="1.647518"/>
    <n v="0.18668399999999999"/>
    <n v="5.2718000000000001E-2"/>
    <n v="0"/>
    <n v="337.83198800000008"/>
  </r>
  <r>
    <s v="BITS"/>
    <x v="4"/>
    <n v="1"/>
    <x v="6"/>
    <n v="126436"/>
    <s v="Gadus morhua"/>
    <n v="0"/>
    <n v="0"/>
    <n v="0.21026"/>
    <n v="5.2565000000000001E-2"/>
    <n v="0"/>
    <n v="0.131412"/>
    <n v="0"/>
    <n v="0"/>
    <n v="0"/>
    <n v="0"/>
    <n v="0"/>
    <n v="0.39423699999999995"/>
  </r>
  <r>
    <s v="BITS"/>
    <x v="4"/>
    <n v="1"/>
    <x v="7"/>
    <n v="126436"/>
    <s v="Gadus morhua"/>
    <n v="0"/>
    <n v="0.60511700000000002"/>
    <n v="7.9299689999999998"/>
    <n v="13.412625999999999"/>
    <n v="5.9976070000000004"/>
    <n v="1.626455"/>
    <n v="0.36263099999999998"/>
    <n v="0.17354800000000001"/>
    <n v="0"/>
    <n v="0"/>
    <n v="0"/>
    <n v="30.107952999999998"/>
  </r>
  <r>
    <m/>
    <x v="5"/>
    <m/>
    <x v="8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6" cacheId="31" applyNumberFormats="0" applyBorderFormats="0" applyFontFormats="0" applyPatternFormats="0" applyAlignmentFormats="0" applyWidthHeightFormats="1" dataCaption="Values" updatedVersion="4" minRefreshableVersion="3" useAutoFormatting="1" rowGrandTotals="0" itemPrintTitles="1" createdVersion="4" indent="0" outline="1" outlineData="1" multipleFieldFilters="0">
  <location ref="A52:G61" firstHeaderRow="1" firstDataRow="2" firstDataCol="1"/>
  <pivotFields count="20"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axis="axisRow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showAll="0">
      <items count="8">
        <item x="3"/>
        <item x="2"/>
        <item x="0"/>
        <item x="1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Age_1+" fld="19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31" applyNumberFormats="0" applyBorderFormats="0" applyFontFormats="0" applyPatternFormats="0" applyAlignmentFormats="0" applyWidthHeightFormats="1" dataCaption="Values" missingCaption="0" updatedVersion="4" minRefreshableVersion="3" useAutoFormatting="1" rowGrandTotals="0" itemPrintTitles="1" createdVersion="4" indent="0" outline="1" outlineData="1" multipleFieldFilters="0">
  <location ref="A3:G41" firstHeaderRow="1" firstDataRow="2" firstDataCol="1"/>
  <pivotFields count="20"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axis="axisRow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axis="axisRow" showAll="0">
      <items count="8">
        <item x="3"/>
        <item x="2"/>
        <item x="0"/>
        <item x="1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3"/>
    <field x="4"/>
  </rowFields>
  <rowItems count="37">
    <i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>
      <x v="2"/>
    </i>
    <i r="1">
      <x/>
    </i>
    <i r="1">
      <x v="1"/>
    </i>
    <i>
      <x v="3"/>
    </i>
    <i r="1">
      <x/>
    </i>
    <i r="1">
      <x v="1"/>
    </i>
    <i r="1">
      <x v="2"/>
    </i>
    <i>
      <x v="4"/>
    </i>
    <i r="1">
      <x v="1"/>
    </i>
    <i r="1">
      <x v="2"/>
    </i>
    <i r="1">
      <x v="3"/>
    </i>
    <i r="1">
      <x v="4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>
      <x v="6"/>
    </i>
    <i r="1">
      <x v="2"/>
    </i>
    <i r="1">
      <x v="3"/>
    </i>
    <i r="1">
      <x v="4"/>
    </i>
    <i r="1">
      <x v="5"/>
    </i>
    <i>
      <x v="7"/>
    </i>
    <i r="1">
      <x v="1"/>
    </i>
    <i r="1">
      <x v="2"/>
    </i>
    <i r="1">
      <x v="3"/>
    </i>
    <i r="1">
      <x v="4"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ge_1+" fld="19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32" applyNumberFormats="0" applyBorderFormats="0" applyFontFormats="0" applyPatternFormats="0" applyAlignmentFormats="0" applyWidthHeightFormats="1" dataCaption="Values" updatedVersion="4" minRefreshableVersion="3" useAutoFormatting="1" colGrandTotals="0" itemPrintTitles="1" createdVersion="4" indent="0" outline="1" outlineData="1" multipleFieldFilters="0">
  <location ref="A3:F13" firstHeaderRow="1" firstDataRow="2" firstDataCol="1"/>
  <pivotFields count="18"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>
      <x v="4"/>
    </i>
  </colItems>
  <dataFields count="1">
    <dataField name="Sum of age 1+" fld="17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61"/>
  <sheetViews>
    <sheetView topLeftCell="A6" workbookViewId="0">
      <selection activeCell="K6" sqref="K6"/>
    </sheetView>
  </sheetViews>
  <sheetFormatPr defaultRowHeight="15" x14ac:dyDescent="0.25"/>
  <cols>
    <col min="1" max="1" width="14.140625" customWidth="1"/>
    <col min="2" max="2" width="16.28515625" bestFit="1" customWidth="1"/>
    <col min="3" max="6" width="10" customWidth="1"/>
    <col min="7" max="7" width="11.28515625" customWidth="1"/>
    <col min="9" max="9" width="13.7109375" bestFit="1" customWidth="1"/>
  </cols>
  <sheetData>
    <row r="1" spans="1:9" x14ac:dyDescent="0.25">
      <c r="A1" s="7" t="s">
        <v>27</v>
      </c>
    </row>
    <row r="2" spans="1:9" x14ac:dyDescent="0.25">
      <c r="A2" s="7" t="s">
        <v>28</v>
      </c>
    </row>
    <row r="3" spans="1:9" x14ac:dyDescent="0.25">
      <c r="A3" s="1" t="s">
        <v>26</v>
      </c>
      <c r="B3" s="1" t="s">
        <v>21</v>
      </c>
    </row>
    <row r="4" spans="1:9" x14ac:dyDescent="0.25">
      <c r="A4" s="1" t="s">
        <v>23</v>
      </c>
      <c r="B4">
        <v>2011</v>
      </c>
      <c r="C4">
        <v>2012</v>
      </c>
      <c r="D4">
        <v>2013</v>
      </c>
      <c r="E4">
        <v>2014</v>
      </c>
      <c r="F4">
        <v>2015</v>
      </c>
      <c r="G4" t="s">
        <v>22</v>
      </c>
      <c r="I4" t="s">
        <v>29</v>
      </c>
    </row>
    <row r="5" spans="1:9" x14ac:dyDescent="0.25">
      <c r="A5" s="2">
        <v>21</v>
      </c>
      <c r="B5" s="4"/>
      <c r="C5" s="4"/>
      <c r="D5" s="4"/>
      <c r="E5" s="4"/>
      <c r="F5" s="4"/>
      <c r="G5" s="4"/>
    </row>
    <row r="6" spans="1:9" x14ac:dyDescent="0.25">
      <c r="A6" s="3">
        <v>9</v>
      </c>
      <c r="B6" s="4">
        <v>98.78</v>
      </c>
      <c r="C6" s="4">
        <v>91.246099999999998</v>
      </c>
      <c r="D6" s="4">
        <v>349.11169999999998</v>
      </c>
      <c r="E6" s="4">
        <v>1233.8828000000001</v>
      </c>
      <c r="F6" s="4">
        <v>88.927200000000013</v>
      </c>
      <c r="G6" s="4">
        <v>1861.9478000000001</v>
      </c>
      <c r="I6">
        <f>AVERAGE(B6:F6)</f>
        <v>372.38956000000002</v>
      </c>
    </row>
    <row r="7" spans="1:9" x14ac:dyDescent="0.25">
      <c r="A7" s="3">
        <v>10</v>
      </c>
      <c r="B7" s="4">
        <v>19.300099999999997</v>
      </c>
      <c r="C7" s="4">
        <v>148.44239999999999</v>
      </c>
      <c r="D7" s="4">
        <v>80.420100000000005</v>
      </c>
      <c r="E7" s="4">
        <v>42.96</v>
      </c>
      <c r="F7" s="4">
        <v>23.7166</v>
      </c>
      <c r="G7" s="4">
        <v>314.83920000000001</v>
      </c>
      <c r="I7">
        <f t="shared" ref="I7:I41" si="0">AVERAGE(B7:F7)</f>
        <v>62.967840000000002</v>
      </c>
    </row>
    <row r="8" spans="1:9" x14ac:dyDescent="0.25">
      <c r="A8" s="3">
        <v>11</v>
      </c>
      <c r="B8" s="4">
        <v>11.200000000000001</v>
      </c>
      <c r="C8" s="4">
        <v>19.8</v>
      </c>
      <c r="D8" s="4">
        <v>114.8334</v>
      </c>
      <c r="E8" s="4">
        <v>36.799999999999997</v>
      </c>
      <c r="F8" s="4">
        <v>60.7</v>
      </c>
      <c r="G8" s="4">
        <v>243.33339999999998</v>
      </c>
      <c r="I8">
        <f t="shared" si="0"/>
        <v>48.666679999999999</v>
      </c>
    </row>
    <row r="9" spans="1:9" x14ac:dyDescent="0.25">
      <c r="A9" s="2">
        <v>22</v>
      </c>
      <c r="B9" s="4"/>
      <c r="C9" s="4"/>
      <c r="D9" s="4"/>
      <c r="E9" s="4"/>
      <c r="F9" s="4"/>
      <c r="G9" s="4"/>
    </row>
    <row r="10" spans="1:9" x14ac:dyDescent="0.25">
      <c r="A10" s="3">
        <v>8</v>
      </c>
      <c r="B10" s="4">
        <v>252.33330000000001</v>
      </c>
      <c r="C10" s="4">
        <v>6.4777000000000005</v>
      </c>
      <c r="D10" s="4">
        <v>148.15620000000001</v>
      </c>
      <c r="E10" s="4">
        <v>25.510099999999994</v>
      </c>
      <c r="F10" s="4">
        <v>83.128399999999999</v>
      </c>
      <c r="G10" s="4">
        <v>515.60570000000007</v>
      </c>
      <c r="I10">
        <f t="shared" si="0"/>
        <v>103.12114000000001</v>
      </c>
    </row>
    <row r="11" spans="1:9" x14ac:dyDescent="0.25">
      <c r="A11" s="3">
        <v>9</v>
      </c>
      <c r="B11" s="4">
        <v>474.03359999999998</v>
      </c>
      <c r="C11" s="4">
        <v>142.06</v>
      </c>
      <c r="D11" s="4">
        <v>249.04810000000003</v>
      </c>
      <c r="E11" s="4">
        <v>90.030500000000004</v>
      </c>
      <c r="F11" s="4">
        <v>212.96</v>
      </c>
      <c r="G11" s="4">
        <v>1168.1321999999998</v>
      </c>
      <c r="I11">
        <f t="shared" si="0"/>
        <v>233.62643999999995</v>
      </c>
    </row>
    <row r="12" spans="1:9" x14ac:dyDescent="0.25">
      <c r="A12" s="3">
        <v>10</v>
      </c>
      <c r="B12" s="4">
        <v>1585.7999000000002</v>
      </c>
      <c r="C12" s="4">
        <v>0</v>
      </c>
      <c r="D12" s="4">
        <v>0</v>
      </c>
      <c r="E12" s="4">
        <v>0</v>
      </c>
      <c r="F12" s="4">
        <v>0</v>
      </c>
      <c r="G12" s="4">
        <v>1585.7999000000002</v>
      </c>
      <c r="I12">
        <f t="shared" si="0"/>
        <v>317.15998000000002</v>
      </c>
    </row>
    <row r="13" spans="1:9" x14ac:dyDescent="0.25">
      <c r="A13" s="2">
        <v>23</v>
      </c>
      <c r="B13" s="4"/>
      <c r="C13" s="4"/>
      <c r="D13" s="4"/>
      <c r="E13" s="4"/>
      <c r="F13" s="4"/>
      <c r="G13" s="4"/>
    </row>
    <row r="14" spans="1:9" x14ac:dyDescent="0.25">
      <c r="A14" s="3">
        <v>8</v>
      </c>
      <c r="B14" s="4">
        <v>890.34999999999991</v>
      </c>
      <c r="C14" s="4">
        <v>917.4</v>
      </c>
      <c r="D14" s="4">
        <v>1528.4749999999999</v>
      </c>
      <c r="E14" s="4">
        <v>1106.415</v>
      </c>
      <c r="F14" s="4">
        <v>2700.2305000000001</v>
      </c>
      <c r="G14" s="4">
        <v>7142.8704999999991</v>
      </c>
      <c r="I14">
        <f t="shared" si="0"/>
        <v>1428.5740999999998</v>
      </c>
    </row>
    <row r="15" spans="1:9" x14ac:dyDescent="0.25">
      <c r="A15" s="3">
        <v>9</v>
      </c>
      <c r="B15" s="4">
        <v>5333.8</v>
      </c>
      <c r="C15" s="4">
        <v>347.34999999999997</v>
      </c>
      <c r="D15" s="4">
        <v>241.6</v>
      </c>
      <c r="E15" s="4">
        <v>532.45619999999997</v>
      </c>
      <c r="F15" s="4">
        <v>1376.3968</v>
      </c>
      <c r="G15" s="4">
        <v>7831.603000000001</v>
      </c>
      <c r="I15">
        <f t="shared" si="0"/>
        <v>1566.3206000000002</v>
      </c>
    </row>
    <row r="16" spans="1:9" x14ac:dyDescent="0.25">
      <c r="A16" s="2">
        <v>24</v>
      </c>
      <c r="B16" s="4"/>
      <c r="C16" s="4"/>
      <c r="D16" s="4"/>
      <c r="E16" s="4"/>
      <c r="F16" s="4"/>
      <c r="G16" s="4"/>
    </row>
    <row r="17" spans="1:9" x14ac:dyDescent="0.25">
      <c r="A17" s="3">
        <v>8</v>
      </c>
      <c r="B17" s="4">
        <v>60.829800000000006</v>
      </c>
      <c r="C17" s="4">
        <v>87.146000000000015</v>
      </c>
      <c r="D17" s="4">
        <v>44.873300000000008</v>
      </c>
      <c r="E17" s="4">
        <v>154.13550000000001</v>
      </c>
      <c r="F17" s="4">
        <v>114.71799999999999</v>
      </c>
      <c r="G17" s="4">
        <v>461.70259999999996</v>
      </c>
      <c r="I17">
        <f t="shared" si="0"/>
        <v>92.340519999999998</v>
      </c>
    </row>
    <row r="18" spans="1:9" x14ac:dyDescent="0.25">
      <c r="A18" s="3">
        <v>9</v>
      </c>
      <c r="B18" s="4">
        <v>331.54589999999996</v>
      </c>
      <c r="C18" s="4">
        <v>63.463699999999996</v>
      </c>
      <c r="D18" s="4">
        <v>132.9306</v>
      </c>
      <c r="E18" s="4">
        <v>724.50019999999995</v>
      </c>
      <c r="F18" s="4">
        <v>233.81480000000002</v>
      </c>
      <c r="G18" s="4">
        <v>1486.2552000000001</v>
      </c>
      <c r="I18">
        <f t="shared" si="0"/>
        <v>297.25103999999999</v>
      </c>
    </row>
    <row r="19" spans="1:9" x14ac:dyDescent="0.25">
      <c r="A19" s="3">
        <v>10</v>
      </c>
      <c r="B19" s="4">
        <v>1300.7558000000001</v>
      </c>
      <c r="C19" s="4">
        <v>1533.2001</v>
      </c>
      <c r="D19" s="4">
        <v>1203.9453000000001</v>
      </c>
      <c r="E19" s="4">
        <v>1977.0254</v>
      </c>
      <c r="F19" s="4">
        <v>2081.3507</v>
      </c>
      <c r="G19" s="4">
        <v>8096.2773000000007</v>
      </c>
      <c r="I19">
        <f t="shared" si="0"/>
        <v>1619.2554600000001</v>
      </c>
    </row>
    <row r="20" spans="1:9" x14ac:dyDescent="0.25">
      <c r="A20" s="2">
        <v>25</v>
      </c>
      <c r="B20" s="4"/>
      <c r="C20" s="4"/>
      <c r="D20" s="4"/>
      <c r="E20" s="4"/>
      <c r="F20" s="4"/>
      <c r="G20" s="4"/>
    </row>
    <row r="21" spans="1:9" x14ac:dyDescent="0.25">
      <c r="A21" s="3">
        <v>9</v>
      </c>
      <c r="B21" s="4">
        <v>86.703800000000001</v>
      </c>
      <c r="C21" s="4">
        <v>78.933300000000003</v>
      </c>
      <c r="D21" s="4">
        <v>444.21430000000004</v>
      </c>
      <c r="E21" s="4">
        <v>58.615200000000002</v>
      </c>
      <c r="F21" s="4">
        <v>591.99999999999989</v>
      </c>
      <c r="G21" s="4">
        <v>1260.4665999999997</v>
      </c>
      <c r="I21">
        <f t="shared" si="0"/>
        <v>252.09331999999995</v>
      </c>
    </row>
    <row r="22" spans="1:9" x14ac:dyDescent="0.25">
      <c r="A22" s="3">
        <v>10</v>
      </c>
      <c r="B22" s="4">
        <v>1348.0543</v>
      </c>
      <c r="C22" s="4">
        <v>1073.9134000000001</v>
      </c>
      <c r="D22" s="4">
        <v>3911.9456</v>
      </c>
      <c r="E22" s="4">
        <v>2975.0027000000005</v>
      </c>
      <c r="F22" s="4">
        <v>1414.7191</v>
      </c>
      <c r="G22" s="4">
        <v>10723.635100000001</v>
      </c>
      <c r="I22">
        <f t="shared" si="0"/>
        <v>2144.7270200000003</v>
      </c>
    </row>
    <row r="23" spans="1:9" x14ac:dyDescent="0.25">
      <c r="A23" s="3">
        <v>11</v>
      </c>
      <c r="B23" s="4">
        <v>3058.8607000000002</v>
      </c>
      <c r="C23" s="4">
        <v>2201.5531999999998</v>
      </c>
      <c r="D23" s="4">
        <v>1574.6323000000002</v>
      </c>
      <c r="E23" s="4">
        <v>2283.5723000000003</v>
      </c>
      <c r="F23" s="4">
        <v>1552.2413000000001</v>
      </c>
      <c r="G23" s="4">
        <v>10670.8598</v>
      </c>
      <c r="I23">
        <f t="shared" si="0"/>
        <v>2134.1719600000001</v>
      </c>
    </row>
    <row r="24" spans="1:9" x14ac:dyDescent="0.25">
      <c r="A24" s="3">
        <v>12</v>
      </c>
      <c r="B24" s="4">
        <v>370.3331</v>
      </c>
      <c r="C24" s="4">
        <v>2166.9290000000001</v>
      </c>
      <c r="D24" s="4">
        <v>508.65589999999997</v>
      </c>
      <c r="E24" s="4">
        <v>291.25830000000002</v>
      </c>
      <c r="F24" s="4">
        <v>2081.1457000000005</v>
      </c>
      <c r="G24" s="4">
        <v>5418.3220000000001</v>
      </c>
      <c r="I24">
        <f t="shared" si="0"/>
        <v>1083.6644000000001</v>
      </c>
    </row>
    <row r="25" spans="1:9" x14ac:dyDescent="0.25">
      <c r="A25" s="2">
        <v>26</v>
      </c>
      <c r="B25" s="4"/>
      <c r="C25" s="4"/>
      <c r="D25" s="4"/>
      <c r="E25" s="4"/>
      <c r="F25" s="4"/>
      <c r="G25" s="4"/>
    </row>
    <row r="26" spans="1:9" x14ac:dyDescent="0.25">
      <c r="A26" s="3">
        <v>9</v>
      </c>
      <c r="B26" s="4">
        <v>53.999999999999993</v>
      </c>
      <c r="C26" s="4">
        <v>6.2857000000000003</v>
      </c>
      <c r="D26" s="4">
        <v>135.25</v>
      </c>
      <c r="E26" s="4">
        <v>201.20000000000002</v>
      </c>
      <c r="F26" s="4">
        <v>117.2111</v>
      </c>
      <c r="G26" s="4">
        <v>513.94680000000005</v>
      </c>
      <c r="I26">
        <f t="shared" si="0"/>
        <v>102.78936000000002</v>
      </c>
    </row>
    <row r="27" spans="1:9" x14ac:dyDescent="0.25">
      <c r="A27" s="3">
        <v>10</v>
      </c>
      <c r="B27" s="4">
        <v>276.4522</v>
      </c>
      <c r="C27" s="4">
        <v>439.99980000000005</v>
      </c>
      <c r="D27" s="4">
        <v>1088.6432</v>
      </c>
      <c r="E27" s="4">
        <v>1191.9429</v>
      </c>
      <c r="F27" s="4">
        <v>499.39200000000005</v>
      </c>
      <c r="G27" s="4">
        <v>3496.4300999999996</v>
      </c>
      <c r="I27">
        <f t="shared" si="0"/>
        <v>699.28601999999989</v>
      </c>
    </row>
    <row r="28" spans="1:9" x14ac:dyDescent="0.25">
      <c r="A28" s="3">
        <v>11</v>
      </c>
      <c r="B28" s="4">
        <v>699.31269999999984</v>
      </c>
      <c r="C28" s="4">
        <v>2593.0639000000001</v>
      </c>
      <c r="D28" s="4">
        <v>1667.2386000000001</v>
      </c>
      <c r="E28" s="4">
        <v>217.85999999999999</v>
      </c>
      <c r="F28" s="4">
        <v>352.79990000000004</v>
      </c>
      <c r="G28" s="4">
        <v>5530.2750999999998</v>
      </c>
      <c r="I28">
        <f t="shared" si="0"/>
        <v>1106.05502</v>
      </c>
    </row>
    <row r="29" spans="1:9" x14ac:dyDescent="0.25">
      <c r="A29" s="3">
        <v>12</v>
      </c>
      <c r="B29" s="4">
        <v>852.85700000000008</v>
      </c>
      <c r="C29" s="4">
        <v>2112.6000000000004</v>
      </c>
      <c r="D29" s="4">
        <v>611.63150000000019</v>
      </c>
      <c r="E29" s="4">
        <v>252.57140000000001</v>
      </c>
      <c r="F29" s="4">
        <v>404.19990000000001</v>
      </c>
      <c r="G29" s="4">
        <v>4233.8598000000002</v>
      </c>
      <c r="I29">
        <f t="shared" si="0"/>
        <v>846.77196000000004</v>
      </c>
    </row>
    <row r="30" spans="1:9" x14ac:dyDescent="0.25">
      <c r="A30" s="3">
        <v>13</v>
      </c>
      <c r="B30" s="4">
        <v>67.499900000000011</v>
      </c>
      <c r="C30" s="4">
        <v>0</v>
      </c>
      <c r="D30" s="4">
        <v>70.166500000000013</v>
      </c>
      <c r="E30" s="4">
        <v>14</v>
      </c>
      <c r="F30" s="4">
        <v>283.33330000000001</v>
      </c>
      <c r="G30" s="4">
        <v>434.99970000000002</v>
      </c>
      <c r="I30">
        <f t="shared" si="0"/>
        <v>86.999940000000009</v>
      </c>
    </row>
    <row r="31" spans="1:9" x14ac:dyDescent="0.25">
      <c r="A31" s="3">
        <v>14</v>
      </c>
      <c r="B31" s="4">
        <v>0</v>
      </c>
      <c r="C31" s="4">
        <v>0</v>
      </c>
      <c r="D31" s="4">
        <v>0</v>
      </c>
      <c r="E31" s="4">
        <v>0</v>
      </c>
      <c r="F31" s="4">
        <v>405.99990000000008</v>
      </c>
      <c r="G31" s="4">
        <v>405.99990000000008</v>
      </c>
      <c r="I31">
        <f t="shared" si="0"/>
        <v>81.199980000000011</v>
      </c>
    </row>
    <row r="32" spans="1:9" x14ac:dyDescent="0.25">
      <c r="A32" s="2">
        <v>27</v>
      </c>
      <c r="B32" s="4"/>
      <c r="C32" s="4"/>
      <c r="D32" s="4"/>
      <c r="E32" s="4"/>
      <c r="F32" s="4"/>
      <c r="G32" s="4"/>
    </row>
    <row r="33" spans="1:9" x14ac:dyDescent="0.25">
      <c r="A33" s="3">
        <v>10</v>
      </c>
      <c r="B33" s="4">
        <v>1.5</v>
      </c>
      <c r="C33" s="4">
        <v>0</v>
      </c>
      <c r="D33" s="4">
        <v>28.999900000000004</v>
      </c>
      <c r="E33" s="4">
        <v>0</v>
      </c>
      <c r="F33" s="4">
        <v>0</v>
      </c>
      <c r="G33" s="4">
        <v>30.499900000000004</v>
      </c>
      <c r="I33">
        <f t="shared" si="0"/>
        <v>6.0999800000000004</v>
      </c>
    </row>
    <row r="34" spans="1:9" x14ac:dyDescent="0.25">
      <c r="A34" s="3">
        <v>11</v>
      </c>
      <c r="B34" s="4">
        <v>1.5</v>
      </c>
      <c r="C34" s="4">
        <v>18</v>
      </c>
      <c r="D34" s="4">
        <v>102.5</v>
      </c>
      <c r="E34" s="4">
        <v>700.25</v>
      </c>
      <c r="F34" s="4">
        <v>1.5</v>
      </c>
      <c r="G34" s="4">
        <v>823.75</v>
      </c>
      <c r="I34">
        <f t="shared" si="0"/>
        <v>164.75</v>
      </c>
    </row>
    <row r="35" spans="1:9" x14ac:dyDescent="0.25">
      <c r="A35" s="3">
        <v>12</v>
      </c>
      <c r="B35" s="4">
        <v>0</v>
      </c>
      <c r="C35" s="4">
        <v>0</v>
      </c>
      <c r="D35" s="4">
        <v>506</v>
      </c>
      <c r="E35" s="4">
        <v>0</v>
      </c>
      <c r="F35" s="4">
        <v>0</v>
      </c>
      <c r="G35" s="4">
        <v>506</v>
      </c>
      <c r="I35">
        <f t="shared" si="0"/>
        <v>101.2</v>
      </c>
    </row>
    <row r="36" spans="1:9" x14ac:dyDescent="0.25">
      <c r="A36" s="3">
        <v>13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I36">
        <f t="shared" si="0"/>
        <v>0</v>
      </c>
    </row>
    <row r="37" spans="1:9" x14ac:dyDescent="0.25">
      <c r="A37" s="2">
        <v>28</v>
      </c>
      <c r="B37" s="4"/>
      <c r="C37" s="4"/>
      <c r="D37" s="4"/>
      <c r="E37" s="4"/>
      <c r="F37" s="4"/>
      <c r="G37" s="4"/>
    </row>
    <row r="38" spans="1:9" x14ac:dyDescent="0.25">
      <c r="A38" s="3">
        <v>9</v>
      </c>
      <c r="B38" s="4">
        <v>4.2000999999999999</v>
      </c>
      <c r="C38" s="4">
        <v>5</v>
      </c>
      <c r="D38" s="4">
        <v>2.0000999999999998</v>
      </c>
      <c r="E38" s="4">
        <v>0</v>
      </c>
      <c r="F38" s="4">
        <v>5.3333000000000004</v>
      </c>
      <c r="G38" s="4">
        <v>16.5335</v>
      </c>
      <c r="I38">
        <f t="shared" si="0"/>
        <v>3.3067000000000002</v>
      </c>
    </row>
    <row r="39" spans="1:9" x14ac:dyDescent="0.25">
      <c r="A39" s="3">
        <v>10</v>
      </c>
      <c r="B39" s="4">
        <v>10.777699999999999</v>
      </c>
      <c r="C39" s="4">
        <v>15.333299999999999</v>
      </c>
      <c r="D39" s="4">
        <v>65.1999</v>
      </c>
      <c r="E39" s="4">
        <v>41.999900000000004</v>
      </c>
      <c r="F39" s="4">
        <v>54.857000000000006</v>
      </c>
      <c r="G39" s="4">
        <v>188.1678</v>
      </c>
      <c r="I39">
        <f t="shared" si="0"/>
        <v>37.633560000000003</v>
      </c>
    </row>
    <row r="40" spans="1:9" x14ac:dyDescent="0.25">
      <c r="A40" s="3">
        <v>11</v>
      </c>
      <c r="B40" s="4">
        <v>31.875</v>
      </c>
      <c r="C40" s="4">
        <v>78.000000000000014</v>
      </c>
      <c r="D40" s="4">
        <v>48.307799999999993</v>
      </c>
      <c r="E40" s="4">
        <v>187.41659999999996</v>
      </c>
      <c r="F40" s="4">
        <v>68.545299999999997</v>
      </c>
      <c r="G40" s="4">
        <v>414.14469999999994</v>
      </c>
      <c r="I40">
        <f t="shared" si="0"/>
        <v>82.828939999999989</v>
      </c>
    </row>
    <row r="41" spans="1:9" x14ac:dyDescent="0.25">
      <c r="A41" s="3">
        <v>12</v>
      </c>
      <c r="B41" s="4">
        <v>41.833300000000001</v>
      </c>
      <c r="C41" s="4">
        <v>89</v>
      </c>
      <c r="D41" s="4">
        <v>7</v>
      </c>
      <c r="E41" s="4">
        <v>0</v>
      </c>
      <c r="F41" s="4">
        <v>4.2499999999999991</v>
      </c>
      <c r="G41" s="4">
        <v>142.08330000000001</v>
      </c>
      <c r="I41">
        <f t="shared" si="0"/>
        <v>28.41666</v>
      </c>
    </row>
    <row r="52" spans="1:7" x14ac:dyDescent="0.25">
      <c r="A52" s="1" t="s">
        <v>25</v>
      </c>
      <c r="B52" s="1" t="s">
        <v>21</v>
      </c>
    </row>
    <row r="53" spans="1:7" x14ac:dyDescent="0.25">
      <c r="A53" s="1" t="s">
        <v>23</v>
      </c>
      <c r="B53">
        <v>2011</v>
      </c>
      <c r="C53">
        <v>2012</v>
      </c>
      <c r="D53">
        <v>2013</v>
      </c>
      <c r="E53">
        <v>2014</v>
      </c>
      <c r="F53">
        <v>2015</v>
      </c>
      <c r="G53" t="s">
        <v>22</v>
      </c>
    </row>
    <row r="54" spans="1:7" x14ac:dyDescent="0.25">
      <c r="A54" s="2">
        <v>21</v>
      </c>
      <c r="B54" s="4">
        <v>43.093366666666668</v>
      </c>
      <c r="C54" s="4">
        <v>86.496166666666667</v>
      </c>
      <c r="D54" s="4">
        <v>181.45506666666665</v>
      </c>
      <c r="E54" s="4">
        <v>437.88093333333336</v>
      </c>
      <c r="F54" s="4">
        <v>57.781266666666674</v>
      </c>
      <c r="G54" s="4">
        <v>161.34136000000001</v>
      </c>
    </row>
    <row r="55" spans="1:7" x14ac:dyDescent="0.25">
      <c r="A55" s="2">
        <v>22</v>
      </c>
      <c r="B55" s="4">
        <v>770.72226666666666</v>
      </c>
      <c r="C55" s="4">
        <v>74.26885</v>
      </c>
      <c r="D55" s="4">
        <v>198.60215000000002</v>
      </c>
      <c r="E55" s="4">
        <v>57.770299999999999</v>
      </c>
      <c r="F55" s="4">
        <v>148.04419999999999</v>
      </c>
      <c r="G55" s="4">
        <v>297.23070909090904</v>
      </c>
    </row>
    <row r="56" spans="1:7" x14ac:dyDescent="0.25">
      <c r="A56" s="2">
        <v>23</v>
      </c>
      <c r="B56" s="4">
        <v>3112.0749999999998</v>
      </c>
      <c r="C56" s="4">
        <v>632.375</v>
      </c>
      <c r="D56" s="4">
        <v>885.03749999999991</v>
      </c>
      <c r="E56" s="4">
        <v>819.43560000000002</v>
      </c>
      <c r="F56" s="4">
        <v>2038.3136500000001</v>
      </c>
      <c r="G56" s="4">
        <v>1497.4473499999999</v>
      </c>
    </row>
    <row r="57" spans="1:7" x14ac:dyDescent="0.25">
      <c r="A57" s="2">
        <v>24</v>
      </c>
      <c r="B57" s="4">
        <v>564.37716666666665</v>
      </c>
      <c r="C57" s="4">
        <v>561.26993333333337</v>
      </c>
      <c r="D57" s="4">
        <v>460.58306666666664</v>
      </c>
      <c r="E57" s="4">
        <v>951.88703333333331</v>
      </c>
      <c r="F57" s="4">
        <v>809.9611666666666</v>
      </c>
      <c r="G57" s="4">
        <v>669.61567333333346</v>
      </c>
    </row>
    <row r="58" spans="1:7" x14ac:dyDescent="0.25">
      <c r="A58" s="2">
        <v>25</v>
      </c>
      <c r="B58" s="4">
        <v>1215.987975</v>
      </c>
      <c r="C58" s="4">
        <v>1380.3322249999999</v>
      </c>
      <c r="D58" s="4">
        <v>1609.8620249999999</v>
      </c>
      <c r="E58" s="4">
        <v>1402.1121250000003</v>
      </c>
      <c r="F58" s="4">
        <v>1410.0265250000002</v>
      </c>
      <c r="G58" s="4">
        <v>1403.6641750000003</v>
      </c>
    </row>
    <row r="59" spans="1:7" x14ac:dyDescent="0.25">
      <c r="A59" s="2">
        <v>26</v>
      </c>
      <c r="B59" s="4">
        <v>325.02030000000002</v>
      </c>
      <c r="C59" s="4">
        <v>1030.3898800000002</v>
      </c>
      <c r="D59" s="4">
        <v>714.58596000000011</v>
      </c>
      <c r="E59" s="4">
        <v>375.51486</v>
      </c>
      <c r="F59" s="4">
        <v>343.82268333333337</v>
      </c>
      <c r="G59" s="4">
        <v>541.31523703703715</v>
      </c>
    </row>
    <row r="60" spans="1:7" x14ac:dyDescent="0.25">
      <c r="A60" s="2">
        <v>27</v>
      </c>
      <c r="B60" s="4">
        <v>0.75</v>
      </c>
      <c r="C60" s="4">
        <v>4.5</v>
      </c>
      <c r="D60" s="4">
        <v>159.37497500000001</v>
      </c>
      <c r="E60" s="4">
        <v>350.125</v>
      </c>
      <c r="F60" s="4">
        <v>0.5</v>
      </c>
      <c r="G60" s="4">
        <v>80.014700000000005</v>
      </c>
    </row>
    <row r="61" spans="1:7" x14ac:dyDescent="0.25">
      <c r="A61" s="2">
        <v>28</v>
      </c>
      <c r="B61" s="4">
        <v>22.171524999999999</v>
      </c>
      <c r="C61" s="4">
        <v>46.833325000000002</v>
      </c>
      <c r="D61" s="4">
        <v>30.626950000000001</v>
      </c>
      <c r="E61" s="4">
        <v>57.354124999999989</v>
      </c>
      <c r="F61" s="4">
        <v>33.246400000000001</v>
      </c>
      <c r="G61" s="4">
        <v>38.046464999999998</v>
      </c>
    </row>
  </sheetData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136"/>
  <sheetViews>
    <sheetView topLeftCell="A99" workbookViewId="0">
      <selection activeCell="D119" sqref="D119"/>
    </sheetView>
  </sheetViews>
  <sheetFormatPr defaultRowHeight="15" x14ac:dyDescent="0.25"/>
  <cols>
    <col min="7" max="7" width="13.85546875" bestFit="1" customWidth="1"/>
    <col min="18" max="18" width="7.85546875" customWidth="1"/>
    <col min="19" max="19" width="9" bestFit="1" customWidth="1"/>
  </cols>
  <sheetData>
    <row r="1" spans="1:2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24</v>
      </c>
    </row>
    <row r="2" spans="1:20" x14ac:dyDescent="0.25">
      <c r="A2" s="5" t="s">
        <v>19</v>
      </c>
      <c r="B2" s="5">
        <v>2011</v>
      </c>
      <c r="C2" s="5">
        <v>1</v>
      </c>
      <c r="D2" s="5">
        <v>21</v>
      </c>
      <c r="E2" s="5">
        <v>10</v>
      </c>
      <c r="F2" s="5">
        <v>126436</v>
      </c>
      <c r="G2" s="5" t="s">
        <v>20</v>
      </c>
      <c r="H2" s="5">
        <v>0</v>
      </c>
      <c r="I2" s="5">
        <v>9.1428999999999991</v>
      </c>
      <c r="J2" s="5">
        <v>4.6768000000000001</v>
      </c>
      <c r="K2" s="5">
        <v>4.7054</v>
      </c>
      <c r="L2" s="5">
        <v>0</v>
      </c>
      <c r="M2" s="5">
        <v>0.77500000000000002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20140611</v>
      </c>
      <c r="T2">
        <f t="shared" ref="T2:T33" si="0">SUM(I2:R2)</f>
        <v>19.300099999999997</v>
      </c>
    </row>
    <row r="3" spans="1:20" x14ac:dyDescent="0.25">
      <c r="A3" s="5" t="s">
        <v>19</v>
      </c>
      <c r="B3" s="5">
        <v>2011</v>
      </c>
      <c r="C3" s="5">
        <v>1</v>
      </c>
      <c r="D3" s="5">
        <v>21</v>
      </c>
      <c r="E3" s="5">
        <v>11</v>
      </c>
      <c r="F3" s="5">
        <v>126436</v>
      </c>
      <c r="G3" s="5" t="s">
        <v>20</v>
      </c>
      <c r="H3" s="5">
        <v>0</v>
      </c>
      <c r="I3" s="5">
        <v>7.5429000000000004</v>
      </c>
      <c r="J3" s="5">
        <v>3.4171</v>
      </c>
      <c r="K3" s="5">
        <v>0.24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20140611</v>
      </c>
      <c r="T3">
        <f t="shared" si="0"/>
        <v>11.200000000000001</v>
      </c>
    </row>
    <row r="4" spans="1:20" x14ac:dyDescent="0.25">
      <c r="A4" s="5" t="s">
        <v>19</v>
      </c>
      <c r="B4" s="5">
        <v>2011</v>
      </c>
      <c r="C4" s="5">
        <v>1</v>
      </c>
      <c r="D4" s="5">
        <v>21</v>
      </c>
      <c r="E4" s="5">
        <v>9</v>
      </c>
      <c r="F4" s="5">
        <v>126436</v>
      </c>
      <c r="G4" s="5" t="s">
        <v>20</v>
      </c>
      <c r="H4" s="5">
        <v>0</v>
      </c>
      <c r="I4" s="5">
        <v>61.144799999999996</v>
      </c>
      <c r="J4" s="5">
        <v>19.215</v>
      </c>
      <c r="K4" s="5">
        <v>18.420200000000001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20140611</v>
      </c>
      <c r="T4">
        <f t="shared" si="0"/>
        <v>98.78</v>
      </c>
    </row>
    <row r="5" spans="1:20" x14ac:dyDescent="0.25">
      <c r="A5" s="5" t="s">
        <v>19</v>
      </c>
      <c r="B5" s="5">
        <v>2011</v>
      </c>
      <c r="C5" s="5">
        <v>1</v>
      </c>
      <c r="D5" s="5">
        <v>22</v>
      </c>
      <c r="E5" s="5">
        <v>10</v>
      </c>
      <c r="F5" s="5">
        <v>126436</v>
      </c>
      <c r="G5" s="5" t="s">
        <v>20</v>
      </c>
      <c r="H5" s="5">
        <v>0</v>
      </c>
      <c r="I5" s="5">
        <v>253.8349</v>
      </c>
      <c r="J5" s="5">
        <v>637.87840000000006</v>
      </c>
      <c r="K5" s="5">
        <v>689.4366</v>
      </c>
      <c r="L5" s="5">
        <v>0</v>
      </c>
      <c r="M5" s="5">
        <v>0</v>
      </c>
      <c r="N5" s="5">
        <v>4.6500000000000004</v>
      </c>
      <c r="O5" s="5">
        <v>0</v>
      </c>
      <c r="P5" s="5">
        <v>0</v>
      </c>
      <c r="Q5" s="5">
        <v>0</v>
      </c>
      <c r="R5" s="5">
        <v>0</v>
      </c>
      <c r="S5" s="5">
        <v>20140611</v>
      </c>
      <c r="T5">
        <f t="shared" si="0"/>
        <v>1585.7999000000002</v>
      </c>
    </row>
    <row r="6" spans="1:20" x14ac:dyDescent="0.25">
      <c r="A6" s="5" t="s">
        <v>19</v>
      </c>
      <c r="B6" s="5">
        <v>2011</v>
      </c>
      <c r="C6" s="5">
        <v>1</v>
      </c>
      <c r="D6" s="5">
        <v>22</v>
      </c>
      <c r="E6" s="5">
        <v>8</v>
      </c>
      <c r="F6" s="5">
        <v>126436</v>
      </c>
      <c r="G6" s="5" t="s">
        <v>20</v>
      </c>
      <c r="H6" s="5">
        <v>0</v>
      </c>
      <c r="I6" s="5">
        <v>137.72030000000001</v>
      </c>
      <c r="J6" s="5">
        <v>35.186599999999999</v>
      </c>
      <c r="K6" s="5">
        <v>79.426400000000001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20140611</v>
      </c>
      <c r="T6">
        <f t="shared" si="0"/>
        <v>252.33330000000001</v>
      </c>
    </row>
    <row r="7" spans="1:20" x14ac:dyDescent="0.25">
      <c r="A7" s="5" t="s">
        <v>19</v>
      </c>
      <c r="B7" s="5">
        <v>2011</v>
      </c>
      <c r="C7" s="5">
        <v>1</v>
      </c>
      <c r="D7" s="5">
        <v>22</v>
      </c>
      <c r="E7" s="5">
        <v>9</v>
      </c>
      <c r="F7" s="5">
        <v>126436</v>
      </c>
      <c r="G7" s="5" t="s">
        <v>20</v>
      </c>
      <c r="H7" s="5">
        <v>0</v>
      </c>
      <c r="I7" s="5">
        <v>108.9247</v>
      </c>
      <c r="J7" s="5">
        <v>109.64619999999999</v>
      </c>
      <c r="K7" s="5">
        <v>252.55099999999999</v>
      </c>
      <c r="L7" s="5">
        <v>1.1793</v>
      </c>
      <c r="M7" s="5">
        <v>1.0941000000000001</v>
      </c>
      <c r="N7" s="5">
        <v>0.18240000000000001</v>
      </c>
      <c r="O7" s="5">
        <v>0</v>
      </c>
      <c r="P7" s="5">
        <v>0.27350000000000002</v>
      </c>
      <c r="Q7" s="5">
        <v>0</v>
      </c>
      <c r="R7" s="5">
        <v>0.18240000000000001</v>
      </c>
      <c r="S7" s="5">
        <v>20140611</v>
      </c>
      <c r="T7">
        <f t="shared" si="0"/>
        <v>474.03359999999998</v>
      </c>
    </row>
    <row r="8" spans="1:20" x14ac:dyDescent="0.25">
      <c r="A8" s="5" t="s">
        <v>19</v>
      </c>
      <c r="B8" s="5">
        <v>2011</v>
      </c>
      <c r="C8" s="5">
        <v>1</v>
      </c>
      <c r="D8" s="5">
        <v>23</v>
      </c>
      <c r="E8" s="5">
        <v>8</v>
      </c>
      <c r="F8" s="5">
        <v>126436</v>
      </c>
      <c r="G8" s="5" t="s">
        <v>20</v>
      </c>
      <c r="H8" s="5">
        <v>0</v>
      </c>
      <c r="I8" s="5">
        <v>45.4</v>
      </c>
      <c r="J8" s="5">
        <v>75.284999999999997</v>
      </c>
      <c r="K8" s="5">
        <v>768.37329999999997</v>
      </c>
      <c r="L8" s="5">
        <v>0.77500000000000002</v>
      </c>
      <c r="M8" s="5">
        <v>0.51670000000000005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20140611</v>
      </c>
      <c r="T8">
        <f t="shared" si="0"/>
        <v>890.34999999999991</v>
      </c>
    </row>
    <row r="9" spans="1:20" x14ac:dyDescent="0.25">
      <c r="A9" s="5" t="s">
        <v>19</v>
      </c>
      <c r="B9" s="5">
        <v>2011</v>
      </c>
      <c r="C9" s="5">
        <v>1</v>
      </c>
      <c r="D9" s="5">
        <v>23</v>
      </c>
      <c r="E9" s="5">
        <v>9</v>
      </c>
      <c r="F9" s="5">
        <v>126436</v>
      </c>
      <c r="G9" s="5" t="s">
        <v>20</v>
      </c>
      <c r="H9" s="5">
        <v>0</v>
      </c>
      <c r="I9" s="5">
        <v>124.2</v>
      </c>
      <c r="J9" s="5">
        <v>340.31</v>
      </c>
      <c r="K9" s="5">
        <v>4834.6733000000004</v>
      </c>
      <c r="L9" s="5">
        <v>6.2</v>
      </c>
      <c r="M9" s="5">
        <v>23.25</v>
      </c>
      <c r="N9" s="5">
        <v>5.1666999999999996</v>
      </c>
      <c r="O9" s="5">
        <v>0</v>
      </c>
      <c r="P9" s="5">
        <v>0</v>
      </c>
      <c r="Q9" s="5">
        <v>0</v>
      </c>
      <c r="R9" s="5">
        <v>0</v>
      </c>
      <c r="S9" s="5">
        <v>20140611</v>
      </c>
      <c r="T9">
        <f t="shared" si="0"/>
        <v>5333.8</v>
      </c>
    </row>
    <row r="10" spans="1:20" x14ac:dyDescent="0.25">
      <c r="A10" s="5" t="s">
        <v>19</v>
      </c>
      <c r="B10" s="5">
        <v>2011</v>
      </c>
      <c r="C10" s="5">
        <v>1</v>
      </c>
      <c r="D10" s="5">
        <v>24</v>
      </c>
      <c r="E10" s="5">
        <v>10</v>
      </c>
      <c r="F10" s="5">
        <v>126436</v>
      </c>
      <c r="G10" s="5" t="s">
        <v>20</v>
      </c>
      <c r="H10" s="5">
        <v>0</v>
      </c>
      <c r="I10" s="5">
        <v>66.270899999999997</v>
      </c>
      <c r="J10" s="5">
        <v>865.30269999999996</v>
      </c>
      <c r="K10" s="5">
        <v>317.79340000000002</v>
      </c>
      <c r="L10" s="5">
        <v>38.844900000000003</v>
      </c>
      <c r="M10" s="5">
        <v>8.3386999999999993</v>
      </c>
      <c r="N10" s="5">
        <v>3.3668</v>
      </c>
      <c r="O10" s="5">
        <v>0.37369999999999998</v>
      </c>
      <c r="P10" s="5">
        <v>0.25679999999999997</v>
      </c>
      <c r="Q10" s="5">
        <v>0.16070000000000001</v>
      </c>
      <c r="R10" s="5">
        <v>4.7199999999999999E-2</v>
      </c>
      <c r="S10" s="5">
        <v>20140611</v>
      </c>
      <c r="T10">
        <f t="shared" si="0"/>
        <v>1300.7558000000001</v>
      </c>
    </row>
    <row r="11" spans="1:20" x14ac:dyDescent="0.25">
      <c r="A11" s="5" t="s">
        <v>19</v>
      </c>
      <c r="B11" s="5">
        <v>2011</v>
      </c>
      <c r="C11" s="5">
        <v>1</v>
      </c>
      <c r="D11" s="5">
        <v>24</v>
      </c>
      <c r="E11" s="5">
        <v>8</v>
      </c>
      <c r="F11" s="5">
        <v>126436</v>
      </c>
      <c r="G11" s="5" t="s">
        <v>20</v>
      </c>
      <c r="H11" s="5">
        <v>0</v>
      </c>
      <c r="I11" s="5">
        <v>13.0954</v>
      </c>
      <c r="J11" s="5">
        <v>26.810500000000001</v>
      </c>
      <c r="K11" s="5">
        <v>17.377300000000002</v>
      </c>
      <c r="L11" s="5">
        <v>2.7052</v>
      </c>
      <c r="M11" s="5">
        <v>0.68200000000000005</v>
      </c>
      <c r="N11" s="5">
        <v>0.12839999999999999</v>
      </c>
      <c r="O11" s="5">
        <v>3.1E-2</v>
      </c>
      <c r="P11" s="5">
        <v>0</v>
      </c>
      <c r="Q11" s="5">
        <v>0</v>
      </c>
      <c r="R11" s="5">
        <v>0</v>
      </c>
      <c r="S11" s="5">
        <v>20140611</v>
      </c>
      <c r="T11">
        <f t="shared" si="0"/>
        <v>60.829800000000006</v>
      </c>
    </row>
    <row r="12" spans="1:20" x14ac:dyDescent="0.25">
      <c r="A12" s="5" t="s">
        <v>19</v>
      </c>
      <c r="B12" s="5">
        <v>2011</v>
      </c>
      <c r="C12" s="5">
        <v>1</v>
      </c>
      <c r="D12" s="5">
        <v>24</v>
      </c>
      <c r="E12" s="5">
        <v>9</v>
      </c>
      <c r="F12" s="5">
        <v>126436</v>
      </c>
      <c r="G12" s="5" t="s">
        <v>20</v>
      </c>
      <c r="H12" s="5">
        <v>0</v>
      </c>
      <c r="I12" s="5">
        <v>18.090399999999999</v>
      </c>
      <c r="J12" s="5">
        <v>185.078</v>
      </c>
      <c r="K12" s="5">
        <v>106.6614</v>
      </c>
      <c r="L12" s="5">
        <v>16.2942</v>
      </c>
      <c r="M12" s="5">
        <v>4.3996000000000004</v>
      </c>
      <c r="N12" s="5">
        <v>0.95579999999999998</v>
      </c>
      <c r="O12" s="5">
        <v>3.5200000000000002E-2</v>
      </c>
      <c r="P12" s="5">
        <v>0</v>
      </c>
      <c r="Q12" s="5">
        <v>0</v>
      </c>
      <c r="R12" s="5">
        <v>3.1300000000000001E-2</v>
      </c>
      <c r="S12" s="5">
        <v>20140611</v>
      </c>
      <c r="T12">
        <f t="shared" si="0"/>
        <v>331.54589999999996</v>
      </c>
    </row>
    <row r="13" spans="1:20" x14ac:dyDescent="0.25">
      <c r="A13" s="5" t="s">
        <v>19</v>
      </c>
      <c r="B13" s="5">
        <v>2011</v>
      </c>
      <c r="C13" s="5">
        <v>1</v>
      </c>
      <c r="D13" s="5">
        <v>25</v>
      </c>
      <c r="E13" s="5">
        <v>10</v>
      </c>
      <c r="F13" s="5">
        <v>126436</v>
      </c>
      <c r="G13" s="5" t="s">
        <v>20</v>
      </c>
      <c r="H13" s="5">
        <v>0</v>
      </c>
      <c r="I13" s="5">
        <v>13.643800000000001</v>
      </c>
      <c r="J13" s="5">
        <v>317.21949999999998</v>
      </c>
      <c r="K13" s="5">
        <v>650.70540000000005</v>
      </c>
      <c r="L13" s="5">
        <v>245.60470000000001</v>
      </c>
      <c r="M13" s="5">
        <v>99.950100000000006</v>
      </c>
      <c r="N13" s="5">
        <v>14.868499999999999</v>
      </c>
      <c r="O13" s="5">
        <v>4.2638999999999996</v>
      </c>
      <c r="P13" s="5">
        <v>1.4985999999999999</v>
      </c>
      <c r="Q13" s="5">
        <v>0.2331</v>
      </c>
      <c r="R13" s="5">
        <v>6.6699999999999995E-2</v>
      </c>
      <c r="S13" s="5">
        <v>20140611</v>
      </c>
      <c r="T13">
        <f t="shared" si="0"/>
        <v>1348.0543</v>
      </c>
    </row>
    <row r="14" spans="1:20" x14ac:dyDescent="0.25">
      <c r="A14" s="5" t="s">
        <v>19</v>
      </c>
      <c r="B14" s="5">
        <v>2011</v>
      </c>
      <c r="C14" s="5">
        <v>1</v>
      </c>
      <c r="D14" s="5">
        <v>25</v>
      </c>
      <c r="E14" s="5">
        <v>11</v>
      </c>
      <c r="F14" s="5">
        <v>126436</v>
      </c>
      <c r="G14" s="5" t="s">
        <v>20</v>
      </c>
      <c r="H14" s="5">
        <v>0</v>
      </c>
      <c r="I14" s="5">
        <v>47.2301</v>
      </c>
      <c r="J14" s="5">
        <v>845.55870000000004</v>
      </c>
      <c r="K14" s="5">
        <v>1458.9135000000001</v>
      </c>
      <c r="L14" s="5">
        <v>456.31689999999998</v>
      </c>
      <c r="M14" s="5">
        <v>192.6617</v>
      </c>
      <c r="N14" s="5">
        <v>41.652500000000003</v>
      </c>
      <c r="O14" s="5">
        <v>11.8917</v>
      </c>
      <c r="P14" s="5">
        <v>3.8208000000000002</v>
      </c>
      <c r="Q14" s="5">
        <v>0.60089999999999999</v>
      </c>
      <c r="R14" s="5">
        <v>0.21390000000000001</v>
      </c>
      <c r="S14" s="5">
        <v>20140611</v>
      </c>
      <c r="T14">
        <f t="shared" si="0"/>
        <v>3058.8607000000002</v>
      </c>
    </row>
    <row r="15" spans="1:20" x14ac:dyDescent="0.25">
      <c r="A15" s="5" t="s">
        <v>19</v>
      </c>
      <c r="B15" s="5">
        <v>2011</v>
      </c>
      <c r="C15" s="5">
        <v>1</v>
      </c>
      <c r="D15" s="5">
        <v>25</v>
      </c>
      <c r="E15" s="5">
        <v>12</v>
      </c>
      <c r="F15" s="5">
        <v>126436</v>
      </c>
      <c r="G15" s="5" t="s">
        <v>20</v>
      </c>
      <c r="H15" s="5">
        <v>0</v>
      </c>
      <c r="I15" s="5">
        <v>0.85519999999999996</v>
      </c>
      <c r="J15" s="5">
        <v>22.318999999999999</v>
      </c>
      <c r="K15" s="5">
        <v>153.07570000000001</v>
      </c>
      <c r="L15" s="5">
        <v>108.7467</v>
      </c>
      <c r="M15" s="5">
        <v>61.8735</v>
      </c>
      <c r="N15" s="5">
        <v>16.8916</v>
      </c>
      <c r="O15" s="5">
        <v>4.9459</v>
      </c>
      <c r="P15" s="5">
        <v>1.5394000000000001</v>
      </c>
      <c r="Q15" s="5">
        <v>1.3899999999999999E-2</v>
      </c>
      <c r="R15" s="5">
        <v>7.22E-2</v>
      </c>
      <c r="S15" s="5">
        <v>20140611</v>
      </c>
      <c r="T15">
        <f t="shared" si="0"/>
        <v>370.3331</v>
      </c>
    </row>
    <row r="16" spans="1:20" x14ac:dyDescent="0.25">
      <c r="A16" s="5" t="s">
        <v>19</v>
      </c>
      <c r="B16" s="5">
        <v>2011</v>
      </c>
      <c r="C16" s="5">
        <v>1</v>
      </c>
      <c r="D16" s="5">
        <v>25</v>
      </c>
      <c r="E16" s="5">
        <v>9</v>
      </c>
      <c r="F16" s="5">
        <v>126436</v>
      </c>
      <c r="G16" s="5" t="s">
        <v>20</v>
      </c>
      <c r="H16" s="5">
        <v>0</v>
      </c>
      <c r="I16" s="5">
        <v>1.8757999999999999</v>
      </c>
      <c r="J16" s="5">
        <v>8.9686000000000003</v>
      </c>
      <c r="K16" s="5">
        <v>48.531100000000002</v>
      </c>
      <c r="L16" s="5">
        <v>18.649100000000001</v>
      </c>
      <c r="M16" s="5">
        <v>7.0511999999999997</v>
      </c>
      <c r="N16" s="5">
        <v>1.1681999999999999</v>
      </c>
      <c r="O16" s="5">
        <v>0.40010000000000001</v>
      </c>
      <c r="P16" s="5">
        <v>5.9700000000000003E-2</v>
      </c>
      <c r="Q16" s="5">
        <v>0</v>
      </c>
      <c r="R16" s="5">
        <v>0</v>
      </c>
      <c r="S16" s="5">
        <v>20140611</v>
      </c>
      <c r="T16">
        <f t="shared" si="0"/>
        <v>86.703800000000001</v>
      </c>
    </row>
    <row r="17" spans="1:20" x14ac:dyDescent="0.25">
      <c r="A17" s="5" t="s">
        <v>19</v>
      </c>
      <c r="B17" s="5">
        <v>2011</v>
      </c>
      <c r="C17" s="5">
        <v>1</v>
      </c>
      <c r="D17" s="5">
        <v>26</v>
      </c>
      <c r="E17" s="5">
        <v>10</v>
      </c>
      <c r="F17" s="5">
        <v>126436</v>
      </c>
      <c r="G17" s="5" t="s">
        <v>20</v>
      </c>
      <c r="H17" s="5">
        <v>0</v>
      </c>
      <c r="I17" s="5">
        <v>8.1242000000000001</v>
      </c>
      <c r="J17" s="5">
        <v>59.497900000000001</v>
      </c>
      <c r="K17" s="5">
        <v>118.3835</v>
      </c>
      <c r="L17" s="5">
        <v>62.955399999999997</v>
      </c>
      <c r="M17" s="5">
        <v>17.299299999999999</v>
      </c>
      <c r="N17" s="5">
        <v>6.9050000000000002</v>
      </c>
      <c r="O17" s="5">
        <v>1.6955</v>
      </c>
      <c r="P17" s="5">
        <v>1.0366</v>
      </c>
      <c r="Q17" s="5">
        <v>0.39190000000000003</v>
      </c>
      <c r="R17" s="5">
        <v>0.16289999999999999</v>
      </c>
      <c r="S17" s="5">
        <v>20140611</v>
      </c>
      <c r="T17">
        <f t="shared" si="0"/>
        <v>276.4522</v>
      </c>
    </row>
    <row r="18" spans="1:20" x14ac:dyDescent="0.25">
      <c r="A18" s="5" t="s">
        <v>19</v>
      </c>
      <c r="B18" s="5">
        <v>2011</v>
      </c>
      <c r="C18" s="5">
        <v>1</v>
      </c>
      <c r="D18" s="5">
        <v>26</v>
      </c>
      <c r="E18" s="5">
        <v>11</v>
      </c>
      <c r="F18" s="5">
        <v>126436</v>
      </c>
      <c r="G18" s="5" t="s">
        <v>20</v>
      </c>
      <c r="H18" s="5">
        <v>0</v>
      </c>
      <c r="I18" s="5">
        <v>7.1056999999999997</v>
      </c>
      <c r="J18" s="5">
        <v>112.18049999999999</v>
      </c>
      <c r="K18" s="5">
        <v>295.81599999999997</v>
      </c>
      <c r="L18" s="5">
        <v>184.75790000000001</v>
      </c>
      <c r="M18" s="5">
        <v>62.125100000000003</v>
      </c>
      <c r="N18" s="5">
        <v>25.166399999999999</v>
      </c>
      <c r="O18" s="5">
        <v>6.6020000000000003</v>
      </c>
      <c r="P18" s="5">
        <v>3.3292999999999999</v>
      </c>
      <c r="Q18" s="5">
        <v>1.3905000000000001</v>
      </c>
      <c r="R18" s="5">
        <v>0.83930000000000005</v>
      </c>
      <c r="S18" s="5">
        <v>20140611</v>
      </c>
      <c r="T18">
        <f t="shared" si="0"/>
        <v>699.31269999999984</v>
      </c>
    </row>
    <row r="19" spans="1:20" x14ac:dyDescent="0.25">
      <c r="A19" s="5" t="s">
        <v>19</v>
      </c>
      <c r="B19" s="5">
        <v>2011</v>
      </c>
      <c r="C19" s="5">
        <v>1</v>
      </c>
      <c r="D19" s="5">
        <v>26</v>
      </c>
      <c r="E19" s="5">
        <v>12</v>
      </c>
      <c r="F19" s="5">
        <v>126436</v>
      </c>
      <c r="G19" s="5" t="s">
        <v>20</v>
      </c>
      <c r="H19" s="5">
        <v>0</v>
      </c>
      <c r="I19" s="5">
        <v>10.4222</v>
      </c>
      <c r="J19" s="5">
        <v>159.78890000000001</v>
      </c>
      <c r="K19" s="5">
        <v>363.19049999999999</v>
      </c>
      <c r="L19" s="5">
        <v>215.29599999999999</v>
      </c>
      <c r="M19" s="5">
        <v>65.951999999999998</v>
      </c>
      <c r="N19" s="5">
        <v>24.9434</v>
      </c>
      <c r="O19" s="5">
        <v>6.1421999999999999</v>
      </c>
      <c r="P19" s="5">
        <v>3.9432</v>
      </c>
      <c r="Q19" s="5">
        <v>1.6325000000000001</v>
      </c>
      <c r="R19" s="5">
        <v>1.5461</v>
      </c>
      <c r="S19" s="5">
        <v>20140611</v>
      </c>
      <c r="T19">
        <f t="shared" si="0"/>
        <v>852.85700000000008</v>
      </c>
    </row>
    <row r="20" spans="1:20" x14ac:dyDescent="0.25">
      <c r="A20" s="5" t="s">
        <v>19</v>
      </c>
      <c r="B20" s="5">
        <v>2011</v>
      </c>
      <c r="C20" s="5">
        <v>1</v>
      </c>
      <c r="D20" s="5">
        <v>26</v>
      </c>
      <c r="E20" s="5">
        <v>13</v>
      </c>
      <c r="F20" s="5">
        <v>126436</v>
      </c>
      <c r="G20" s="5" t="s">
        <v>20</v>
      </c>
      <c r="H20" s="5">
        <v>0</v>
      </c>
      <c r="I20" s="5">
        <v>0.84889999999999999</v>
      </c>
      <c r="J20" s="5">
        <v>11.0693</v>
      </c>
      <c r="K20" s="5">
        <v>19.681799999999999</v>
      </c>
      <c r="L20" s="5">
        <v>17.244700000000002</v>
      </c>
      <c r="M20" s="5">
        <v>10.1625</v>
      </c>
      <c r="N20" s="5">
        <v>4.0468000000000002</v>
      </c>
      <c r="O20" s="5">
        <v>1.7065999999999999</v>
      </c>
      <c r="P20" s="5">
        <v>1.4320999999999999</v>
      </c>
      <c r="Q20" s="5">
        <v>0.89049999999999996</v>
      </c>
      <c r="R20" s="5">
        <v>0.41670000000000001</v>
      </c>
      <c r="S20" s="5">
        <v>20140611</v>
      </c>
      <c r="T20">
        <f t="shared" si="0"/>
        <v>67.499900000000011</v>
      </c>
    </row>
    <row r="21" spans="1:20" x14ac:dyDescent="0.25">
      <c r="A21" s="5" t="s">
        <v>19</v>
      </c>
      <c r="B21" s="5">
        <v>2011</v>
      </c>
      <c r="C21" s="5">
        <v>1</v>
      </c>
      <c r="D21" s="5">
        <v>26</v>
      </c>
      <c r="E21" s="5">
        <v>14</v>
      </c>
      <c r="F21" s="5">
        <v>126436</v>
      </c>
      <c r="G21" s="5" t="s">
        <v>20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20140611</v>
      </c>
      <c r="T21">
        <f t="shared" si="0"/>
        <v>0</v>
      </c>
    </row>
    <row r="22" spans="1:20" x14ac:dyDescent="0.25">
      <c r="A22" s="5" t="s">
        <v>19</v>
      </c>
      <c r="B22" s="5">
        <v>2011</v>
      </c>
      <c r="C22" s="5">
        <v>1</v>
      </c>
      <c r="D22" s="5">
        <v>26</v>
      </c>
      <c r="E22" s="5">
        <v>9</v>
      </c>
      <c r="F22" s="5">
        <v>126436</v>
      </c>
      <c r="G22" s="5" t="s">
        <v>20</v>
      </c>
      <c r="H22" s="5">
        <v>0</v>
      </c>
      <c r="I22" s="5">
        <v>16.104299999999999</v>
      </c>
      <c r="J22" s="5">
        <v>9.0107999999999997</v>
      </c>
      <c r="K22" s="5">
        <v>15.234</v>
      </c>
      <c r="L22" s="5">
        <v>9.7528000000000006</v>
      </c>
      <c r="M22" s="5">
        <v>2.3260999999999998</v>
      </c>
      <c r="N22" s="5">
        <v>0.95079999999999998</v>
      </c>
      <c r="O22" s="5">
        <v>0.39169999999999999</v>
      </c>
      <c r="P22" s="5">
        <v>8.6599999999999996E-2</v>
      </c>
      <c r="Q22" s="5">
        <v>0.1429</v>
      </c>
      <c r="R22" s="5">
        <v>0</v>
      </c>
      <c r="S22" s="5">
        <v>20140611</v>
      </c>
      <c r="T22">
        <f t="shared" si="0"/>
        <v>53.999999999999993</v>
      </c>
    </row>
    <row r="23" spans="1:20" x14ac:dyDescent="0.25">
      <c r="A23" s="5" t="s">
        <v>19</v>
      </c>
      <c r="B23" s="5">
        <v>2011</v>
      </c>
      <c r="C23" s="5">
        <v>1</v>
      </c>
      <c r="D23" s="5">
        <v>27</v>
      </c>
      <c r="E23" s="5">
        <v>10</v>
      </c>
      <c r="F23" s="5">
        <v>126436</v>
      </c>
      <c r="G23" s="5" t="s">
        <v>20</v>
      </c>
      <c r="H23" s="5">
        <v>0</v>
      </c>
      <c r="I23" s="5">
        <v>0</v>
      </c>
      <c r="J23" s="5">
        <v>1.5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20140611</v>
      </c>
      <c r="T23">
        <f t="shared" si="0"/>
        <v>1.5</v>
      </c>
    </row>
    <row r="24" spans="1:20" x14ac:dyDescent="0.25">
      <c r="A24" s="5" t="s">
        <v>19</v>
      </c>
      <c r="B24" s="5">
        <v>2011</v>
      </c>
      <c r="C24" s="5">
        <v>1</v>
      </c>
      <c r="D24" s="5">
        <v>27</v>
      </c>
      <c r="E24" s="5">
        <v>11</v>
      </c>
      <c r="F24" s="5">
        <v>126436</v>
      </c>
      <c r="G24" s="5" t="s">
        <v>20</v>
      </c>
      <c r="H24" s="5">
        <v>0</v>
      </c>
      <c r="I24" s="5">
        <v>0</v>
      </c>
      <c r="J24" s="5">
        <v>0.375</v>
      </c>
      <c r="K24" s="5">
        <v>1.125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20140611</v>
      </c>
      <c r="T24">
        <f t="shared" si="0"/>
        <v>1.5</v>
      </c>
    </row>
    <row r="25" spans="1:20" x14ac:dyDescent="0.25">
      <c r="A25" s="5" t="s">
        <v>19</v>
      </c>
      <c r="B25" s="5">
        <v>2011</v>
      </c>
      <c r="C25" s="5">
        <v>1</v>
      </c>
      <c r="D25" s="5">
        <v>27</v>
      </c>
      <c r="E25" s="5">
        <v>12</v>
      </c>
      <c r="F25" s="5">
        <v>126436</v>
      </c>
      <c r="G25" s="5" t="s">
        <v>20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20140611</v>
      </c>
      <c r="T25">
        <f t="shared" si="0"/>
        <v>0</v>
      </c>
    </row>
    <row r="26" spans="1:20" x14ac:dyDescent="0.25">
      <c r="A26" s="5" t="s">
        <v>19</v>
      </c>
      <c r="B26" s="5">
        <v>2011</v>
      </c>
      <c r="C26" s="5">
        <v>1</v>
      </c>
      <c r="D26" s="5">
        <v>27</v>
      </c>
      <c r="E26" s="5">
        <v>13</v>
      </c>
      <c r="F26" s="5">
        <v>126436</v>
      </c>
      <c r="G26" s="5" t="s">
        <v>20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20140611</v>
      </c>
      <c r="T26">
        <f t="shared" si="0"/>
        <v>0</v>
      </c>
    </row>
    <row r="27" spans="1:20" x14ac:dyDescent="0.25">
      <c r="A27" s="5" t="s">
        <v>19</v>
      </c>
      <c r="B27" s="5">
        <v>2011</v>
      </c>
      <c r="C27" s="5">
        <v>1</v>
      </c>
      <c r="D27" s="5">
        <v>28</v>
      </c>
      <c r="E27" s="5">
        <v>10</v>
      </c>
      <c r="F27" s="5">
        <v>126436</v>
      </c>
      <c r="G27" s="5" t="s">
        <v>20</v>
      </c>
      <c r="H27" s="5">
        <v>0</v>
      </c>
      <c r="I27" s="5">
        <v>1.3332999999999999</v>
      </c>
      <c r="J27" s="5">
        <v>1.9698</v>
      </c>
      <c r="K27" s="5">
        <v>3.1004999999999998</v>
      </c>
      <c r="L27" s="5">
        <v>2.6171000000000002</v>
      </c>
      <c r="M27" s="5">
        <v>1.6829000000000001</v>
      </c>
      <c r="N27" s="5">
        <v>7.4099999999999999E-2</v>
      </c>
      <c r="O27" s="5">
        <v>0</v>
      </c>
      <c r="P27" s="5">
        <v>0</v>
      </c>
      <c r="Q27" s="5">
        <v>0</v>
      </c>
      <c r="R27" s="5">
        <v>0</v>
      </c>
      <c r="S27" s="5">
        <v>20140611</v>
      </c>
      <c r="T27">
        <f t="shared" si="0"/>
        <v>10.777699999999999</v>
      </c>
    </row>
    <row r="28" spans="1:20" x14ac:dyDescent="0.25">
      <c r="A28" s="5" t="s">
        <v>19</v>
      </c>
      <c r="B28" s="5">
        <v>2011</v>
      </c>
      <c r="C28" s="5">
        <v>1</v>
      </c>
      <c r="D28" s="5">
        <v>28</v>
      </c>
      <c r="E28" s="5">
        <v>11</v>
      </c>
      <c r="F28" s="5">
        <v>126436</v>
      </c>
      <c r="G28" s="5" t="s">
        <v>20</v>
      </c>
      <c r="H28" s="5">
        <v>0</v>
      </c>
      <c r="I28" s="5">
        <v>1.2031000000000001</v>
      </c>
      <c r="J28" s="5">
        <v>10.6038</v>
      </c>
      <c r="K28" s="5">
        <v>9.3389000000000006</v>
      </c>
      <c r="L28" s="5">
        <v>7.2801999999999998</v>
      </c>
      <c r="M28" s="5">
        <v>3.3239999999999998</v>
      </c>
      <c r="N28" s="5">
        <v>0.125</v>
      </c>
      <c r="O28" s="5">
        <v>0</v>
      </c>
      <c r="P28" s="5">
        <v>0</v>
      </c>
      <c r="Q28" s="5">
        <v>0</v>
      </c>
      <c r="R28" s="5">
        <v>0</v>
      </c>
      <c r="S28" s="5">
        <v>20140611</v>
      </c>
      <c r="T28">
        <f t="shared" si="0"/>
        <v>31.875</v>
      </c>
    </row>
    <row r="29" spans="1:20" x14ac:dyDescent="0.25">
      <c r="A29" s="5" t="s">
        <v>19</v>
      </c>
      <c r="B29" s="5">
        <v>2011</v>
      </c>
      <c r="C29" s="5">
        <v>1</v>
      </c>
      <c r="D29" s="5">
        <v>28</v>
      </c>
      <c r="E29" s="5">
        <v>12</v>
      </c>
      <c r="F29" s="5">
        <v>126436</v>
      </c>
      <c r="G29" s="5" t="s">
        <v>20</v>
      </c>
      <c r="H29" s="5">
        <v>0</v>
      </c>
      <c r="I29" s="5">
        <v>0.38890000000000002</v>
      </c>
      <c r="J29" s="5">
        <v>20.049099999999999</v>
      </c>
      <c r="K29" s="5">
        <v>11.7644</v>
      </c>
      <c r="L29" s="5">
        <v>6.9119000000000002</v>
      </c>
      <c r="M29" s="5">
        <v>2.7189999999999999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20140611</v>
      </c>
      <c r="T29">
        <f t="shared" si="0"/>
        <v>41.833300000000001</v>
      </c>
    </row>
    <row r="30" spans="1:20" x14ac:dyDescent="0.25">
      <c r="A30" s="5" t="s">
        <v>19</v>
      </c>
      <c r="B30" s="5">
        <v>2011</v>
      </c>
      <c r="C30" s="5">
        <v>1</v>
      </c>
      <c r="D30" s="5">
        <v>28</v>
      </c>
      <c r="E30" s="5">
        <v>9</v>
      </c>
      <c r="F30" s="5">
        <v>126436</v>
      </c>
      <c r="G30" s="5" t="s">
        <v>20</v>
      </c>
      <c r="H30" s="5">
        <v>0</v>
      </c>
      <c r="I30" s="5">
        <v>0.4</v>
      </c>
      <c r="J30" s="5">
        <v>0.7</v>
      </c>
      <c r="K30" s="5">
        <v>1.3448</v>
      </c>
      <c r="L30" s="5">
        <v>1.2638</v>
      </c>
      <c r="M30" s="5">
        <v>0.42480000000000001</v>
      </c>
      <c r="N30" s="5">
        <v>6.6699999999999995E-2</v>
      </c>
      <c r="O30" s="5">
        <v>0</v>
      </c>
      <c r="P30" s="5">
        <v>0</v>
      </c>
      <c r="Q30" s="5">
        <v>0</v>
      </c>
      <c r="R30" s="5">
        <v>0</v>
      </c>
      <c r="S30" s="5">
        <v>20140611</v>
      </c>
      <c r="T30">
        <f t="shared" si="0"/>
        <v>4.2000999999999999</v>
      </c>
    </row>
    <row r="31" spans="1:20" x14ac:dyDescent="0.25">
      <c r="A31" s="5" t="s">
        <v>19</v>
      </c>
      <c r="B31" s="5">
        <v>2012</v>
      </c>
      <c r="C31" s="5">
        <v>1</v>
      </c>
      <c r="D31" s="5">
        <v>21</v>
      </c>
      <c r="E31" s="5">
        <v>10</v>
      </c>
      <c r="F31" s="5">
        <v>126436</v>
      </c>
      <c r="G31" s="5" t="s">
        <v>20</v>
      </c>
      <c r="H31" s="5">
        <v>0</v>
      </c>
      <c r="I31" s="5">
        <v>137.91720000000001</v>
      </c>
      <c r="J31" s="5">
        <v>7.6452</v>
      </c>
      <c r="K31" s="5">
        <v>1.64</v>
      </c>
      <c r="L31" s="5">
        <v>1.24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20140611</v>
      </c>
      <c r="T31">
        <f t="shared" si="0"/>
        <v>148.44239999999999</v>
      </c>
    </row>
    <row r="32" spans="1:20" x14ac:dyDescent="0.25">
      <c r="A32" s="5" t="s">
        <v>19</v>
      </c>
      <c r="B32" s="5">
        <v>2012</v>
      </c>
      <c r="C32" s="5">
        <v>1</v>
      </c>
      <c r="D32" s="5">
        <v>21</v>
      </c>
      <c r="E32" s="5">
        <v>11</v>
      </c>
      <c r="F32" s="5">
        <v>126436</v>
      </c>
      <c r="G32" s="5" t="s">
        <v>20</v>
      </c>
      <c r="H32" s="5">
        <v>0</v>
      </c>
      <c r="I32" s="5">
        <v>17.8491</v>
      </c>
      <c r="J32" s="5">
        <v>1.9509000000000001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20140611</v>
      </c>
      <c r="T32">
        <f t="shared" si="0"/>
        <v>19.8</v>
      </c>
    </row>
    <row r="33" spans="1:20" x14ac:dyDescent="0.25">
      <c r="A33" s="5" t="s">
        <v>19</v>
      </c>
      <c r="B33" s="5">
        <v>2012</v>
      </c>
      <c r="C33" s="5">
        <v>1</v>
      </c>
      <c r="D33" s="5">
        <v>21</v>
      </c>
      <c r="E33" s="5">
        <v>9</v>
      </c>
      <c r="F33" s="5">
        <v>126436</v>
      </c>
      <c r="G33" s="5" t="s">
        <v>20</v>
      </c>
      <c r="H33" s="5">
        <v>0</v>
      </c>
      <c r="I33" s="5">
        <v>75.694900000000004</v>
      </c>
      <c r="J33" s="5">
        <v>12.5418</v>
      </c>
      <c r="K33" s="5">
        <v>2.0556000000000001</v>
      </c>
      <c r="L33" s="5">
        <v>0.95379999999999998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20140611</v>
      </c>
      <c r="T33">
        <f t="shared" si="0"/>
        <v>91.246099999999998</v>
      </c>
    </row>
    <row r="34" spans="1:20" x14ac:dyDescent="0.25">
      <c r="A34" s="5" t="s">
        <v>19</v>
      </c>
      <c r="B34" s="5">
        <v>2012</v>
      </c>
      <c r="C34" s="5">
        <v>1</v>
      </c>
      <c r="D34" s="5">
        <v>22</v>
      </c>
      <c r="E34" s="5">
        <v>8</v>
      </c>
      <c r="F34" s="5">
        <v>126436</v>
      </c>
      <c r="G34" s="5" t="s">
        <v>20</v>
      </c>
      <c r="H34" s="5">
        <v>0</v>
      </c>
      <c r="I34" s="5">
        <v>1.2222</v>
      </c>
      <c r="J34" s="5">
        <v>1.4749000000000001</v>
      </c>
      <c r="K34" s="5">
        <v>0.83799999999999997</v>
      </c>
      <c r="L34" s="5">
        <v>2.9426000000000001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20140611</v>
      </c>
      <c r="T34">
        <f t="shared" ref="T34:T65" si="1">SUM(I34:R34)</f>
        <v>6.4777000000000005</v>
      </c>
    </row>
    <row r="35" spans="1:20" x14ac:dyDescent="0.25">
      <c r="A35" s="5" t="s">
        <v>19</v>
      </c>
      <c r="B35" s="5">
        <v>2012</v>
      </c>
      <c r="C35" s="5">
        <v>1</v>
      </c>
      <c r="D35" s="5">
        <v>22</v>
      </c>
      <c r="E35" s="5">
        <v>9</v>
      </c>
      <c r="F35" s="5">
        <v>126436</v>
      </c>
      <c r="G35" s="5" t="s">
        <v>20</v>
      </c>
      <c r="H35" s="5">
        <v>0</v>
      </c>
      <c r="I35" s="5">
        <v>18.258400000000002</v>
      </c>
      <c r="J35" s="5">
        <v>37.591999999999999</v>
      </c>
      <c r="K35" s="5">
        <v>45.966900000000003</v>
      </c>
      <c r="L35" s="5">
        <v>39.652299999999997</v>
      </c>
      <c r="M35" s="5">
        <v>0.29520000000000002</v>
      </c>
      <c r="N35" s="5">
        <v>0.29520000000000002</v>
      </c>
      <c r="O35" s="5">
        <v>0</v>
      </c>
      <c r="P35" s="5">
        <v>0</v>
      </c>
      <c r="Q35" s="5">
        <v>0</v>
      </c>
      <c r="R35" s="5">
        <v>0</v>
      </c>
      <c r="S35" s="5">
        <v>20140611</v>
      </c>
      <c r="T35">
        <f t="shared" si="1"/>
        <v>142.06</v>
      </c>
    </row>
    <row r="36" spans="1:20" x14ac:dyDescent="0.25">
      <c r="A36" s="5" t="s">
        <v>19</v>
      </c>
      <c r="B36" s="5">
        <v>2012</v>
      </c>
      <c r="C36" s="5">
        <v>1</v>
      </c>
      <c r="D36" s="5">
        <v>23</v>
      </c>
      <c r="E36" s="5">
        <v>8</v>
      </c>
      <c r="F36" s="5">
        <v>126436</v>
      </c>
      <c r="G36" s="5" t="s">
        <v>20</v>
      </c>
      <c r="H36" s="5">
        <v>0</v>
      </c>
      <c r="I36" s="5">
        <v>54.96</v>
      </c>
      <c r="J36" s="5">
        <v>324.27999999999997</v>
      </c>
      <c r="K36" s="5">
        <v>369.83</v>
      </c>
      <c r="L36" s="5">
        <v>168.33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20140611</v>
      </c>
      <c r="T36">
        <f t="shared" si="1"/>
        <v>917.4</v>
      </c>
    </row>
    <row r="37" spans="1:20" x14ac:dyDescent="0.25">
      <c r="A37" s="5" t="s">
        <v>19</v>
      </c>
      <c r="B37" s="5">
        <v>2012</v>
      </c>
      <c r="C37" s="5">
        <v>1</v>
      </c>
      <c r="D37" s="5">
        <v>23</v>
      </c>
      <c r="E37" s="5">
        <v>9</v>
      </c>
      <c r="F37" s="5">
        <v>126436</v>
      </c>
      <c r="G37" s="5" t="s">
        <v>20</v>
      </c>
      <c r="H37" s="5">
        <v>0</v>
      </c>
      <c r="I37" s="5">
        <v>69.55</v>
      </c>
      <c r="J37" s="5">
        <v>96.837500000000006</v>
      </c>
      <c r="K37" s="5">
        <v>125.67919999999999</v>
      </c>
      <c r="L37" s="5">
        <v>55.283299999999997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20140611</v>
      </c>
      <c r="T37">
        <f t="shared" si="1"/>
        <v>347.34999999999997</v>
      </c>
    </row>
    <row r="38" spans="1:20" x14ac:dyDescent="0.25">
      <c r="A38" s="5" t="s">
        <v>19</v>
      </c>
      <c r="B38" s="5">
        <v>2012</v>
      </c>
      <c r="C38" s="5">
        <v>1</v>
      </c>
      <c r="D38" s="5">
        <v>24</v>
      </c>
      <c r="E38" s="5">
        <v>10</v>
      </c>
      <c r="F38" s="5">
        <v>126436</v>
      </c>
      <c r="G38" s="5" t="s">
        <v>20</v>
      </c>
      <c r="H38" s="5">
        <v>0</v>
      </c>
      <c r="I38" s="5">
        <v>134.47919999999999</v>
      </c>
      <c r="J38" s="5">
        <v>580.49710000000005</v>
      </c>
      <c r="K38" s="5">
        <v>575.37249999999995</v>
      </c>
      <c r="L38" s="5">
        <v>205.26249999999999</v>
      </c>
      <c r="M38" s="5">
        <v>32.459899999999998</v>
      </c>
      <c r="N38" s="5">
        <v>4.6044</v>
      </c>
      <c r="O38" s="5">
        <v>0.1961</v>
      </c>
      <c r="P38" s="5">
        <v>0.32840000000000003</v>
      </c>
      <c r="Q38" s="5">
        <v>0</v>
      </c>
      <c r="R38" s="5">
        <v>0</v>
      </c>
      <c r="S38" s="5">
        <v>20140611</v>
      </c>
      <c r="T38">
        <f t="shared" si="1"/>
        <v>1533.2001</v>
      </c>
    </row>
    <row r="39" spans="1:20" x14ac:dyDescent="0.25">
      <c r="A39" s="5" t="s">
        <v>19</v>
      </c>
      <c r="B39" s="5">
        <v>2012</v>
      </c>
      <c r="C39" s="5">
        <v>1</v>
      </c>
      <c r="D39" s="5">
        <v>24</v>
      </c>
      <c r="E39" s="5">
        <v>8</v>
      </c>
      <c r="F39" s="5">
        <v>126436</v>
      </c>
      <c r="G39" s="5" t="s">
        <v>20</v>
      </c>
      <c r="H39" s="5">
        <v>0</v>
      </c>
      <c r="I39" s="5">
        <v>11.880800000000001</v>
      </c>
      <c r="J39" s="5">
        <v>30.527000000000001</v>
      </c>
      <c r="K39" s="5">
        <v>29.335599999999999</v>
      </c>
      <c r="L39" s="5">
        <v>12.989100000000001</v>
      </c>
      <c r="M39" s="5">
        <v>2.0247000000000002</v>
      </c>
      <c r="N39" s="5">
        <v>0.38879999999999998</v>
      </c>
      <c r="O39" s="5">
        <v>0</v>
      </c>
      <c r="P39" s="5">
        <v>0</v>
      </c>
      <c r="Q39" s="5">
        <v>0</v>
      </c>
      <c r="R39" s="5">
        <v>0</v>
      </c>
      <c r="S39" s="5">
        <v>20140611</v>
      </c>
      <c r="T39">
        <f t="shared" si="1"/>
        <v>87.146000000000015</v>
      </c>
    </row>
    <row r="40" spans="1:20" x14ac:dyDescent="0.25">
      <c r="A40" s="5" t="s">
        <v>19</v>
      </c>
      <c r="B40" s="5">
        <v>2012</v>
      </c>
      <c r="C40" s="5">
        <v>1</v>
      </c>
      <c r="D40" s="5">
        <v>24</v>
      </c>
      <c r="E40" s="5">
        <v>9</v>
      </c>
      <c r="F40" s="5">
        <v>126436</v>
      </c>
      <c r="G40" s="5" t="s">
        <v>20</v>
      </c>
      <c r="H40" s="5">
        <v>0</v>
      </c>
      <c r="I40" s="5">
        <v>33.649299999999997</v>
      </c>
      <c r="J40" s="5">
        <v>13.7722</v>
      </c>
      <c r="K40" s="5">
        <v>11.5063</v>
      </c>
      <c r="L40" s="5">
        <v>3.7423000000000002</v>
      </c>
      <c r="M40" s="5">
        <v>0.60960000000000003</v>
      </c>
      <c r="N40" s="5">
        <v>4.3099999999999999E-2</v>
      </c>
      <c r="O40" s="5">
        <v>0.1409</v>
      </c>
      <c r="P40" s="5">
        <v>0</v>
      </c>
      <c r="Q40" s="5">
        <v>0</v>
      </c>
      <c r="R40" s="5">
        <v>0</v>
      </c>
      <c r="S40" s="5">
        <v>20140611</v>
      </c>
      <c r="T40">
        <f t="shared" si="1"/>
        <v>63.463699999999996</v>
      </c>
    </row>
    <row r="41" spans="1:20" x14ac:dyDescent="0.25">
      <c r="A41" s="5" t="s">
        <v>19</v>
      </c>
      <c r="B41" s="5">
        <v>2012</v>
      </c>
      <c r="C41" s="5">
        <v>1</v>
      </c>
      <c r="D41" s="5">
        <v>25</v>
      </c>
      <c r="E41" s="5">
        <v>10</v>
      </c>
      <c r="F41" s="5">
        <v>126436</v>
      </c>
      <c r="G41" s="5" t="s">
        <v>20</v>
      </c>
      <c r="H41" s="5">
        <v>0</v>
      </c>
      <c r="I41" s="5">
        <v>15.7523</v>
      </c>
      <c r="J41" s="5">
        <v>233.74600000000001</v>
      </c>
      <c r="K41" s="5">
        <v>491.18239999999997</v>
      </c>
      <c r="L41" s="5">
        <v>246.96449999999999</v>
      </c>
      <c r="M41" s="5">
        <v>73.703400000000002</v>
      </c>
      <c r="N41" s="5">
        <v>10.7598</v>
      </c>
      <c r="O41" s="5">
        <v>1.5233000000000001</v>
      </c>
      <c r="P41" s="5">
        <v>0.1731</v>
      </c>
      <c r="Q41" s="5">
        <v>0.1086</v>
      </c>
      <c r="R41" s="5">
        <v>0</v>
      </c>
      <c r="S41" s="5">
        <v>20140611</v>
      </c>
      <c r="T41">
        <f t="shared" si="1"/>
        <v>1073.9134000000001</v>
      </c>
    </row>
    <row r="42" spans="1:20" x14ac:dyDescent="0.25">
      <c r="A42" s="5" t="s">
        <v>19</v>
      </c>
      <c r="B42" s="5">
        <v>2012</v>
      </c>
      <c r="C42" s="5">
        <v>1</v>
      </c>
      <c r="D42" s="5">
        <v>25</v>
      </c>
      <c r="E42" s="5">
        <v>11</v>
      </c>
      <c r="F42" s="5">
        <v>126436</v>
      </c>
      <c r="G42" s="5" t="s">
        <v>20</v>
      </c>
      <c r="H42" s="5">
        <v>0</v>
      </c>
      <c r="I42" s="5">
        <v>15.683199999999999</v>
      </c>
      <c r="J42" s="5">
        <v>334.98669999999998</v>
      </c>
      <c r="K42" s="5">
        <v>1013.6602</v>
      </c>
      <c r="L42" s="5">
        <v>603.51649999999995</v>
      </c>
      <c r="M42" s="5">
        <v>194.16810000000001</v>
      </c>
      <c r="N42" s="5">
        <v>34.049399999999999</v>
      </c>
      <c r="O42" s="5">
        <v>4.5068999999999999</v>
      </c>
      <c r="P42" s="5">
        <v>0.58109999999999995</v>
      </c>
      <c r="Q42" s="5">
        <v>0.40110000000000001</v>
      </c>
      <c r="R42" s="5">
        <v>0</v>
      </c>
      <c r="S42" s="5">
        <v>20140611</v>
      </c>
      <c r="T42">
        <f t="shared" si="1"/>
        <v>2201.5531999999998</v>
      </c>
    </row>
    <row r="43" spans="1:20" x14ac:dyDescent="0.25">
      <c r="A43" s="5" t="s">
        <v>19</v>
      </c>
      <c r="B43" s="5">
        <v>2012</v>
      </c>
      <c r="C43" s="5">
        <v>1</v>
      </c>
      <c r="D43" s="5">
        <v>25</v>
      </c>
      <c r="E43" s="5">
        <v>12</v>
      </c>
      <c r="F43" s="5">
        <v>126436</v>
      </c>
      <c r="G43" s="5" t="s">
        <v>20</v>
      </c>
      <c r="H43" s="5">
        <v>0</v>
      </c>
      <c r="I43" s="5">
        <v>7.1180000000000003</v>
      </c>
      <c r="J43" s="5">
        <v>147.07509999999999</v>
      </c>
      <c r="K43" s="5">
        <v>932.22670000000005</v>
      </c>
      <c r="L43" s="5">
        <v>736.06349999999998</v>
      </c>
      <c r="M43" s="5">
        <v>270.70710000000003</v>
      </c>
      <c r="N43" s="5">
        <v>63.583500000000001</v>
      </c>
      <c r="O43" s="5">
        <v>8.2279999999999998</v>
      </c>
      <c r="P43" s="5">
        <v>1.0664</v>
      </c>
      <c r="Q43" s="5">
        <v>0.71260000000000001</v>
      </c>
      <c r="R43" s="5">
        <v>0.14810000000000001</v>
      </c>
      <c r="S43" s="5">
        <v>20140611</v>
      </c>
      <c r="T43">
        <f t="shared" si="1"/>
        <v>2166.9290000000001</v>
      </c>
    </row>
    <row r="44" spans="1:20" x14ac:dyDescent="0.25">
      <c r="A44" s="5" t="s">
        <v>19</v>
      </c>
      <c r="B44" s="5">
        <v>2012</v>
      </c>
      <c r="C44" s="5">
        <v>1</v>
      </c>
      <c r="D44" s="5">
        <v>25</v>
      </c>
      <c r="E44" s="5">
        <v>9</v>
      </c>
      <c r="F44" s="5">
        <v>126436</v>
      </c>
      <c r="G44" s="5" t="s">
        <v>20</v>
      </c>
      <c r="H44" s="5">
        <v>0</v>
      </c>
      <c r="I44" s="5">
        <v>0.1333</v>
      </c>
      <c r="J44" s="5">
        <v>5.7064000000000004</v>
      </c>
      <c r="K44" s="5">
        <v>36.9146</v>
      </c>
      <c r="L44" s="5">
        <v>26.249600000000001</v>
      </c>
      <c r="M44" s="5">
        <v>8.4016000000000002</v>
      </c>
      <c r="N44" s="5">
        <v>1.3882000000000001</v>
      </c>
      <c r="O44" s="5">
        <v>0.11509999999999999</v>
      </c>
      <c r="P44" s="5">
        <v>1.84E-2</v>
      </c>
      <c r="Q44" s="5">
        <v>6.1000000000000004E-3</v>
      </c>
      <c r="R44" s="5">
        <v>0</v>
      </c>
      <c r="S44" s="5">
        <v>20140611</v>
      </c>
      <c r="T44">
        <f t="shared" si="1"/>
        <v>78.933300000000003</v>
      </c>
    </row>
    <row r="45" spans="1:20" x14ac:dyDescent="0.25">
      <c r="A45" s="5" t="s">
        <v>19</v>
      </c>
      <c r="B45" s="5">
        <v>2012</v>
      </c>
      <c r="C45" s="5">
        <v>1</v>
      </c>
      <c r="D45" s="5">
        <v>26</v>
      </c>
      <c r="E45" s="5">
        <v>10</v>
      </c>
      <c r="F45" s="5">
        <v>126436</v>
      </c>
      <c r="G45" s="5" t="s">
        <v>20</v>
      </c>
      <c r="H45" s="5">
        <v>0</v>
      </c>
      <c r="I45" s="5">
        <v>2.4015</v>
      </c>
      <c r="J45" s="5">
        <v>223.05369999999999</v>
      </c>
      <c r="K45" s="5">
        <v>157.21950000000001</v>
      </c>
      <c r="L45" s="5">
        <v>51.578000000000003</v>
      </c>
      <c r="M45" s="5">
        <v>4.5637999999999996</v>
      </c>
      <c r="N45" s="5">
        <v>0.87090000000000001</v>
      </c>
      <c r="O45" s="5">
        <v>0.31240000000000001</v>
      </c>
      <c r="P45" s="5">
        <v>0</v>
      </c>
      <c r="Q45" s="5">
        <v>0</v>
      </c>
      <c r="R45" s="5">
        <v>0</v>
      </c>
      <c r="S45" s="5">
        <v>20140611</v>
      </c>
      <c r="T45">
        <f t="shared" si="1"/>
        <v>439.99980000000005</v>
      </c>
    </row>
    <row r="46" spans="1:20" x14ac:dyDescent="0.25">
      <c r="A46" s="5" t="s">
        <v>19</v>
      </c>
      <c r="B46" s="5">
        <v>2012</v>
      </c>
      <c r="C46" s="5">
        <v>1</v>
      </c>
      <c r="D46" s="5">
        <v>26</v>
      </c>
      <c r="E46" s="5">
        <v>11</v>
      </c>
      <c r="F46" s="5">
        <v>126436</v>
      </c>
      <c r="G46" s="5" t="s">
        <v>20</v>
      </c>
      <c r="H46" s="5">
        <v>0</v>
      </c>
      <c r="I46" s="5">
        <v>14.9169</v>
      </c>
      <c r="J46" s="5">
        <v>941.25620000000004</v>
      </c>
      <c r="K46" s="5">
        <v>1049.6090999999999</v>
      </c>
      <c r="L46" s="5">
        <v>472.87639999999999</v>
      </c>
      <c r="M46" s="5">
        <v>93.9833</v>
      </c>
      <c r="N46" s="5">
        <v>14.4535</v>
      </c>
      <c r="O46" s="5">
        <v>5.2298999999999998</v>
      </c>
      <c r="P46" s="5">
        <v>0.60929999999999995</v>
      </c>
      <c r="Q46" s="5">
        <v>0.1293</v>
      </c>
      <c r="R46" s="5">
        <v>0</v>
      </c>
      <c r="S46" s="5">
        <v>20140611</v>
      </c>
      <c r="T46">
        <f t="shared" si="1"/>
        <v>2593.0639000000001</v>
      </c>
    </row>
    <row r="47" spans="1:20" x14ac:dyDescent="0.25">
      <c r="A47" s="5" t="s">
        <v>19</v>
      </c>
      <c r="B47" s="5">
        <v>2012</v>
      </c>
      <c r="C47" s="5">
        <v>1</v>
      </c>
      <c r="D47" s="5">
        <v>26</v>
      </c>
      <c r="E47" s="5">
        <v>12</v>
      </c>
      <c r="F47" s="5">
        <v>126436</v>
      </c>
      <c r="G47" s="5" t="s">
        <v>20</v>
      </c>
      <c r="H47" s="5">
        <v>0</v>
      </c>
      <c r="I47" s="5">
        <v>2.2265000000000001</v>
      </c>
      <c r="J47" s="5">
        <v>267.49810000000002</v>
      </c>
      <c r="K47" s="5">
        <v>1202.4529</v>
      </c>
      <c r="L47" s="5">
        <v>521.43449999999996</v>
      </c>
      <c r="M47" s="5">
        <v>96.789900000000003</v>
      </c>
      <c r="N47" s="5">
        <v>15.712199999999999</v>
      </c>
      <c r="O47" s="5">
        <v>5.9459</v>
      </c>
      <c r="P47" s="5">
        <v>0.54</v>
      </c>
      <c r="Q47" s="5">
        <v>0</v>
      </c>
      <c r="R47" s="5">
        <v>0</v>
      </c>
      <c r="S47" s="5">
        <v>20140611</v>
      </c>
      <c r="T47">
        <f t="shared" si="1"/>
        <v>2112.6000000000004</v>
      </c>
    </row>
    <row r="48" spans="1:20" x14ac:dyDescent="0.25">
      <c r="A48" s="5" t="s">
        <v>19</v>
      </c>
      <c r="B48" s="5">
        <v>2012</v>
      </c>
      <c r="C48" s="5">
        <v>1</v>
      </c>
      <c r="D48" s="5">
        <v>26</v>
      </c>
      <c r="E48" s="5">
        <v>13</v>
      </c>
      <c r="F48" s="5">
        <v>126436</v>
      </c>
      <c r="G48" s="5" t="s">
        <v>20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20140611</v>
      </c>
      <c r="T48">
        <f t="shared" si="1"/>
        <v>0</v>
      </c>
    </row>
    <row r="49" spans="1:20" x14ac:dyDescent="0.25">
      <c r="A49" s="5" t="s">
        <v>19</v>
      </c>
      <c r="B49" s="5">
        <v>2012</v>
      </c>
      <c r="C49" s="5">
        <v>1</v>
      </c>
      <c r="D49" s="5">
        <v>26</v>
      </c>
      <c r="E49" s="5">
        <v>9</v>
      </c>
      <c r="F49" s="5">
        <v>126436</v>
      </c>
      <c r="G49" s="5" t="s">
        <v>20</v>
      </c>
      <c r="H49" s="5">
        <v>0</v>
      </c>
      <c r="I49" s="5">
        <v>1.4286000000000001</v>
      </c>
      <c r="J49" s="5">
        <v>1.2194</v>
      </c>
      <c r="K49" s="5">
        <v>2.2360000000000002</v>
      </c>
      <c r="L49" s="5">
        <v>1.0204</v>
      </c>
      <c r="M49" s="5">
        <v>0.36830000000000002</v>
      </c>
      <c r="N49" s="5">
        <v>1.2999999999999999E-2</v>
      </c>
      <c r="O49" s="5">
        <v>0</v>
      </c>
      <c r="P49" s="5">
        <v>0</v>
      </c>
      <c r="Q49" s="5">
        <v>0</v>
      </c>
      <c r="R49" s="5">
        <v>0</v>
      </c>
      <c r="S49" s="5">
        <v>20140611</v>
      </c>
      <c r="T49">
        <f t="shared" si="1"/>
        <v>6.2857000000000003</v>
      </c>
    </row>
    <row r="50" spans="1:20" x14ac:dyDescent="0.25">
      <c r="A50" s="5" t="s">
        <v>19</v>
      </c>
      <c r="B50" s="5">
        <v>2012</v>
      </c>
      <c r="C50" s="5">
        <v>1</v>
      </c>
      <c r="D50" s="5">
        <v>27</v>
      </c>
      <c r="E50" s="5">
        <v>10</v>
      </c>
      <c r="F50" s="5">
        <v>126436</v>
      </c>
      <c r="G50" s="5" t="s">
        <v>20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20140611</v>
      </c>
      <c r="T50">
        <f t="shared" si="1"/>
        <v>0</v>
      </c>
    </row>
    <row r="51" spans="1:20" x14ac:dyDescent="0.25">
      <c r="A51" s="5" t="s">
        <v>19</v>
      </c>
      <c r="B51" s="5">
        <v>2012</v>
      </c>
      <c r="C51" s="5">
        <v>1</v>
      </c>
      <c r="D51" s="5">
        <v>27</v>
      </c>
      <c r="E51" s="5">
        <v>11</v>
      </c>
      <c r="F51" s="5">
        <v>126436</v>
      </c>
      <c r="G51" s="5" t="s">
        <v>20</v>
      </c>
      <c r="H51" s="5">
        <v>0</v>
      </c>
      <c r="I51" s="5">
        <v>7.5</v>
      </c>
      <c r="J51" s="5">
        <v>6</v>
      </c>
      <c r="K51" s="5">
        <v>4</v>
      </c>
      <c r="L51" s="5">
        <v>0.5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20140611</v>
      </c>
      <c r="T51">
        <f t="shared" si="1"/>
        <v>18</v>
      </c>
    </row>
    <row r="52" spans="1:20" x14ac:dyDescent="0.25">
      <c r="A52" s="5" t="s">
        <v>19</v>
      </c>
      <c r="B52" s="5">
        <v>2012</v>
      </c>
      <c r="C52" s="5">
        <v>1</v>
      </c>
      <c r="D52" s="5">
        <v>27</v>
      </c>
      <c r="E52" s="5">
        <v>12</v>
      </c>
      <c r="F52" s="5">
        <v>126436</v>
      </c>
      <c r="G52" s="5" t="s">
        <v>20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20140611</v>
      </c>
      <c r="T52">
        <f t="shared" si="1"/>
        <v>0</v>
      </c>
    </row>
    <row r="53" spans="1:20" x14ac:dyDescent="0.25">
      <c r="A53" s="5" t="s">
        <v>19</v>
      </c>
      <c r="B53" s="5">
        <v>2012</v>
      </c>
      <c r="C53" s="5">
        <v>1</v>
      </c>
      <c r="D53" s="5">
        <v>27</v>
      </c>
      <c r="E53" s="5">
        <v>13</v>
      </c>
      <c r="F53" s="5">
        <v>126436</v>
      </c>
      <c r="G53" s="5" t="s">
        <v>20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20140611</v>
      </c>
      <c r="T53">
        <f t="shared" si="1"/>
        <v>0</v>
      </c>
    </row>
    <row r="54" spans="1:20" x14ac:dyDescent="0.25">
      <c r="A54" s="5" t="s">
        <v>19</v>
      </c>
      <c r="B54" s="5">
        <v>2012</v>
      </c>
      <c r="C54" s="5">
        <v>1</v>
      </c>
      <c r="D54" s="5">
        <v>28</v>
      </c>
      <c r="E54" s="5">
        <v>10</v>
      </c>
      <c r="F54" s="5">
        <v>126436</v>
      </c>
      <c r="G54" s="5" t="s">
        <v>20</v>
      </c>
      <c r="H54" s="5">
        <v>0</v>
      </c>
      <c r="I54" s="5">
        <v>2.6815000000000002</v>
      </c>
      <c r="J54" s="5">
        <v>5.28</v>
      </c>
      <c r="K54" s="5">
        <v>5.4145000000000003</v>
      </c>
      <c r="L54" s="5">
        <v>1.6344000000000001</v>
      </c>
      <c r="M54" s="5">
        <v>0.27850000000000003</v>
      </c>
      <c r="N54" s="5">
        <v>0</v>
      </c>
      <c r="O54" s="5">
        <v>4.4400000000000002E-2</v>
      </c>
      <c r="P54" s="5">
        <v>0</v>
      </c>
      <c r="Q54" s="5">
        <v>0</v>
      </c>
      <c r="R54" s="5">
        <v>0</v>
      </c>
      <c r="S54" s="5">
        <v>20140611</v>
      </c>
      <c r="T54">
        <f t="shared" si="1"/>
        <v>15.333299999999999</v>
      </c>
    </row>
    <row r="55" spans="1:20" x14ac:dyDescent="0.25">
      <c r="A55" s="5" t="s">
        <v>19</v>
      </c>
      <c r="B55" s="5">
        <v>2012</v>
      </c>
      <c r="C55" s="5">
        <v>1</v>
      </c>
      <c r="D55" s="5">
        <v>28</v>
      </c>
      <c r="E55" s="5">
        <v>11</v>
      </c>
      <c r="F55" s="5">
        <v>126436</v>
      </c>
      <c r="G55" s="5" t="s">
        <v>20</v>
      </c>
      <c r="H55" s="5">
        <v>0</v>
      </c>
      <c r="I55" s="5">
        <v>23.72</v>
      </c>
      <c r="J55" s="5">
        <v>30.47</v>
      </c>
      <c r="K55" s="5">
        <v>16.915099999999999</v>
      </c>
      <c r="L55" s="5">
        <v>4.9317000000000002</v>
      </c>
      <c r="M55" s="5">
        <v>1.4068000000000001</v>
      </c>
      <c r="N55" s="5">
        <v>0.43640000000000001</v>
      </c>
      <c r="O55" s="5">
        <v>0.12</v>
      </c>
      <c r="P55" s="5">
        <v>0</v>
      </c>
      <c r="Q55" s="5">
        <v>0</v>
      </c>
      <c r="R55" s="5">
        <v>0</v>
      </c>
      <c r="S55" s="5">
        <v>20140611</v>
      </c>
      <c r="T55">
        <f t="shared" si="1"/>
        <v>78.000000000000014</v>
      </c>
    </row>
    <row r="56" spans="1:20" x14ac:dyDescent="0.25">
      <c r="A56" s="5" t="s">
        <v>19</v>
      </c>
      <c r="B56" s="5">
        <v>2012</v>
      </c>
      <c r="C56" s="5">
        <v>1</v>
      </c>
      <c r="D56" s="5">
        <v>28</v>
      </c>
      <c r="E56" s="5">
        <v>12</v>
      </c>
      <c r="F56" s="5">
        <v>126436</v>
      </c>
      <c r="G56" s="5" t="s">
        <v>20</v>
      </c>
      <c r="H56" s="5">
        <v>0</v>
      </c>
      <c r="I56" s="5">
        <v>6.8</v>
      </c>
      <c r="J56" s="5">
        <v>31.494199999999999</v>
      </c>
      <c r="K56" s="5">
        <v>35.548299999999998</v>
      </c>
      <c r="L56" s="5">
        <v>11.596399999999999</v>
      </c>
      <c r="M56" s="5">
        <v>3.1840999999999999</v>
      </c>
      <c r="N56" s="5">
        <v>0.29699999999999999</v>
      </c>
      <c r="O56" s="5">
        <v>0.08</v>
      </c>
      <c r="P56" s="5">
        <v>0</v>
      </c>
      <c r="Q56" s="5">
        <v>0</v>
      </c>
      <c r="R56" s="5">
        <v>0</v>
      </c>
      <c r="S56" s="5">
        <v>20140611</v>
      </c>
      <c r="T56">
        <f t="shared" si="1"/>
        <v>89</v>
      </c>
    </row>
    <row r="57" spans="1:20" x14ac:dyDescent="0.25">
      <c r="A57" s="5" t="s">
        <v>19</v>
      </c>
      <c r="B57" s="5">
        <v>2012</v>
      </c>
      <c r="C57" s="5">
        <v>1</v>
      </c>
      <c r="D57" s="5">
        <v>28</v>
      </c>
      <c r="E57" s="5">
        <v>9</v>
      </c>
      <c r="F57" s="5">
        <v>126436</v>
      </c>
      <c r="G57" s="5" t="s">
        <v>20</v>
      </c>
      <c r="H57" s="5">
        <v>0</v>
      </c>
      <c r="I57" s="5">
        <v>3</v>
      </c>
      <c r="J57" s="5">
        <v>1.125</v>
      </c>
      <c r="K57" s="5">
        <v>0.54169999999999996</v>
      </c>
      <c r="L57" s="5">
        <v>0.25</v>
      </c>
      <c r="M57" s="5">
        <v>8.3299999999999999E-2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20140611</v>
      </c>
      <c r="T57">
        <f t="shared" si="1"/>
        <v>5</v>
      </c>
    </row>
    <row r="58" spans="1:20" x14ac:dyDescent="0.25">
      <c r="A58" s="5" t="s">
        <v>19</v>
      </c>
      <c r="B58" s="5">
        <v>2013</v>
      </c>
      <c r="C58" s="5">
        <v>1</v>
      </c>
      <c r="D58" s="5">
        <v>21</v>
      </c>
      <c r="E58" s="5">
        <v>10</v>
      </c>
      <c r="F58" s="5">
        <v>126436</v>
      </c>
      <c r="G58" s="5" t="s">
        <v>20</v>
      </c>
      <c r="H58" s="5">
        <v>0</v>
      </c>
      <c r="I58" s="5">
        <v>63.674799999999998</v>
      </c>
      <c r="J58" s="5">
        <v>14.0586</v>
      </c>
      <c r="K58" s="5">
        <v>1.7566999999999999</v>
      </c>
      <c r="L58" s="5">
        <v>0.93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20150930</v>
      </c>
      <c r="T58">
        <f t="shared" si="1"/>
        <v>80.420100000000005</v>
      </c>
    </row>
    <row r="59" spans="1:20" x14ac:dyDescent="0.25">
      <c r="A59" s="5" t="s">
        <v>19</v>
      </c>
      <c r="B59" s="5">
        <v>2013</v>
      </c>
      <c r="C59" s="5">
        <v>1</v>
      </c>
      <c r="D59" s="5">
        <v>21</v>
      </c>
      <c r="E59" s="5">
        <v>11</v>
      </c>
      <c r="F59" s="5">
        <v>126436</v>
      </c>
      <c r="G59" s="5" t="s">
        <v>20</v>
      </c>
      <c r="H59" s="5">
        <v>0</v>
      </c>
      <c r="I59" s="5">
        <v>47.7348</v>
      </c>
      <c r="J59" s="5">
        <v>61.185600000000001</v>
      </c>
      <c r="K59" s="5">
        <v>5.9130000000000003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20150930</v>
      </c>
      <c r="T59">
        <f t="shared" si="1"/>
        <v>114.8334</v>
      </c>
    </row>
    <row r="60" spans="1:20" x14ac:dyDescent="0.25">
      <c r="A60" s="5" t="s">
        <v>19</v>
      </c>
      <c r="B60" s="5">
        <v>2013</v>
      </c>
      <c r="C60" s="5">
        <v>1</v>
      </c>
      <c r="D60" s="5">
        <v>21</v>
      </c>
      <c r="E60" s="5">
        <v>9</v>
      </c>
      <c r="F60" s="5">
        <v>126436</v>
      </c>
      <c r="G60" s="5" t="s">
        <v>20</v>
      </c>
      <c r="H60" s="5">
        <v>0</v>
      </c>
      <c r="I60" s="5">
        <v>272.7817</v>
      </c>
      <c r="J60" s="5">
        <v>62.453600000000002</v>
      </c>
      <c r="K60" s="5">
        <v>13.312799999999999</v>
      </c>
      <c r="L60" s="5">
        <v>0</v>
      </c>
      <c r="M60" s="5">
        <v>0.56359999999999999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20150930</v>
      </c>
      <c r="T60">
        <f t="shared" si="1"/>
        <v>349.11169999999998</v>
      </c>
    </row>
    <row r="61" spans="1:20" x14ac:dyDescent="0.25">
      <c r="A61" s="5" t="s">
        <v>19</v>
      </c>
      <c r="B61" s="5">
        <v>2013</v>
      </c>
      <c r="C61" s="5">
        <v>1</v>
      </c>
      <c r="D61" s="5">
        <v>22</v>
      </c>
      <c r="E61" s="5">
        <v>8</v>
      </c>
      <c r="F61" s="5">
        <v>126436</v>
      </c>
      <c r="G61" s="5" t="s">
        <v>20</v>
      </c>
      <c r="H61" s="5">
        <v>0</v>
      </c>
      <c r="I61" s="5">
        <v>104.1443</v>
      </c>
      <c r="J61" s="5">
        <v>27.831900000000001</v>
      </c>
      <c r="K61" s="5">
        <v>13.8634</v>
      </c>
      <c r="L61" s="5">
        <v>1.3084</v>
      </c>
      <c r="M61" s="5">
        <v>1.0082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20150930</v>
      </c>
      <c r="T61">
        <f t="shared" si="1"/>
        <v>148.15620000000001</v>
      </c>
    </row>
    <row r="62" spans="1:20" x14ac:dyDescent="0.25">
      <c r="A62" s="5" t="s">
        <v>19</v>
      </c>
      <c r="B62" s="5">
        <v>2013</v>
      </c>
      <c r="C62" s="5">
        <v>1</v>
      </c>
      <c r="D62" s="5">
        <v>22</v>
      </c>
      <c r="E62" s="5">
        <v>9</v>
      </c>
      <c r="F62" s="5">
        <v>126436</v>
      </c>
      <c r="G62" s="5" t="s">
        <v>20</v>
      </c>
      <c r="H62" s="5">
        <v>0</v>
      </c>
      <c r="I62" s="5">
        <v>178.71340000000001</v>
      </c>
      <c r="J62" s="5">
        <v>28.4956</v>
      </c>
      <c r="K62" s="5">
        <v>34.088700000000003</v>
      </c>
      <c r="L62" s="5">
        <v>3.7921999999999998</v>
      </c>
      <c r="M62" s="5">
        <v>3.1831999999999998</v>
      </c>
      <c r="N62" s="5">
        <v>0.77500000000000002</v>
      </c>
      <c r="O62" s="5">
        <v>0</v>
      </c>
      <c r="P62" s="5">
        <v>0</v>
      </c>
      <c r="Q62" s="5">
        <v>0</v>
      </c>
      <c r="R62" s="5">
        <v>0</v>
      </c>
      <c r="S62" s="5">
        <v>20150930</v>
      </c>
      <c r="T62">
        <f t="shared" si="1"/>
        <v>249.04810000000003</v>
      </c>
    </row>
    <row r="63" spans="1:20" x14ac:dyDescent="0.25">
      <c r="A63" s="5" t="s">
        <v>19</v>
      </c>
      <c r="B63" s="5">
        <v>2013</v>
      </c>
      <c r="C63" s="5">
        <v>1</v>
      </c>
      <c r="D63" s="5">
        <v>23</v>
      </c>
      <c r="E63" s="5">
        <v>8</v>
      </c>
      <c r="F63" s="5">
        <v>126436</v>
      </c>
      <c r="G63" s="5" t="s">
        <v>20</v>
      </c>
      <c r="H63" s="5">
        <v>0</v>
      </c>
      <c r="I63" s="5">
        <v>135.30000000000001</v>
      </c>
      <c r="J63" s="5">
        <v>462.86500000000001</v>
      </c>
      <c r="K63" s="5">
        <v>768.07669999999996</v>
      </c>
      <c r="L63" s="5">
        <v>108.75830000000001</v>
      </c>
      <c r="M63" s="5">
        <v>53.475000000000001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20150930</v>
      </c>
      <c r="T63">
        <f t="shared" si="1"/>
        <v>1528.4749999999999</v>
      </c>
    </row>
    <row r="64" spans="1:20" x14ac:dyDescent="0.25">
      <c r="A64" s="5" t="s">
        <v>19</v>
      </c>
      <c r="B64" s="5">
        <v>2013</v>
      </c>
      <c r="C64" s="5">
        <v>1</v>
      </c>
      <c r="D64" s="5">
        <v>23</v>
      </c>
      <c r="E64" s="5">
        <v>9</v>
      </c>
      <c r="F64" s="5">
        <v>126436</v>
      </c>
      <c r="G64" s="5" t="s">
        <v>20</v>
      </c>
      <c r="H64" s="5">
        <v>0</v>
      </c>
      <c r="I64" s="5">
        <v>134.19999999999999</v>
      </c>
      <c r="J64" s="5">
        <v>77.846699999999998</v>
      </c>
      <c r="K64" s="5">
        <v>26.453299999999999</v>
      </c>
      <c r="L64" s="5">
        <v>0</v>
      </c>
      <c r="M64" s="5">
        <v>3.1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20150930</v>
      </c>
      <c r="T64">
        <f t="shared" si="1"/>
        <v>241.6</v>
      </c>
    </row>
    <row r="65" spans="1:20" x14ac:dyDescent="0.25">
      <c r="A65" s="5" t="s">
        <v>19</v>
      </c>
      <c r="B65" s="5">
        <v>2013</v>
      </c>
      <c r="C65" s="5">
        <v>1</v>
      </c>
      <c r="D65" s="5">
        <v>24</v>
      </c>
      <c r="E65" s="5">
        <v>10</v>
      </c>
      <c r="F65" s="5">
        <v>126436</v>
      </c>
      <c r="G65" s="5" t="s">
        <v>20</v>
      </c>
      <c r="H65" s="5">
        <v>0</v>
      </c>
      <c r="I65" s="5">
        <v>729.63699999999994</v>
      </c>
      <c r="J65" s="5">
        <v>361.5949</v>
      </c>
      <c r="K65" s="5">
        <v>68.501099999999994</v>
      </c>
      <c r="L65" s="5">
        <v>39.414499999999997</v>
      </c>
      <c r="M65" s="5">
        <v>4.0400999999999998</v>
      </c>
      <c r="N65" s="5">
        <v>0.46250000000000002</v>
      </c>
      <c r="O65" s="5">
        <v>0</v>
      </c>
      <c r="P65" s="5">
        <v>0.29520000000000002</v>
      </c>
      <c r="Q65" s="5">
        <v>0</v>
      </c>
      <c r="R65" s="5">
        <v>0</v>
      </c>
      <c r="S65" s="5">
        <v>20150930</v>
      </c>
      <c r="T65">
        <f t="shared" si="1"/>
        <v>1203.9453000000001</v>
      </c>
    </row>
    <row r="66" spans="1:20" x14ac:dyDescent="0.25">
      <c r="A66" s="5" t="s">
        <v>19</v>
      </c>
      <c r="B66" s="5">
        <v>2013</v>
      </c>
      <c r="C66" s="5">
        <v>1</v>
      </c>
      <c r="D66" s="5">
        <v>24</v>
      </c>
      <c r="E66" s="5">
        <v>8</v>
      </c>
      <c r="F66" s="5">
        <v>126436</v>
      </c>
      <c r="G66" s="5" t="s">
        <v>20</v>
      </c>
      <c r="H66" s="5">
        <v>0</v>
      </c>
      <c r="I66" s="5">
        <v>20.453800000000001</v>
      </c>
      <c r="J66" s="5">
        <v>13.245900000000001</v>
      </c>
      <c r="K66" s="5">
        <v>7.0267999999999997</v>
      </c>
      <c r="L66" s="5">
        <v>3.7299000000000002</v>
      </c>
      <c r="M66" s="5">
        <v>0.39389999999999997</v>
      </c>
      <c r="N66" s="5">
        <v>2.3E-2</v>
      </c>
      <c r="O66" s="5">
        <v>0</v>
      </c>
      <c r="P66" s="5">
        <v>0</v>
      </c>
      <c r="Q66" s="5">
        <v>0</v>
      </c>
      <c r="R66" s="5">
        <v>0</v>
      </c>
      <c r="S66" s="5">
        <v>20150930</v>
      </c>
      <c r="T66">
        <f t="shared" ref="T66:T97" si="2">SUM(I66:R66)</f>
        <v>44.873300000000008</v>
      </c>
    </row>
    <row r="67" spans="1:20" x14ac:dyDescent="0.25">
      <c r="A67" s="5" t="s">
        <v>19</v>
      </c>
      <c r="B67" s="5">
        <v>2013</v>
      </c>
      <c r="C67" s="5">
        <v>1</v>
      </c>
      <c r="D67" s="5">
        <v>24</v>
      </c>
      <c r="E67" s="5">
        <v>9</v>
      </c>
      <c r="F67" s="5">
        <v>126436</v>
      </c>
      <c r="G67" s="5" t="s">
        <v>20</v>
      </c>
      <c r="H67" s="5">
        <v>0</v>
      </c>
      <c r="I67" s="5">
        <v>91.211799999999997</v>
      </c>
      <c r="J67" s="5">
        <v>25.1845</v>
      </c>
      <c r="K67" s="5">
        <v>10.0014</v>
      </c>
      <c r="L67" s="5">
        <v>5.8097000000000003</v>
      </c>
      <c r="M67" s="5">
        <v>0.66100000000000003</v>
      </c>
      <c r="N67" s="5">
        <v>6.2199999999999998E-2</v>
      </c>
      <c r="O67" s="5">
        <v>0</v>
      </c>
      <c r="P67" s="5">
        <v>0</v>
      </c>
      <c r="Q67" s="5">
        <v>0</v>
      </c>
      <c r="R67" s="5">
        <v>0</v>
      </c>
      <c r="S67" s="5">
        <v>20150930</v>
      </c>
      <c r="T67">
        <f t="shared" si="2"/>
        <v>132.9306</v>
      </c>
    </row>
    <row r="68" spans="1:20" x14ac:dyDescent="0.25">
      <c r="A68" s="5" t="s">
        <v>19</v>
      </c>
      <c r="B68" s="5">
        <v>2013</v>
      </c>
      <c r="C68" s="5">
        <v>1</v>
      </c>
      <c r="D68" s="5">
        <v>25</v>
      </c>
      <c r="E68" s="5">
        <v>10</v>
      </c>
      <c r="F68" s="5">
        <v>126436</v>
      </c>
      <c r="G68" s="5" t="s">
        <v>20</v>
      </c>
      <c r="H68" s="5">
        <v>0</v>
      </c>
      <c r="I68" s="5">
        <v>50.839100000000002</v>
      </c>
      <c r="J68" s="5">
        <v>2206.7676999999999</v>
      </c>
      <c r="K68" s="5">
        <v>1194.1274000000001</v>
      </c>
      <c r="L68" s="5">
        <v>347.96420000000001</v>
      </c>
      <c r="M68" s="5">
        <v>73.318899999999999</v>
      </c>
      <c r="N68" s="5">
        <v>33.474800000000002</v>
      </c>
      <c r="O68" s="5">
        <v>5.0063000000000004</v>
      </c>
      <c r="P68" s="5">
        <v>0.42049999999999998</v>
      </c>
      <c r="Q68" s="5">
        <v>2.6700000000000002E-2</v>
      </c>
      <c r="R68" s="5">
        <v>0</v>
      </c>
      <c r="S68" s="5">
        <v>20150930</v>
      </c>
      <c r="T68">
        <f t="shared" si="2"/>
        <v>3911.9456</v>
      </c>
    </row>
    <row r="69" spans="1:20" x14ac:dyDescent="0.25">
      <c r="A69" s="5" t="s">
        <v>19</v>
      </c>
      <c r="B69" s="5">
        <v>2013</v>
      </c>
      <c r="C69" s="5">
        <v>1</v>
      </c>
      <c r="D69" s="5">
        <v>25</v>
      </c>
      <c r="E69" s="5">
        <v>11</v>
      </c>
      <c r="F69" s="5">
        <v>126436</v>
      </c>
      <c r="G69" s="5" t="s">
        <v>20</v>
      </c>
      <c r="H69" s="5">
        <v>0</v>
      </c>
      <c r="I69" s="5">
        <v>15.3269</v>
      </c>
      <c r="J69" s="5">
        <v>662.79819999999995</v>
      </c>
      <c r="K69" s="5">
        <v>562.33429999999998</v>
      </c>
      <c r="L69" s="5">
        <v>229.49629999999999</v>
      </c>
      <c r="M69" s="5">
        <v>67.850800000000007</v>
      </c>
      <c r="N69" s="5">
        <v>29.787800000000001</v>
      </c>
      <c r="O69" s="5">
        <v>5.63</v>
      </c>
      <c r="P69" s="5">
        <v>1.0615000000000001</v>
      </c>
      <c r="Q69" s="5">
        <v>0.11310000000000001</v>
      </c>
      <c r="R69" s="5">
        <v>0.2334</v>
      </c>
      <c r="S69" s="5">
        <v>20150930</v>
      </c>
      <c r="T69">
        <f t="shared" si="2"/>
        <v>1574.6323000000002</v>
      </c>
    </row>
    <row r="70" spans="1:20" x14ac:dyDescent="0.25">
      <c r="A70" s="5" t="s">
        <v>19</v>
      </c>
      <c r="B70" s="5">
        <v>2013</v>
      </c>
      <c r="C70" s="5">
        <v>1</v>
      </c>
      <c r="D70" s="5">
        <v>25</v>
      </c>
      <c r="E70" s="5">
        <v>12</v>
      </c>
      <c r="F70" s="5">
        <v>126436</v>
      </c>
      <c r="G70" s="5" t="s">
        <v>20</v>
      </c>
      <c r="H70" s="5">
        <v>0</v>
      </c>
      <c r="I70" s="5">
        <v>6.1905999999999999</v>
      </c>
      <c r="J70" s="5">
        <v>105.5902</v>
      </c>
      <c r="K70" s="5">
        <v>204.44120000000001</v>
      </c>
      <c r="L70" s="5">
        <v>119.8943</v>
      </c>
      <c r="M70" s="5">
        <v>46.803199999999997</v>
      </c>
      <c r="N70" s="5">
        <v>21.086400000000001</v>
      </c>
      <c r="O70" s="5">
        <v>4.0568</v>
      </c>
      <c r="P70" s="5">
        <v>0.57799999999999996</v>
      </c>
      <c r="Q70" s="5">
        <v>1.52E-2</v>
      </c>
      <c r="R70" s="5">
        <v>0</v>
      </c>
      <c r="S70" s="5">
        <v>20150930</v>
      </c>
      <c r="T70">
        <f t="shared" si="2"/>
        <v>508.65589999999997</v>
      </c>
    </row>
    <row r="71" spans="1:20" x14ac:dyDescent="0.25">
      <c r="A71" s="5" t="s">
        <v>19</v>
      </c>
      <c r="B71" s="5">
        <v>2013</v>
      </c>
      <c r="C71" s="5">
        <v>1</v>
      </c>
      <c r="D71" s="5">
        <v>25</v>
      </c>
      <c r="E71" s="5">
        <v>9</v>
      </c>
      <c r="F71" s="5">
        <v>126436</v>
      </c>
      <c r="G71" s="5" t="s">
        <v>20</v>
      </c>
      <c r="H71" s="5">
        <v>0</v>
      </c>
      <c r="I71" s="5">
        <v>3.0468000000000002</v>
      </c>
      <c r="J71" s="5">
        <v>184.9486</v>
      </c>
      <c r="K71" s="5">
        <v>167.5027</v>
      </c>
      <c r="L71" s="5">
        <v>68.796599999999998</v>
      </c>
      <c r="M71" s="5">
        <v>12.8512</v>
      </c>
      <c r="N71" s="5">
        <v>6.2415000000000003</v>
      </c>
      <c r="O71" s="5">
        <v>0.7873</v>
      </c>
      <c r="P71" s="5">
        <v>1.3599999999999999E-2</v>
      </c>
      <c r="Q71" s="5">
        <v>2.5999999999999999E-2</v>
      </c>
      <c r="R71" s="5">
        <v>0</v>
      </c>
      <c r="S71" s="5">
        <v>20150930</v>
      </c>
      <c r="T71">
        <f t="shared" si="2"/>
        <v>444.21430000000004</v>
      </c>
    </row>
    <row r="72" spans="1:20" x14ac:dyDescent="0.25">
      <c r="A72" s="5" t="s">
        <v>19</v>
      </c>
      <c r="B72" s="5">
        <v>2013</v>
      </c>
      <c r="C72" s="5">
        <v>1</v>
      </c>
      <c r="D72" s="5">
        <v>26</v>
      </c>
      <c r="E72" s="5">
        <v>10</v>
      </c>
      <c r="F72" s="5">
        <v>126436</v>
      </c>
      <c r="G72" s="5" t="s">
        <v>20</v>
      </c>
      <c r="H72" s="5">
        <v>0</v>
      </c>
      <c r="I72" s="5">
        <v>7.8827999999999996</v>
      </c>
      <c r="J72" s="5">
        <v>386.9348</v>
      </c>
      <c r="K72" s="5">
        <v>483.7672</v>
      </c>
      <c r="L72" s="5">
        <v>145.05539999999999</v>
      </c>
      <c r="M72" s="5">
        <v>48.6066</v>
      </c>
      <c r="N72" s="5">
        <v>13.5938</v>
      </c>
      <c r="O72" s="5">
        <v>1.196</v>
      </c>
      <c r="P72" s="5">
        <v>1.4612000000000001</v>
      </c>
      <c r="Q72" s="5">
        <v>5.21E-2</v>
      </c>
      <c r="R72" s="5">
        <v>9.3299999999999994E-2</v>
      </c>
      <c r="S72" s="5">
        <v>20150930</v>
      </c>
      <c r="T72">
        <f t="shared" si="2"/>
        <v>1088.6432</v>
      </c>
    </row>
    <row r="73" spans="1:20" x14ac:dyDescent="0.25">
      <c r="A73" s="5" t="s">
        <v>19</v>
      </c>
      <c r="B73" s="5">
        <v>2013</v>
      </c>
      <c r="C73" s="5">
        <v>1</v>
      </c>
      <c r="D73" s="5">
        <v>26</v>
      </c>
      <c r="E73" s="5">
        <v>11</v>
      </c>
      <c r="F73" s="5">
        <v>126436</v>
      </c>
      <c r="G73" s="5" t="s">
        <v>20</v>
      </c>
      <c r="H73" s="5">
        <v>0</v>
      </c>
      <c r="I73" s="5">
        <v>83.440200000000004</v>
      </c>
      <c r="J73" s="5">
        <v>882.18889999999999</v>
      </c>
      <c r="K73" s="5">
        <v>489.42669999999998</v>
      </c>
      <c r="L73" s="5">
        <v>140.50040000000001</v>
      </c>
      <c r="M73" s="5">
        <v>50.922699999999999</v>
      </c>
      <c r="N73" s="5">
        <v>15.749599999999999</v>
      </c>
      <c r="O73" s="5">
        <v>2.8902000000000001</v>
      </c>
      <c r="P73" s="5">
        <v>1.7497</v>
      </c>
      <c r="Q73" s="5">
        <v>0.1716</v>
      </c>
      <c r="R73" s="5">
        <v>0.1986</v>
      </c>
      <c r="S73" s="5">
        <v>20150930</v>
      </c>
      <c r="T73">
        <f t="shared" si="2"/>
        <v>1667.2386000000001</v>
      </c>
    </row>
    <row r="74" spans="1:20" x14ac:dyDescent="0.25">
      <c r="A74" s="5" t="s">
        <v>19</v>
      </c>
      <c r="B74" s="5">
        <v>2013</v>
      </c>
      <c r="C74" s="5">
        <v>1</v>
      </c>
      <c r="D74" s="5">
        <v>26</v>
      </c>
      <c r="E74" s="5">
        <v>12</v>
      </c>
      <c r="F74" s="5">
        <v>126436</v>
      </c>
      <c r="G74" s="5" t="s">
        <v>20</v>
      </c>
      <c r="H74" s="5">
        <v>0</v>
      </c>
      <c r="I74" s="5">
        <v>4.8312999999999997</v>
      </c>
      <c r="J74" s="5">
        <v>151.93209999999999</v>
      </c>
      <c r="K74" s="5">
        <v>275.73700000000002</v>
      </c>
      <c r="L74" s="5">
        <v>104.1947</v>
      </c>
      <c r="M74" s="5">
        <v>47.7898</v>
      </c>
      <c r="N74" s="5">
        <v>18.6281</v>
      </c>
      <c r="O74" s="5">
        <v>5.5807000000000002</v>
      </c>
      <c r="P74" s="5">
        <v>2.3037000000000001</v>
      </c>
      <c r="Q74" s="5">
        <v>0.21129999999999999</v>
      </c>
      <c r="R74" s="5">
        <v>0.42280000000000001</v>
      </c>
      <c r="S74" s="5">
        <v>20150930</v>
      </c>
      <c r="T74">
        <f t="shared" si="2"/>
        <v>611.63150000000019</v>
      </c>
    </row>
    <row r="75" spans="1:20" x14ac:dyDescent="0.25">
      <c r="A75" s="5" t="s">
        <v>19</v>
      </c>
      <c r="B75" s="5">
        <v>2013</v>
      </c>
      <c r="C75" s="5">
        <v>1</v>
      </c>
      <c r="D75" s="5">
        <v>26</v>
      </c>
      <c r="E75" s="5">
        <v>13</v>
      </c>
      <c r="F75" s="5">
        <v>126436</v>
      </c>
      <c r="G75" s="5" t="s">
        <v>20</v>
      </c>
      <c r="H75" s="5">
        <v>0</v>
      </c>
      <c r="I75" s="5">
        <v>0.12989999999999999</v>
      </c>
      <c r="J75" s="5">
        <v>14.8453</v>
      </c>
      <c r="K75" s="5">
        <v>25.777100000000001</v>
      </c>
      <c r="L75" s="5">
        <v>14.628299999999999</v>
      </c>
      <c r="M75" s="5">
        <v>8.4591999999999992</v>
      </c>
      <c r="N75" s="5">
        <v>4.0587999999999997</v>
      </c>
      <c r="O75" s="5">
        <v>1.3781000000000001</v>
      </c>
      <c r="P75" s="5">
        <v>0.41670000000000001</v>
      </c>
      <c r="Q75" s="5">
        <v>7.3099999999999998E-2</v>
      </c>
      <c r="R75" s="5">
        <v>0.4</v>
      </c>
      <c r="S75" s="5">
        <v>20150930</v>
      </c>
      <c r="T75">
        <f t="shared" si="2"/>
        <v>70.166500000000013</v>
      </c>
    </row>
    <row r="76" spans="1:20" x14ac:dyDescent="0.25">
      <c r="A76" s="5" t="s">
        <v>19</v>
      </c>
      <c r="B76" s="5">
        <v>2013</v>
      </c>
      <c r="C76" s="5">
        <v>1</v>
      </c>
      <c r="D76" s="5">
        <v>26</v>
      </c>
      <c r="E76" s="5">
        <v>9</v>
      </c>
      <c r="F76" s="5">
        <v>126436</v>
      </c>
      <c r="G76" s="5" t="s">
        <v>20</v>
      </c>
      <c r="H76" s="5">
        <v>0</v>
      </c>
      <c r="I76" s="5">
        <v>1.0238</v>
      </c>
      <c r="J76" s="5">
        <v>28.3185</v>
      </c>
      <c r="K76" s="5">
        <v>70.0929</v>
      </c>
      <c r="L76" s="5">
        <v>22.989100000000001</v>
      </c>
      <c r="M76" s="5">
        <v>9.9558999999999997</v>
      </c>
      <c r="N76" s="5">
        <v>2.4769000000000001</v>
      </c>
      <c r="O76" s="5">
        <v>0.1142</v>
      </c>
      <c r="P76" s="5">
        <v>0.2787</v>
      </c>
      <c r="Q76" s="5">
        <v>0</v>
      </c>
      <c r="R76" s="5">
        <v>0</v>
      </c>
      <c r="S76" s="5">
        <v>20150930</v>
      </c>
      <c r="T76">
        <f t="shared" si="2"/>
        <v>135.25</v>
      </c>
    </row>
    <row r="77" spans="1:20" x14ac:dyDescent="0.25">
      <c r="A77" s="5" t="s">
        <v>19</v>
      </c>
      <c r="B77" s="5">
        <v>2013</v>
      </c>
      <c r="C77" s="5">
        <v>1</v>
      </c>
      <c r="D77" s="5">
        <v>27</v>
      </c>
      <c r="E77" s="5">
        <v>10</v>
      </c>
      <c r="F77" s="5">
        <v>126436</v>
      </c>
      <c r="G77" s="5" t="s">
        <v>20</v>
      </c>
      <c r="H77" s="5">
        <v>0</v>
      </c>
      <c r="I77" s="5">
        <v>0</v>
      </c>
      <c r="J77" s="5">
        <v>8.8800000000000008</v>
      </c>
      <c r="K77" s="5">
        <v>18.369900000000001</v>
      </c>
      <c r="L77" s="5">
        <v>1.75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20150930</v>
      </c>
      <c r="T77">
        <f t="shared" si="2"/>
        <v>28.999900000000004</v>
      </c>
    </row>
    <row r="78" spans="1:20" x14ac:dyDescent="0.25">
      <c r="A78" s="5" t="s">
        <v>19</v>
      </c>
      <c r="B78" s="5">
        <v>2013</v>
      </c>
      <c r="C78" s="5">
        <v>1</v>
      </c>
      <c r="D78" s="5">
        <v>27</v>
      </c>
      <c r="E78" s="5">
        <v>11</v>
      </c>
      <c r="F78" s="5">
        <v>126436</v>
      </c>
      <c r="G78" s="5" t="s">
        <v>20</v>
      </c>
      <c r="H78" s="5">
        <v>0</v>
      </c>
      <c r="I78" s="5">
        <v>4.5</v>
      </c>
      <c r="J78" s="5">
        <v>69.584699999999998</v>
      </c>
      <c r="K78" s="5">
        <v>23.165299999999998</v>
      </c>
      <c r="L78" s="5">
        <v>2.75</v>
      </c>
      <c r="M78" s="5">
        <v>1.875</v>
      </c>
      <c r="N78" s="5">
        <v>0.625</v>
      </c>
      <c r="O78" s="5">
        <v>0</v>
      </c>
      <c r="P78" s="5">
        <v>0</v>
      </c>
      <c r="Q78" s="5">
        <v>0</v>
      </c>
      <c r="R78" s="5">
        <v>0</v>
      </c>
      <c r="S78" s="5">
        <v>20150930</v>
      </c>
      <c r="T78">
        <f t="shared" si="2"/>
        <v>102.5</v>
      </c>
    </row>
    <row r="79" spans="1:20" x14ac:dyDescent="0.25">
      <c r="A79" s="5" t="s">
        <v>19</v>
      </c>
      <c r="B79" s="5">
        <v>2013</v>
      </c>
      <c r="C79" s="5">
        <v>1</v>
      </c>
      <c r="D79" s="5">
        <v>27</v>
      </c>
      <c r="E79" s="5">
        <v>12</v>
      </c>
      <c r="F79" s="5">
        <v>126436</v>
      </c>
      <c r="G79" s="5" t="s">
        <v>20</v>
      </c>
      <c r="H79" s="5">
        <v>0</v>
      </c>
      <c r="I79" s="5">
        <v>0</v>
      </c>
      <c r="J79" s="5">
        <v>439.49439999999998</v>
      </c>
      <c r="K79" s="5">
        <v>66.005600000000001</v>
      </c>
      <c r="L79" s="5">
        <v>0</v>
      </c>
      <c r="M79" s="5">
        <v>0.5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20150930</v>
      </c>
      <c r="T79">
        <f t="shared" si="2"/>
        <v>506</v>
      </c>
    </row>
    <row r="80" spans="1:20" x14ac:dyDescent="0.25">
      <c r="A80" s="5" t="s">
        <v>19</v>
      </c>
      <c r="B80" s="5">
        <v>2013</v>
      </c>
      <c r="C80" s="5">
        <v>1</v>
      </c>
      <c r="D80" s="5">
        <v>27</v>
      </c>
      <c r="E80" s="5">
        <v>13</v>
      </c>
      <c r="F80" s="5">
        <v>126436</v>
      </c>
      <c r="G80" s="5" t="s">
        <v>20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20150930</v>
      </c>
      <c r="T80">
        <f t="shared" si="2"/>
        <v>0</v>
      </c>
    </row>
    <row r="81" spans="1:20" x14ac:dyDescent="0.25">
      <c r="A81" s="5" t="s">
        <v>19</v>
      </c>
      <c r="B81" s="5">
        <v>2013</v>
      </c>
      <c r="C81" s="5">
        <v>1</v>
      </c>
      <c r="D81" s="5">
        <v>28</v>
      </c>
      <c r="E81" s="5">
        <v>10</v>
      </c>
      <c r="F81" s="5">
        <v>126436</v>
      </c>
      <c r="G81" s="5" t="s">
        <v>20</v>
      </c>
      <c r="H81" s="5">
        <v>0</v>
      </c>
      <c r="I81" s="5">
        <v>4.3250000000000002</v>
      </c>
      <c r="J81" s="5">
        <v>34.210900000000002</v>
      </c>
      <c r="K81" s="5">
        <v>17.436</v>
      </c>
      <c r="L81" s="5">
        <v>6.8003</v>
      </c>
      <c r="M81" s="5">
        <v>1.9333</v>
      </c>
      <c r="N81" s="5">
        <v>0.49440000000000001</v>
      </c>
      <c r="O81" s="5">
        <v>0</v>
      </c>
      <c r="P81" s="5">
        <v>0</v>
      </c>
      <c r="Q81" s="5">
        <v>0</v>
      </c>
      <c r="R81" s="5">
        <v>0</v>
      </c>
      <c r="S81" s="5">
        <v>20150930</v>
      </c>
      <c r="T81">
        <f t="shared" si="2"/>
        <v>65.1999</v>
      </c>
    </row>
    <row r="82" spans="1:20" x14ac:dyDescent="0.25">
      <c r="A82" s="5" t="s">
        <v>19</v>
      </c>
      <c r="B82" s="5">
        <v>2013</v>
      </c>
      <c r="C82" s="5">
        <v>1</v>
      </c>
      <c r="D82" s="5">
        <v>28</v>
      </c>
      <c r="E82" s="5">
        <v>11</v>
      </c>
      <c r="F82" s="5">
        <v>126436</v>
      </c>
      <c r="G82" s="5" t="s">
        <v>20</v>
      </c>
      <c r="H82" s="5">
        <v>0</v>
      </c>
      <c r="I82" s="5">
        <v>3.8462000000000001</v>
      </c>
      <c r="J82" s="5">
        <v>27.481300000000001</v>
      </c>
      <c r="K82" s="5">
        <v>10.951499999999999</v>
      </c>
      <c r="L82" s="5">
        <v>3.8792</v>
      </c>
      <c r="M82" s="5">
        <v>1.7649999999999999</v>
      </c>
      <c r="N82" s="5">
        <v>0.3846</v>
      </c>
      <c r="O82" s="5">
        <v>0</v>
      </c>
      <c r="P82" s="5">
        <v>0</v>
      </c>
      <c r="Q82" s="5">
        <v>0</v>
      </c>
      <c r="R82" s="5">
        <v>0</v>
      </c>
      <c r="S82" s="5">
        <v>20150930</v>
      </c>
      <c r="T82">
        <f t="shared" si="2"/>
        <v>48.307799999999993</v>
      </c>
    </row>
    <row r="83" spans="1:20" x14ac:dyDescent="0.25">
      <c r="A83" s="5" t="s">
        <v>19</v>
      </c>
      <c r="B83" s="5">
        <v>2013</v>
      </c>
      <c r="C83" s="5">
        <v>1</v>
      </c>
      <c r="D83" s="5">
        <v>28</v>
      </c>
      <c r="E83" s="5">
        <v>12</v>
      </c>
      <c r="F83" s="5">
        <v>126436</v>
      </c>
      <c r="G83" s="5" t="s">
        <v>20</v>
      </c>
      <c r="H83" s="5">
        <v>0</v>
      </c>
      <c r="I83" s="5">
        <v>0</v>
      </c>
      <c r="J83" s="5">
        <v>2.7355999999999998</v>
      </c>
      <c r="K83" s="5">
        <v>2.6093999999999999</v>
      </c>
      <c r="L83" s="5">
        <v>1.3203</v>
      </c>
      <c r="M83" s="5">
        <v>0.3347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20150930</v>
      </c>
      <c r="T83">
        <f t="shared" si="2"/>
        <v>7</v>
      </c>
    </row>
    <row r="84" spans="1:20" x14ac:dyDescent="0.25">
      <c r="A84" s="5" t="s">
        <v>19</v>
      </c>
      <c r="B84" s="5">
        <v>2013</v>
      </c>
      <c r="C84" s="5">
        <v>1</v>
      </c>
      <c r="D84" s="5">
        <v>28</v>
      </c>
      <c r="E84" s="5">
        <v>9</v>
      </c>
      <c r="F84" s="5">
        <v>126436</v>
      </c>
      <c r="G84" s="5" t="s">
        <v>20</v>
      </c>
      <c r="H84" s="5">
        <v>0</v>
      </c>
      <c r="I84" s="5">
        <v>0</v>
      </c>
      <c r="J84" s="5">
        <v>0</v>
      </c>
      <c r="K84" s="5">
        <v>0.86670000000000003</v>
      </c>
      <c r="L84" s="5">
        <v>0.7</v>
      </c>
      <c r="M84" s="5">
        <v>0.26669999999999999</v>
      </c>
      <c r="N84" s="5">
        <v>0.16669999999999999</v>
      </c>
      <c r="O84" s="5">
        <v>0</v>
      </c>
      <c r="P84" s="5">
        <v>0</v>
      </c>
      <c r="Q84" s="5">
        <v>0</v>
      </c>
      <c r="R84" s="5">
        <v>0</v>
      </c>
      <c r="S84" s="5">
        <v>20150930</v>
      </c>
      <c r="T84">
        <f t="shared" si="2"/>
        <v>2.0000999999999998</v>
      </c>
    </row>
    <row r="85" spans="1:20" x14ac:dyDescent="0.25">
      <c r="A85" s="5" t="s">
        <v>19</v>
      </c>
      <c r="B85" s="5">
        <v>2014</v>
      </c>
      <c r="C85" s="5">
        <v>1</v>
      </c>
      <c r="D85" s="5">
        <v>21</v>
      </c>
      <c r="E85" s="5">
        <v>10</v>
      </c>
      <c r="F85" s="5">
        <v>126436</v>
      </c>
      <c r="G85" s="5" t="s">
        <v>20</v>
      </c>
      <c r="H85" s="5">
        <v>0</v>
      </c>
      <c r="I85" s="5">
        <v>20.758600000000001</v>
      </c>
      <c r="J85" s="5">
        <v>19.101400000000002</v>
      </c>
      <c r="K85" s="5">
        <v>1.86</v>
      </c>
      <c r="L85" s="5">
        <v>1.24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20160122</v>
      </c>
      <c r="T85">
        <f t="shared" si="2"/>
        <v>42.96</v>
      </c>
    </row>
    <row r="86" spans="1:20" x14ac:dyDescent="0.25">
      <c r="A86" s="5" t="s">
        <v>19</v>
      </c>
      <c r="B86" s="5">
        <v>2014</v>
      </c>
      <c r="C86" s="5">
        <v>1</v>
      </c>
      <c r="D86" s="5">
        <v>21</v>
      </c>
      <c r="E86" s="5">
        <v>11</v>
      </c>
      <c r="F86" s="5">
        <v>126436</v>
      </c>
      <c r="G86" s="5" t="s">
        <v>20</v>
      </c>
      <c r="H86" s="5">
        <v>0</v>
      </c>
      <c r="I86" s="5">
        <v>13.346299999999999</v>
      </c>
      <c r="J86" s="5">
        <v>11.053699999999999</v>
      </c>
      <c r="K86" s="5">
        <v>12.4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20160122</v>
      </c>
      <c r="T86">
        <f t="shared" si="2"/>
        <v>36.799999999999997</v>
      </c>
    </row>
    <row r="87" spans="1:20" x14ac:dyDescent="0.25">
      <c r="A87" s="5" t="s">
        <v>19</v>
      </c>
      <c r="B87" s="5">
        <v>2014</v>
      </c>
      <c r="C87" s="5">
        <v>1</v>
      </c>
      <c r="D87" s="5">
        <v>21</v>
      </c>
      <c r="E87" s="5">
        <v>9</v>
      </c>
      <c r="F87" s="5">
        <v>126436</v>
      </c>
      <c r="G87" s="5" t="s">
        <v>20</v>
      </c>
      <c r="H87" s="5">
        <v>0</v>
      </c>
      <c r="I87" s="5">
        <v>130.423</v>
      </c>
      <c r="J87" s="5">
        <v>1086.1355000000001</v>
      </c>
      <c r="K87" s="5">
        <v>15.7742</v>
      </c>
      <c r="L87" s="5">
        <v>1.0730999999999999</v>
      </c>
      <c r="M87" s="5">
        <v>0</v>
      </c>
      <c r="N87" s="5">
        <v>0.23849999999999999</v>
      </c>
      <c r="O87" s="5">
        <v>0</v>
      </c>
      <c r="P87" s="5">
        <v>0</v>
      </c>
      <c r="Q87" s="5">
        <v>0</v>
      </c>
      <c r="R87" s="5">
        <v>0.23849999999999999</v>
      </c>
      <c r="S87" s="5">
        <v>20160122</v>
      </c>
      <c r="T87">
        <f t="shared" si="2"/>
        <v>1233.8828000000001</v>
      </c>
    </row>
    <row r="88" spans="1:20" x14ac:dyDescent="0.25">
      <c r="A88" s="5" t="s">
        <v>19</v>
      </c>
      <c r="B88" s="5">
        <v>2014</v>
      </c>
      <c r="C88" s="5">
        <v>1</v>
      </c>
      <c r="D88" s="5">
        <v>22</v>
      </c>
      <c r="E88" s="5">
        <v>8</v>
      </c>
      <c r="F88" s="5">
        <v>126436</v>
      </c>
      <c r="G88" s="5" t="s">
        <v>20</v>
      </c>
      <c r="H88" s="5">
        <v>0</v>
      </c>
      <c r="I88" s="5">
        <v>11.1952</v>
      </c>
      <c r="J88" s="5">
        <v>11.286899999999999</v>
      </c>
      <c r="K88" s="5">
        <v>1.1236999999999999</v>
      </c>
      <c r="L88" s="5">
        <v>0.871</v>
      </c>
      <c r="M88" s="5">
        <v>0.25829999999999997</v>
      </c>
      <c r="N88" s="5">
        <v>0.46500000000000002</v>
      </c>
      <c r="O88" s="5">
        <v>0</v>
      </c>
      <c r="P88" s="5">
        <v>0.31</v>
      </c>
      <c r="Q88" s="5">
        <v>0</v>
      </c>
      <c r="R88" s="5">
        <v>0</v>
      </c>
      <c r="S88" s="5">
        <v>20160122</v>
      </c>
      <c r="T88">
        <f t="shared" si="2"/>
        <v>25.510099999999994</v>
      </c>
    </row>
    <row r="89" spans="1:20" x14ac:dyDescent="0.25">
      <c r="A89" s="5" t="s">
        <v>19</v>
      </c>
      <c r="B89" s="5">
        <v>2014</v>
      </c>
      <c r="C89" s="5">
        <v>1</v>
      </c>
      <c r="D89" s="5">
        <v>22</v>
      </c>
      <c r="E89" s="5">
        <v>9</v>
      </c>
      <c r="F89" s="5">
        <v>126436</v>
      </c>
      <c r="G89" s="5" t="s">
        <v>20</v>
      </c>
      <c r="H89" s="5">
        <v>0</v>
      </c>
      <c r="I89" s="5">
        <v>37.585299999999997</v>
      </c>
      <c r="J89" s="5">
        <v>40.135599999999997</v>
      </c>
      <c r="K89" s="5">
        <v>8.6245999999999992</v>
      </c>
      <c r="L89" s="5">
        <v>2.91</v>
      </c>
      <c r="M89" s="5">
        <v>0.25829999999999997</v>
      </c>
      <c r="N89" s="5">
        <v>0.51670000000000005</v>
      </c>
      <c r="O89" s="5">
        <v>0</v>
      </c>
      <c r="P89" s="5">
        <v>0</v>
      </c>
      <c r="Q89" s="5">
        <v>0</v>
      </c>
      <c r="R89" s="5">
        <v>0</v>
      </c>
      <c r="S89" s="5">
        <v>20160122</v>
      </c>
      <c r="T89">
        <f t="shared" si="2"/>
        <v>90.030500000000004</v>
      </c>
    </row>
    <row r="90" spans="1:20" x14ac:dyDescent="0.25">
      <c r="A90" s="5" t="s">
        <v>19</v>
      </c>
      <c r="B90" s="5">
        <v>2014</v>
      </c>
      <c r="C90" s="5">
        <v>1</v>
      </c>
      <c r="D90" s="5">
        <v>23</v>
      </c>
      <c r="E90" s="5">
        <v>8</v>
      </c>
      <c r="F90" s="5">
        <v>126436</v>
      </c>
      <c r="G90" s="5" t="s">
        <v>20</v>
      </c>
      <c r="H90" s="5">
        <v>0</v>
      </c>
      <c r="I90" s="5">
        <v>38.484000000000002</v>
      </c>
      <c r="J90" s="5">
        <v>988.39739999999995</v>
      </c>
      <c r="K90" s="5">
        <v>79.533600000000007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20160122</v>
      </c>
      <c r="T90">
        <f t="shared" si="2"/>
        <v>1106.415</v>
      </c>
    </row>
    <row r="91" spans="1:20" x14ac:dyDescent="0.25">
      <c r="A91" s="5" t="s">
        <v>19</v>
      </c>
      <c r="B91" s="5">
        <v>2014</v>
      </c>
      <c r="C91" s="5">
        <v>1</v>
      </c>
      <c r="D91" s="5">
        <v>23</v>
      </c>
      <c r="E91" s="5">
        <v>9</v>
      </c>
      <c r="F91" s="5">
        <v>126436</v>
      </c>
      <c r="G91" s="5" t="s">
        <v>20</v>
      </c>
      <c r="H91" s="5">
        <v>0</v>
      </c>
      <c r="I91" s="5">
        <v>10.980399999999999</v>
      </c>
      <c r="J91" s="5">
        <v>411.84269999999998</v>
      </c>
      <c r="K91" s="5">
        <v>103.9624</v>
      </c>
      <c r="L91" s="5">
        <v>5.6707000000000001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20160122</v>
      </c>
      <c r="T91">
        <f t="shared" si="2"/>
        <v>532.45619999999997</v>
      </c>
    </row>
    <row r="92" spans="1:20" x14ac:dyDescent="0.25">
      <c r="A92" s="5" t="s">
        <v>19</v>
      </c>
      <c r="B92" s="5">
        <v>2014</v>
      </c>
      <c r="C92" s="5">
        <v>1</v>
      </c>
      <c r="D92" s="5">
        <v>24</v>
      </c>
      <c r="E92" s="5">
        <v>10</v>
      </c>
      <c r="F92" s="5">
        <v>126436</v>
      </c>
      <c r="G92" s="5" t="s">
        <v>20</v>
      </c>
      <c r="H92" s="5">
        <v>0</v>
      </c>
      <c r="I92" s="5">
        <v>1005.7243999999999</v>
      </c>
      <c r="J92" s="5">
        <v>881.56179999999995</v>
      </c>
      <c r="K92" s="5">
        <v>60.529000000000003</v>
      </c>
      <c r="L92" s="5">
        <v>25.138500000000001</v>
      </c>
      <c r="M92" s="5">
        <v>2.9218000000000002</v>
      </c>
      <c r="N92" s="5">
        <v>0.98499999999999999</v>
      </c>
      <c r="O92" s="5">
        <v>0.16489999999999999</v>
      </c>
      <c r="P92" s="5">
        <v>0</v>
      </c>
      <c r="Q92" s="5">
        <v>0</v>
      </c>
      <c r="R92" s="5">
        <v>0</v>
      </c>
      <c r="S92" s="5">
        <v>20160122</v>
      </c>
      <c r="T92">
        <f t="shared" si="2"/>
        <v>1977.0254</v>
      </c>
    </row>
    <row r="93" spans="1:20" x14ac:dyDescent="0.25">
      <c r="A93" s="5" t="s">
        <v>19</v>
      </c>
      <c r="B93" s="5">
        <v>2014</v>
      </c>
      <c r="C93" s="5">
        <v>1</v>
      </c>
      <c r="D93" s="5">
        <v>24</v>
      </c>
      <c r="E93" s="5">
        <v>8</v>
      </c>
      <c r="F93" s="5">
        <v>126436</v>
      </c>
      <c r="G93" s="5" t="s">
        <v>20</v>
      </c>
      <c r="H93" s="5">
        <v>0</v>
      </c>
      <c r="I93" s="5">
        <v>22.2194</v>
      </c>
      <c r="J93" s="5">
        <v>103.5401</v>
      </c>
      <c r="K93" s="5">
        <v>15.410500000000001</v>
      </c>
      <c r="L93" s="5">
        <v>11.214399999999999</v>
      </c>
      <c r="M93" s="5">
        <v>1.2747999999999999</v>
      </c>
      <c r="N93" s="5">
        <v>0.39279999999999998</v>
      </c>
      <c r="O93" s="5">
        <v>8.3500000000000005E-2</v>
      </c>
      <c r="P93" s="5">
        <v>0</v>
      </c>
      <c r="Q93" s="5">
        <v>0</v>
      </c>
      <c r="R93" s="5">
        <v>0</v>
      </c>
      <c r="S93" s="5">
        <v>20160122</v>
      </c>
      <c r="T93">
        <f t="shared" si="2"/>
        <v>154.13550000000001</v>
      </c>
    </row>
    <row r="94" spans="1:20" x14ac:dyDescent="0.25">
      <c r="A94" s="5" t="s">
        <v>19</v>
      </c>
      <c r="B94" s="5">
        <v>2014</v>
      </c>
      <c r="C94" s="5">
        <v>1</v>
      </c>
      <c r="D94" s="5">
        <v>24</v>
      </c>
      <c r="E94" s="5">
        <v>9</v>
      </c>
      <c r="F94" s="5">
        <v>126436</v>
      </c>
      <c r="G94" s="5" t="s">
        <v>20</v>
      </c>
      <c r="H94" s="5">
        <v>0</v>
      </c>
      <c r="I94" s="5">
        <v>447.41980000000001</v>
      </c>
      <c r="J94" s="5">
        <v>253.517</v>
      </c>
      <c r="K94" s="5">
        <v>16.0808</v>
      </c>
      <c r="L94" s="5">
        <v>6.6162000000000001</v>
      </c>
      <c r="M94" s="5">
        <v>0.71120000000000005</v>
      </c>
      <c r="N94" s="5">
        <v>0.1552</v>
      </c>
      <c r="O94" s="5">
        <v>0</v>
      </c>
      <c r="P94" s="5">
        <v>0</v>
      </c>
      <c r="Q94" s="5">
        <v>0</v>
      </c>
      <c r="R94" s="5">
        <v>0</v>
      </c>
      <c r="S94" s="5">
        <v>20160122</v>
      </c>
      <c r="T94">
        <f t="shared" si="2"/>
        <v>724.50019999999995</v>
      </c>
    </row>
    <row r="95" spans="1:20" x14ac:dyDescent="0.25">
      <c r="A95" s="5" t="s">
        <v>19</v>
      </c>
      <c r="B95" s="5">
        <v>2014</v>
      </c>
      <c r="C95" s="5">
        <v>1</v>
      </c>
      <c r="D95" s="5">
        <v>25</v>
      </c>
      <c r="E95" s="5">
        <v>10</v>
      </c>
      <c r="F95" s="5">
        <v>126436</v>
      </c>
      <c r="G95" s="5" t="s">
        <v>20</v>
      </c>
      <c r="H95" s="5">
        <v>0</v>
      </c>
      <c r="I95" s="5">
        <v>63.417099999999998</v>
      </c>
      <c r="J95" s="5">
        <v>804.09019999999998</v>
      </c>
      <c r="K95" s="5">
        <v>802.03989999999999</v>
      </c>
      <c r="L95" s="5">
        <v>824.57360000000006</v>
      </c>
      <c r="M95" s="5">
        <v>374.91230000000002</v>
      </c>
      <c r="N95" s="5">
        <v>85.188500000000005</v>
      </c>
      <c r="O95" s="5">
        <v>15.007199999999999</v>
      </c>
      <c r="P95" s="5">
        <v>4.2531999999999996</v>
      </c>
      <c r="Q95" s="5">
        <v>1.3418000000000001</v>
      </c>
      <c r="R95" s="5">
        <v>0.1789</v>
      </c>
      <c r="S95" s="5">
        <v>20160122</v>
      </c>
      <c r="T95">
        <f t="shared" si="2"/>
        <v>2975.0027000000005</v>
      </c>
    </row>
    <row r="96" spans="1:20" x14ac:dyDescent="0.25">
      <c r="A96" s="5" t="s">
        <v>19</v>
      </c>
      <c r="B96" s="5">
        <v>2014</v>
      </c>
      <c r="C96" s="5">
        <v>1</v>
      </c>
      <c r="D96" s="5">
        <v>25</v>
      </c>
      <c r="E96" s="5">
        <v>11</v>
      </c>
      <c r="F96" s="5">
        <v>126436</v>
      </c>
      <c r="G96" s="5" t="s">
        <v>20</v>
      </c>
      <c r="H96" s="5">
        <v>0</v>
      </c>
      <c r="I96" s="5">
        <v>44.234200000000001</v>
      </c>
      <c r="J96" s="5">
        <v>566.81179999999995</v>
      </c>
      <c r="K96" s="5">
        <v>615.48739999999998</v>
      </c>
      <c r="L96" s="5">
        <v>633.12530000000004</v>
      </c>
      <c r="M96" s="5">
        <v>315.09780000000001</v>
      </c>
      <c r="N96" s="5">
        <v>81.919899999999998</v>
      </c>
      <c r="O96" s="5">
        <v>19.2973</v>
      </c>
      <c r="P96" s="5">
        <v>5.6360999999999999</v>
      </c>
      <c r="Q96" s="5">
        <v>1.6400999999999999</v>
      </c>
      <c r="R96" s="5">
        <v>0.32240000000000002</v>
      </c>
      <c r="S96" s="5">
        <v>20160122</v>
      </c>
      <c r="T96">
        <f t="shared" si="2"/>
        <v>2283.5723000000003</v>
      </c>
    </row>
    <row r="97" spans="1:20" x14ac:dyDescent="0.25">
      <c r="A97" s="5" t="s">
        <v>19</v>
      </c>
      <c r="B97" s="5">
        <v>2014</v>
      </c>
      <c r="C97" s="5">
        <v>1</v>
      </c>
      <c r="D97" s="5">
        <v>25</v>
      </c>
      <c r="E97" s="5">
        <v>12</v>
      </c>
      <c r="F97" s="5">
        <v>126436</v>
      </c>
      <c r="G97" s="5" t="s">
        <v>20</v>
      </c>
      <c r="H97" s="5">
        <v>0</v>
      </c>
      <c r="I97" s="5">
        <v>3.1476999999999999</v>
      </c>
      <c r="J97" s="5">
        <v>33.635300000000001</v>
      </c>
      <c r="K97" s="5">
        <v>72.574799999999996</v>
      </c>
      <c r="L97" s="5">
        <v>88.803100000000001</v>
      </c>
      <c r="M97" s="5">
        <v>62.713900000000002</v>
      </c>
      <c r="N97" s="5">
        <v>20.941500000000001</v>
      </c>
      <c r="O97" s="5">
        <v>6.6502999999999997</v>
      </c>
      <c r="P97" s="5">
        <v>2.2740999999999998</v>
      </c>
      <c r="Q97" s="5">
        <v>0.43659999999999999</v>
      </c>
      <c r="R97" s="5">
        <v>8.1000000000000003E-2</v>
      </c>
      <c r="S97" s="5">
        <v>20160122</v>
      </c>
      <c r="T97">
        <f t="shared" si="2"/>
        <v>291.25830000000002</v>
      </c>
    </row>
    <row r="98" spans="1:20" x14ac:dyDescent="0.25">
      <c r="A98" s="5" t="s">
        <v>19</v>
      </c>
      <c r="B98" s="5">
        <v>2014</v>
      </c>
      <c r="C98" s="5">
        <v>1</v>
      </c>
      <c r="D98" s="5">
        <v>25</v>
      </c>
      <c r="E98" s="5">
        <v>9</v>
      </c>
      <c r="F98" s="5">
        <v>126436</v>
      </c>
      <c r="G98" s="5" t="s">
        <v>20</v>
      </c>
      <c r="H98" s="5">
        <v>0</v>
      </c>
      <c r="I98" s="5">
        <v>0.69020000000000004</v>
      </c>
      <c r="J98" s="5">
        <v>2.9866000000000001</v>
      </c>
      <c r="K98" s="5">
        <v>14.5219</v>
      </c>
      <c r="L98" s="5">
        <v>16.799099999999999</v>
      </c>
      <c r="M98" s="5">
        <v>14.96</v>
      </c>
      <c r="N98" s="5">
        <v>5.9317000000000002</v>
      </c>
      <c r="O98" s="5">
        <v>1.8263</v>
      </c>
      <c r="P98" s="5">
        <v>0.69820000000000004</v>
      </c>
      <c r="Q98" s="5">
        <v>0.187</v>
      </c>
      <c r="R98" s="5">
        <v>1.4200000000000001E-2</v>
      </c>
      <c r="S98" s="5">
        <v>20160122</v>
      </c>
      <c r="T98">
        <f t="shared" ref="T98:T129" si="3">SUM(I98:R98)</f>
        <v>58.615200000000002</v>
      </c>
    </row>
    <row r="99" spans="1:20" x14ac:dyDescent="0.25">
      <c r="A99" s="5" t="s">
        <v>19</v>
      </c>
      <c r="B99" s="5">
        <v>2014</v>
      </c>
      <c r="C99" s="5">
        <v>1</v>
      </c>
      <c r="D99" s="5">
        <v>26</v>
      </c>
      <c r="E99" s="5">
        <v>10</v>
      </c>
      <c r="F99" s="5">
        <v>126436</v>
      </c>
      <c r="G99" s="5" t="s">
        <v>20</v>
      </c>
      <c r="H99" s="5">
        <v>0</v>
      </c>
      <c r="I99" s="5">
        <v>55.714300000000001</v>
      </c>
      <c r="J99" s="5">
        <v>314.49619999999999</v>
      </c>
      <c r="K99" s="5">
        <v>498.1694</v>
      </c>
      <c r="L99" s="5">
        <v>250.60659999999999</v>
      </c>
      <c r="M99" s="5">
        <v>64.352099999999993</v>
      </c>
      <c r="N99" s="5">
        <v>8.6043000000000003</v>
      </c>
      <c r="O99" s="5">
        <v>0</v>
      </c>
      <c r="P99" s="5">
        <v>0</v>
      </c>
      <c r="Q99" s="5">
        <v>0</v>
      </c>
      <c r="R99" s="5">
        <v>0</v>
      </c>
      <c r="S99" s="5">
        <v>20160122</v>
      </c>
      <c r="T99">
        <f t="shared" si="3"/>
        <v>1191.9429</v>
      </c>
    </row>
    <row r="100" spans="1:20" x14ac:dyDescent="0.25">
      <c r="A100" s="5" t="s">
        <v>19</v>
      </c>
      <c r="B100" s="5">
        <v>2014</v>
      </c>
      <c r="C100" s="5">
        <v>1</v>
      </c>
      <c r="D100" s="5">
        <v>26</v>
      </c>
      <c r="E100" s="5">
        <v>11</v>
      </c>
      <c r="F100" s="5">
        <v>126436</v>
      </c>
      <c r="G100" s="5" t="s">
        <v>20</v>
      </c>
      <c r="H100" s="5">
        <v>0</v>
      </c>
      <c r="I100" s="5">
        <v>2.2139000000000002</v>
      </c>
      <c r="J100" s="5">
        <v>76.868799999999993</v>
      </c>
      <c r="K100" s="5">
        <v>88.631600000000006</v>
      </c>
      <c r="L100" s="5">
        <v>39.441600000000001</v>
      </c>
      <c r="M100" s="5">
        <v>9.5394000000000005</v>
      </c>
      <c r="N100" s="5">
        <v>1.1647000000000001</v>
      </c>
      <c r="O100" s="5">
        <v>0</v>
      </c>
      <c r="P100" s="5">
        <v>0</v>
      </c>
      <c r="Q100" s="5">
        <v>0</v>
      </c>
      <c r="R100" s="5">
        <v>0</v>
      </c>
      <c r="S100" s="5">
        <v>20160122</v>
      </c>
      <c r="T100">
        <f t="shared" si="3"/>
        <v>217.85999999999999</v>
      </c>
    </row>
    <row r="101" spans="1:20" x14ac:dyDescent="0.25">
      <c r="A101" s="5" t="s">
        <v>19</v>
      </c>
      <c r="B101" s="5">
        <v>2014</v>
      </c>
      <c r="C101" s="5">
        <v>1</v>
      </c>
      <c r="D101" s="5">
        <v>26</v>
      </c>
      <c r="E101" s="5">
        <v>12</v>
      </c>
      <c r="F101" s="5">
        <v>126436</v>
      </c>
      <c r="G101" s="5" t="s">
        <v>20</v>
      </c>
      <c r="H101" s="5">
        <v>0</v>
      </c>
      <c r="I101" s="5">
        <v>2.8397999999999999</v>
      </c>
      <c r="J101" s="5">
        <v>66.757900000000006</v>
      </c>
      <c r="K101" s="5">
        <v>110.9632</v>
      </c>
      <c r="L101" s="5">
        <v>56.334600000000002</v>
      </c>
      <c r="M101" s="5">
        <v>13.9856</v>
      </c>
      <c r="N101" s="5">
        <v>1.6902999999999999</v>
      </c>
      <c r="O101" s="5">
        <v>0</v>
      </c>
      <c r="P101" s="5">
        <v>0</v>
      </c>
      <c r="Q101" s="5">
        <v>0</v>
      </c>
      <c r="R101" s="5">
        <v>0</v>
      </c>
      <c r="S101" s="5">
        <v>20160122</v>
      </c>
      <c r="T101">
        <f t="shared" si="3"/>
        <v>252.57140000000001</v>
      </c>
    </row>
    <row r="102" spans="1:20" x14ac:dyDescent="0.25">
      <c r="A102" s="5" t="s">
        <v>19</v>
      </c>
      <c r="B102" s="5">
        <v>2014</v>
      </c>
      <c r="C102" s="5">
        <v>1</v>
      </c>
      <c r="D102" s="5">
        <v>26</v>
      </c>
      <c r="E102" s="5">
        <v>13</v>
      </c>
      <c r="F102" s="5">
        <v>126436</v>
      </c>
      <c r="G102" s="5" t="s">
        <v>20</v>
      </c>
      <c r="H102" s="5">
        <v>0</v>
      </c>
      <c r="I102" s="5">
        <v>0</v>
      </c>
      <c r="J102" s="5">
        <v>1.8906000000000001</v>
      </c>
      <c r="K102" s="5">
        <v>6.7755999999999998</v>
      </c>
      <c r="L102" s="5">
        <v>3.7624</v>
      </c>
      <c r="M102" s="5">
        <v>1.4742</v>
      </c>
      <c r="N102" s="5">
        <v>9.7199999999999995E-2</v>
      </c>
      <c r="O102" s="5">
        <v>0</v>
      </c>
      <c r="P102" s="5">
        <v>0</v>
      </c>
      <c r="Q102" s="5">
        <v>0</v>
      </c>
      <c r="R102" s="5">
        <v>0</v>
      </c>
      <c r="S102" s="5">
        <v>20160122</v>
      </c>
      <c r="T102">
        <f t="shared" si="3"/>
        <v>14</v>
      </c>
    </row>
    <row r="103" spans="1:20" x14ac:dyDescent="0.25">
      <c r="A103" s="5" t="s">
        <v>19</v>
      </c>
      <c r="B103" s="5">
        <v>2014</v>
      </c>
      <c r="C103" s="5">
        <v>1</v>
      </c>
      <c r="D103" s="5">
        <v>26</v>
      </c>
      <c r="E103" s="5">
        <v>9</v>
      </c>
      <c r="F103" s="5">
        <v>126436</v>
      </c>
      <c r="G103" s="5" t="s">
        <v>20</v>
      </c>
      <c r="H103" s="5">
        <v>0</v>
      </c>
      <c r="I103" s="5">
        <v>18.485700000000001</v>
      </c>
      <c r="J103" s="5">
        <v>60.956899999999997</v>
      </c>
      <c r="K103" s="5">
        <v>77.756399999999999</v>
      </c>
      <c r="L103" s="5">
        <v>32.886200000000002</v>
      </c>
      <c r="M103" s="5">
        <v>10.023</v>
      </c>
      <c r="N103" s="5">
        <v>1.0918000000000001</v>
      </c>
      <c r="O103" s="5">
        <v>0</v>
      </c>
      <c r="P103" s="5">
        <v>0</v>
      </c>
      <c r="Q103" s="5">
        <v>0</v>
      </c>
      <c r="R103" s="5">
        <v>0</v>
      </c>
      <c r="S103" s="5">
        <v>20160122</v>
      </c>
      <c r="T103">
        <f t="shared" si="3"/>
        <v>201.20000000000002</v>
      </c>
    </row>
    <row r="104" spans="1:20" x14ac:dyDescent="0.25">
      <c r="A104" s="5" t="s">
        <v>19</v>
      </c>
      <c r="B104" s="5">
        <v>2014</v>
      </c>
      <c r="C104" s="5">
        <v>1</v>
      </c>
      <c r="D104" s="5">
        <v>27</v>
      </c>
      <c r="E104" s="5">
        <v>11</v>
      </c>
      <c r="F104" s="5">
        <v>126436</v>
      </c>
      <c r="G104" s="5" t="s">
        <v>20</v>
      </c>
      <c r="H104" s="5">
        <v>0</v>
      </c>
      <c r="I104" s="5">
        <v>0.5</v>
      </c>
      <c r="J104" s="5">
        <v>446.39170000000001</v>
      </c>
      <c r="K104" s="5">
        <v>242.75829999999999</v>
      </c>
      <c r="L104" s="5">
        <v>9</v>
      </c>
      <c r="M104" s="5">
        <v>1.6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20160122</v>
      </c>
      <c r="T104">
        <f t="shared" si="3"/>
        <v>700.25</v>
      </c>
    </row>
    <row r="105" spans="1:20" x14ac:dyDescent="0.25">
      <c r="A105" s="5" t="s">
        <v>19</v>
      </c>
      <c r="B105" s="5">
        <v>2014</v>
      </c>
      <c r="C105" s="5">
        <v>1</v>
      </c>
      <c r="D105" s="5">
        <v>27</v>
      </c>
      <c r="E105" s="5">
        <v>12</v>
      </c>
      <c r="F105" s="5">
        <v>126436</v>
      </c>
      <c r="G105" s="5" t="s">
        <v>20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20160122</v>
      </c>
      <c r="T105">
        <f t="shared" si="3"/>
        <v>0</v>
      </c>
    </row>
    <row r="106" spans="1:20" x14ac:dyDescent="0.25">
      <c r="A106" s="5" t="s">
        <v>19</v>
      </c>
      <c r="B106" s="5">
        <v>2014</v>
      </c>
      <c r="C106" s="5">
        <v>1</v>
      </c>
      <c r="D106" s="5">
        <v>28</v>
      </c>
      <c r="E106" s="5">
        <v>10</v>
      </c>
      <c r="F106" s="5">
        <v>126436</v>
      </c>
      <c r="G106" s="5" t="s">
        <v>20</v>
      </c>
      <c r="H106" s="5">
        <v>0</v>
      </c>
      <c r="I106" s="5">
        <v>2.5</v>
      </c>
      <c r="J106" s="5">
        <v>12.3515</v>
      </c>
      <c r="K106" s="5">
        <v>14.1153</v>
      </c>
      <c r="L106" s="5">
        <v>8.5089000000000006</v>
      </c>
      <c r="M106" s="5">
        <v>3.339</v>
      </c>
      <c r="N106" s="5">
        <v>0.96299999999999997</v>
      </c>
      <c r="O106" s="5">
        <v>0.22220000000000001</v>
      </c>
      <c r="P106" s="5">
        <v>0</v>
      </c>
      <c r="Q106" s="5">
        <v>0</v>
      </c>
      <c r="R106" s="5">
        <v>0</v>
      </c>
      <c r="S106" s="5">
        <v>20160122</v>
      </c>
      <c r="T106">
        <f t="shared" si="3"/>
        <v>41.999900000000004</v>
      </c>
    </row>
    <row r="107" spans="1:20" x14ac:dyDescent="0.25">
      <c r="A107" s="5" t="s">
        <v>19</v>
      </c>
      <c r="B107" s="5">
        <v>2014</v>
      </c>
      <c r="C107" s="5">
        <v>1</v>
      </c>
      <c r="D107" s="5">
        <v>28</v>
      </c>
      <c r="E107" s="5">
        <v>11</v>
      </c>
      <c r="F107" s="5">
        <v>126436</v>
      </c>
      <c r="G107" s="5" t="s">
        <v>20</v>
      </c>
      <c r="H107" s="5">
        <v>0</v>
      </c>
      <c r="I107" s="5">
        <v>0.45829999999999999</v>
      </c>
      <c r="J107" s="5">
        <v>112.452</v>
      </c>
      <c r="K107" s="5">
        <v>45.37</v>
      </c>
      <c r="L107" s="5">
        <v>23.463999999999999</v>
      </c>
      <c r="M107" s="5">
        <v>4.6074999999999999</v>
      </c>
      <c r="N107" s="5">
        <v>0.89810000000000001</v>
      </c>
      <c r="O107" s="5">
        <v>0.16669999999999999</v>
      </c>
      <c r="P107" s="5">
        <v>0</v>
      </c>
      <c r="Q107" s="5">
        <v>0</v>
      </c>
      <c r="R107" s="5">
        <v>0</v>
      </c>
      <c r="S107" s="5">
        <v>20160122</v>
      </c>
      <c r="T107">
        <f t="shared" si="3"/>
        <v>187.41659999999996</v>
      </c>
    </row>
    <row r="108" spans="1:20" x14ac:dyDescent="0.25">
      <c r="A108" s="5" t="s">
        <v>19</v>
      </c>
      <c r="B108" s="5">
        <v>2014</v>
      </c>
      <c r="C108" s="5">
        <v>1</v>
      </c>
      <c r="D108" s="5">
        <v>28</v>
      </c>
      <c r="E108" s="5">
        <v>12</v>
      </c>
      <c r="F108" s="5">
        <v>126436</v>
      </c>
      <c r="G108" s="5" t="s">
        <v>20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20160122</v>
      </c>
      <c r="T108">
        <f t="shared" si="3"/>
        <v>0</v>
      </c>
    </row>
    <row r="109" spans="1:20" x14ac:dyDescent="0.25">
      <c r="A109" s="5" t="s">
        <v>19</v>
      </c>
      <c r="B109" s="5">
        <v>2014</v>
      </c>
      <c r="C109" s="5">
        <v>1</v>
      </c>
      <c r="D109" s="5">
        <v>28</v>
      </c>
      <c r="E109" s="5">
        <v>9</v>
      </c>
      <c r="F109" s="5">
        <v>126436</v>
      </c>
      <c r="G109" s="5" t="s">
        <v>20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20160122</v>
      </c>
      <c r="T109">
        <f t="shared" si="3"/>
        <v>0</v>
      </c>
    </row>
    <row r="110" spans="1:20" x14ac:dyDescent="0.25">
      <c r="A110" s="5" t="s">
        <v>19</v>
      </c>
      <c r="B110" s="5">
        <v>2015</v>
      </c>
      <c r="C110" s="5">
        <v>1</v>
      </c>
      <c r="D110" s="5">
        <v>21</v>
      </c>
      <c r="E110" s="5">
        <v>10</v>
      </c>
      <c r="F110" s="5">
        <v>126436</v>
      </c>
      <c r="G110" s="5" t="s">
        <v>20</v>
      </c>
      <c r="H110" s="5">
        <v>0</v>
      </c>
      <c r="I110" s="5">
        <v>4.8183999999999996</v>
      </c>
      <c r="J110" s="5">
        <v>7.6687000000000003</v>
      </c>
      <c r="K110" s="5">
        <v>10.5406</v>
      </c>
      <c r="L110" s="5">
        <v>0.68889999999999996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20160126</v>
      </c>
      <c r="T110">
        <f t="shared" si="3"/>
        <v>23.7166</v>
      </c>
    </row>
    <row r="111" spans="1:20" x14ac:dyDescent="0.25">
      <c r="A111" s="5" t="s">
        <v>19</v>
      </c>
      <c r="B111" s="5">
        <v>2015</v>
      </c>
      <c r="C111" s="5">
        <v>1</v>
      </c>
      <c r="D111" s="5">
        <v>21</v>
      </c>
      <c r="E111" s="5">
        <v>11</v>
      </c>
      <c r="F111" s="5">
        <v>126436</v>
      </c>
      <c r="G111" s="5" t="s">
        <v>20</v>
      </c>
      <c r="H111" s="5">
        <v>0</v>
      </c>
      <c r="I111" s="5">
        <v>10.594900000000001</v>
      </c>
      <c r="J111" s="5">
        <v>17.6326</v>
      </c>
      <c r="K111" s="5">
        <v>30.4575</v>
      </c>
      <c r="L111" s="5">
        <v>2.0150000000000001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20160126</v>
      </c>
      <c r="T111">
        <f t="shared" si="3"/>
        <v>60.7</v>
      </c>
    </row>
    <row r="112" spans="1:20" x14ac:dyDescent="0.25">
      <c r="A112" s="5" t="s">
        <v>19</v>
      </c>
      <c r="B112" s="5">
        <v>2015</v>
      </c>
      <c r="C112" s="5">
        <v>1</v>
      </c>
      <c r="D112" s="5">
        <v>21</v>
      </c>
      <c r="E112" s="5">
        <v>9</v>
      </c>
      <c r="F112" s="5">
        <v>126436</v>
      </c>
      <c r="G112" s="5" t="s">
        <v>20</v>
      </c>
      <c r="H112" s="5">
        <v>0</v>
      </c>
      <c r="I112" s="5">
        <v>49.8386</v>
      </c>
      <c r="J112" s="5">
        <v>20.6676</v>
      </c>
      <c r="K112" s="5">
        <v>15.445</v>
      </c>
      <c r="L112" s="5">
        <v>2.3109000000000002</v>
      </c>
      <c r="M112" s="5">
        <v>0.28179999999999999</v>
      </c>
      <c r="N112" s="5">
        <v>0</v>
      </c>
      <c r="O112" s="5">
        <v>0</v>
      </c>
      <c r="P112" s="5">
        <v>0</v>
      </c>
      <c r="Q112" s="5">
        <v>0</v>
      </c>
      <c r="R112" s="5">
        <v>0.38329999999999997</v>
      </c>
      <c r="S112" s="5">
        <v>20160126</v>
      </c>
      <c r="T112">
        <f t="shared" si="3"/>
        <v>88.927200000000013</v>
      </c>
    </row>
    <row r="113" spans="1:20" x14ac:dyDescent="0.25">
      <c r="A113" s="5" t="s">
        <v>19</v>
      </c>
      <c r="B113" s="5">
        <v>2015</v>
      </c>
      <c r="C113" s="5">
        <v>1</v>
      </c>
      <c r="D113" s="5">
        <v>22</v>
      </c>
      <c r="E113" s="5">
        <v>8</v>
      </c>
      <c r="F113" s="5">
        <v>126436</v>
      </c>
      <c r="G113" s="5" t="s">
        <v>20</v>
      </c>
      <c r="H113" s="5">
        <v>0</v>
      </c>
      <c r="I113" s="5">
        <v>13.130100000000001</v>
      </c>
      <c r="J113" s="5">
        <v>51.026800000000001</v>
      </c>
      <c r="K113" s="5">
        <v>13.8607</v>
      </c>
      <c r="L113" s="5">
        <v>2.8227000000000002</v>
      </c>
      <c r="M113" s="5">
        <v>2.0667</v>
      </c>
      <c r="N113" s="5">
        <v>0.22140000000000001</v>
      </c>
      <c r="O113" s="5">
        <v>0</v>
      </c>
      <c r="P113" s="5">
        <v>0</v>
      </c>
      <c r="Q113" s="5">
        <v>0</v>
      </c>
      <c r="R113" s="5">
        <v>0</v>
      </c>
      <c r="S113" s="5">
        <v>20160126</v>
      </c>
      <c r="T113">
        <f t="shared" si="3"/>
        <v>83.128399999999999</v>
      </c>
    </row>
    <row r="114" spans="1:20" x14ac:dyDescent="0.25">
      <c r="A114" s="5" t="s">
        <v>19</v>
      </c>
      <c r="B114" s="5">
        <v>2015</v>
      </c>
      <c r="C114" s="5">
        <v>1</v>
      </c>
      <c r="D114" s="5">
        <v>22</v>
      </c>
      <c r="E114" s="5">
        <v>9</v>
      </c>
      <c r="F114" s="5">
        <v>126436</v>
      </c>
      <c r="G114" s="5" t="s">
        <v>20</v>
      </c>
      <c r="H114" s="5">
        <v>0</v>
      </c>
      <c r="I114" s="5">
        <v>49.503999999999998</v>
      </c>
      <c r="J114" s="5">
        <v>107.40170000000001</v>
      </c>
      <c r="K114" s="5">
        <v>52.506300000000003</v>
      </c>
      <c r="L114" s="5">
        <v>2.6869000000000001</v>
      </c>
      <c r="M114" s="5">
        <v>0.86109999999999998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20160126</v>
      </c>
      <c r="T114">
        <f t="shared" si="3"/>
        <v>212.96</v>
      </c>
    </row>
    <row r="115" spans="1:20" x14ac:dyDescent="0.25">
      <c r="A115" s="5" t="s">
        <v>19</v>
      </c>
      <c r="B115" s="5">
        <v>2015</v>
      </c>
      <c r="C115" s="5">
        <v>1</v>
      </c>
      <c r="D115" s="5">
        <v>23</v>
      </c>
      <c r="E115" s="5">
        <v>8</v>
      </c>
      <c r="F115" s="5">
        <v>126436</v>
      </c>
      <c r="G115" s="5" t="s">
        <v>20</v>
      </c>
      <c r="H115" s="5">
        <v>0</v>
      </c>
      <c r="I115" s="5">
        <v>533.33280000000002</v>
      </c>
      <c r="J115" s="5">
        <v>1496.3154999999999</v>
      </c>
      <c r="K115" s="5">
        <v>647.45870000000002</v>
      </c>
      <c r="L115" s="5">
        <v>23.1235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20160126</v>
      </c>
      <c r="T115">
        <f t="shared" si="3"/>
        <v>2700.2305000000001</v>
      </c>
    </row>
    <row r="116" spans="1:20" x14ac:dyDescent="0.25">
      <c r="A116" s="5" t="s">
        <v>19</v>
      </c>
      <c r="B116" s="5">
        <v>2015</v>
      </c>
      <c r="C116" s="5">
        <v>1</v>
      </c>
      <c r="D116" s="5">
        <v>23</v>
      </c>
      <c r="E116" s="5">
        <v>9</v>
      </c>
      <c r="F116" s="5">
        <v>126436</v>
      </c>
      <c r="G116" s="5" t="s">
        <v>20</v>
      </c>
      <c r="H116" s="5">
        <v>0</v>
      </c>
      <c r="I116" s="5">
        <v>59.103000000000002</v>
      </c>
      <c r="J116" s="5">
        <v>718.74570000000006</v>
      </c>
      <c r="K116" s="5">
        <v>588.77139999999997</v>
      </c>
      <c r="L116" s="5">
        <v>6.5635000000000003</v>
      </c>
      <c r="M116" s="5">
        <v>3.2132000000000001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20160126</v>
      </c>
      <c r="T116">
        <f t="shared" si="3"/>
        <v>1376.3968</v>
      </c>
    </row>
    <row r="117" spans="1:20" x14ac:dyDescent="0.25">
      <c r="A117" s="5" t="s">
        <v>19</v>
      </c>
      <c r="B117" s="5">
        <v>2015</v>
      </c>
      <c r="C117" s="5">
        <v>1</v>
      </c>
      <c r="D117" s="5">
        <v>24</v>
      </c>
      <c r="E117" s="5">
        <v>10</v>
      </c>
      <c r="F117" s="5">
        <v>126436</v>
      </c>
      <c r="G117" s="5" t="s">
        <v>20</v>
      </c>
      <c r="H117" s="5">
        <v>0</v>
      </c>
      <c r="I117" s="5">
        <v>190.60759999999999</v>
      </c>
      <c r="J117" s="5">
        <v>1368.3439000000001</v>
      </c>
      <c r="K117" s="5">
        <v>481.39269999999999</v>
      </c>
      <c r="L117" s="5">
        <v>37.947200000000002</v>
      </c>
      <c r="M117" s="5">
        <v>0.54149999999999998</v>
      </c>
      <c r="N117" s="5">
        <v>1.0024999999999999</v>
      </c>
      <c r="O117" s="5">
        <v>0.62919999999999998</v>
      </c>
      <c r="P117" s="5">
        <v>0.8861</v>
      </c>
      <c r="Q117" s="5">
        <v>0</v>
      </c>
      <c r="R117" s="5">
        <v>0</v>
      </c>
      <c r="S117" s="5">
        <v>20160126</v>
      </c>
      <c r="T117">
        <f t="shared" si="3"/>
        <v>2081.3507</v>
      </c>
    </row>
    <row r="118" spans="1:20" x14ac:dyDescent="0.25">
      <c r="A118" s="5" t="s">
        <v>19</v>
      </c>
      <c r="B118" s="5">
        <v>2015</v>
      </c>
      <c r="C118" s="5">
        <v>1</v>
      </c>
      <c r="D118" s="5">
        <v>24</v>
      </c>
      <c r="E118" s="5">
        <v>8</v>
      </c>
      <c r="F118" s="5">
        <v>126436</v>
      </c>
      <c r="G118" s="5" t="s">
        <v>20</v>
      </c>
      <c r="H118" s="5">
        <v>0</v>
      </c>
      <c r="I118" s="5">
        <v>20.4222</v>
      </c>
      <c r="J118" s="5">
        <v>68.544399999999996</v>
      </c>
      <c r="K118" s="5">
        <v>23.2957</v>
      </c>
      <c r="L118" s="5">
        <v>2.3369</v>
      </c>
      <c r="M118" s="5">
        <v>3.5200000000000002E-2</v>
      </c>
      <c r="N118" s="5">
        <v>3.3700000000000001E-2</v>
      </c>
      <c r="O118" s="5">
        <v>1.61E-2</v>
      </c>
      <c r="P118" s="5">
        <v>3.3799999999999997E-2</v>
      </c>
      <c r="Q118" s="5">
        <v>0</v>
      </c>
      <c r="R118" s="5">
        <v>0</v>
      </c>
      <c r="S118" s="5">
        <v>20160126</v>
      </c>
      <c r="T118">
        <f t="shared" si="3"/>
        <v>114.71799999999999</v>
      </c>
    </row>
    <row r="119" spans="1:20" x14ac:dyDescent="0.25">
      <c r="A119" s="5" t="s">
        <v>19</v>
      </c>
      <c r="B119" s="5">
        <v>2015</v>
      </c>
      <c r="C119" s="5">
        <v>1</v>
      </c>
      <c r="D119" s="5">
        <v>24</v>
      </c>
      <c r="E119" s="5">
        <v>9</v>
      </c>
      <c r="F119" s="5">
        <v>126436</v>
      </c>
      <c r="G119" s="5" t="s">
        <v>20</v>
      </c>
      <c r="H119" s="5">
        <v>0</v>
      </c>
      <c r="I119" s="5">
        <v>16.854700000000001</v>
      </c>
      <c r="J119" s="5">
        <v>155</v>
      </c>
      <c r="K119" s="5">
        <v>56.7042</v>
      </c>
      <c r="L119" s="5">
        <v>4.9557000000000002</v>
      </c>
      <c r="M119" s="5">
        <v>3.8800000000000001E-2</v>
      </c>
      <c r="N119" s="5">
        <v>7.1900000000000006E-2</v>
      </c>
      <c r="O119" s="5">
        <v>4.3099999999999999E-2</v>
      </c>
      <c r="P119" s="5">
        <v>0.1464</v>
      </c>
      <c r="Q119" s="5">
        <v>0</v>
      </c>
      <c r="R119" s="5">
        <v>0</v>
      </c>
      <c r="S119" s="5">
        <v>20160126</v>
      </c>
      <c r="T119">
        <f t="shared" si="3"/>
        <v>233.81480000000002</v>
      </c>
    </row>
    <row r="120" spans="1:20" x14ac:dyDescent="0.25">
      <c r="A120" s="5" t="s">
        <v>19</v>
      </c>
      <c r="B120" s="5">
        <v>2015</v>
      </c>
      <c r="C120" s="5">
        <v>1</v>
      </c>
      <c r="D120" s="5">
        <v>25</v>
      </c>
      <c r="E120" s="5">
        <v>10</v>
      </c>
      <c r="F120" s="5">
        <v>126436</v>
      </c>
      <c r="G120" s="5" t="s">
        <v>20</v>
      </c>
      <c r="H120" s="5">
        <v>0</v>
      </c>
      <c r="I120" s="5">
        <v>7.4968000000000004</v>
      </c>
      <c r="J120" s="5">
        <v>473.18470000000002</v>
      </c>
      <c r="K120" s="5">
        <v>728.57680000000005</v>
      </c>
      <c r="L120" s="5">
        <v>181.3218</v>
      </c>
      <c r="M120" s="5">
        <v>20.287099999999999</v>
      </c>
      <c r="N120" s="5">
        <v>3.5602999999999998</v>
      </c>
      <c r="O120" s="5">
        <v>0.2535</v>
      </c>
      <c r="P120" s="5">
        <v>0</v>
      </c>
      <c r="Q120" s="5">
        <v>3.8100000000000002E-2</v>
      </c>
      <c r="R120" s="5">
        <v>0</v>
      </c>
      <c r="S120" s="5">
        <v>20160126</v>
      </c>
      <c r="T120">
        <f t="shared" si="3"/>
        <v>1414.7191</v>
      </c>
    </row>
    <row r="121" spans="1:20" x14ac:dyDescent="0.25">
      <c r="A121" s="5" t="s">
        <v>19</v>
      </c>
      <c r="B121" s="5">
        <v>2015</v>
      </c>
      <c r="C121" s="5">
        <v>1</v>
      </c>
      <c r="D121" s="5">
        <v>25</v>
      </c>
      <c r="E121" s="5">
        <v>11</v>
      </c>
      <c r="F121" s="5">
        <v>126436</v>
      </c>
      <c r="G121" s="5" t="s">
        <v>20</v>
      </c>
      <c r="H121" s="5">
        <v>0</v>
      </c>
      <c r="I121" s="5">
        <v>5.0511999999999997</v>
      </c>
      <c r="J121" s="5">
        <v>291.58499999999998</v>
      </c>
      <c r="K121" s="5">
        <v>963.89750000000004</v>
      </c>
      <c r="L121" s="5">
        <v>257.20089999999999</v>
      </c>
      <c r="M121" s="5">
        <v>28.783100000000001</v>
      </c>
      <c r="N121" s="5">
        <v>5.2507000000000001</v>
      </c>
      <c r="O121" s="5">
        <v>0.3992</v>
      </c>
      <c r="P121" s="5">
        <v>0</v>
      </c>
      <c r="Q121" s="5">
        <v>7.3700000000000002E-2</v>
      </c>
      <c r="R121" s="5">
        <v>0</v>
      </c>
      <c r="S121" s="5">
        <v>20160126</v>
      </c>
      <c r="T121">
        <f t="shared" si="3"/>
        <v>1552.2413000000001</v>
      </c>
    </row>
    <row r="122" spans="1:20" x14ac:dyDescent="0.25">
      <c r="A122" s="5" t="s">
        <v>19</v>
      </c>
      <c r="B122" s="5">
        <v>2015</v>
      </c>
      <c r="C122" s="5">
        <v>1</v>
      </c>
      <c r="D122" s="5">
        <v>25</v>
      </c>
      <c r="E122" s="5">
        <v>12</v>
      </c>
      <c r="F122" s="5">
        <v>126436</v>
      </c>
      <c r="G122" s="5" t="s">
        <v>20</v>
      </c>
      <c r="H122" s="5">
        <v>0</v>
      </c>
      <c r="I122" s="5">
        <v>2.1696</v>
      </c>
      <c r="J122" s="5">
        <v>167.54849999999999</v>
      </c>
      <c r="K122" s="5">
        <v>1315.5862</v>
      </c>
      <c r="L122" s="5">
        <v>523.35209999999995</v>
      </c>
      <c r="M122" s="5">
        <v>60.651800000000001</v>
      </c>
      <c r="N122" s="5">
        <v>11.006399999999999</v>
      </c>
      <c r="O122" s="5">
        <v>0.74470000000000003</v>
      </c>
      <c r="P122" s="5">
        <v>0</v>
      </c>
      <c r="Q122" s="5">
        <v>8.6400000000000005E-2</v>
      </c>
      <c r="R122" s="5">
        <v>0</v>
      </c>
      <c r="S122" s="5">
        <v>20160126</v>
      </c>
      <c r="T122">
        <f t="shared" si="3"/>
        <v>2081.1457000000005</v>
      </c>
    </row>
    <row r="123" spans="1:20" x14ac:dyDescent="0.25">
      <c r="A123" s="5" t="s">
        <v>19</v>
      </c>
      <c r="B123" s="5">
        <v>2015</v>
      </c>
      <c r="C123" s="5">
        <v>1</v>
      </c>
      <c r="D123" s="5">
        <v>25</v>
      </c>
      <c r="E123" s="5">
        <v>9</v>
      </c>
      <c r="F123" s="5">
        <v>126436</v>
      </c>
      <c r="G123" s="5" t="s">
        <v>20</v>
      </c>
      <c r="H123" s="5">
        <v>0</v>
      </c>
      <c r="I123" s="5">
        <v>0.5</v>
      </c>
      <c r="J123" s="5">
        <v>26.114000000000001</v>
      </c>
      <c r="K123" s="5">
        <v>417.65550000000002</v>
      </c>
      <c r="L123" s="5">
        <v>134.82849999999999</v>
      </c>
      <c r="M123" s="5">
        <v>11.1174</v>
      </c>
      <c r="N123" s="5">
        <v>1.631</v>
      </c>
      <c r="O123" s="5">
        <v>0.15359999999999999</v>
      </c>
      <c r="P123" s="5">
        <v>0</v>
      </c>
      <c r="Q123" s="5">
        <v>0</v>
      </c>
      <c r="R123" s="5">
        <v>0</v>
      </c>
      <c r="S123" s="5">
        <v>20160126</v>
      </c>
      <c r="T123">
        <f t="shared" si="3"/>
        <v>591.99999999999989</v>
      </c>
    </row>
    <row r="124" spans="1:20" x14ac:dyDescent="0.25">
      <c r="A124" s="5" t="s">
        <v>19</v>
      </c>
      <c r="B124" s="5">
        <v>2015</v>
      </c>
      <c r="C124" s="5">
        <v>1</v>
      </c>
      <c r="D124" s="5">
        <v>26</v>
      </c>
      <c r="E124" s="5">
        <v>10</v>
      </c>
      <c r="F124" s="5">
        <v>126436</v>
      </c>
      <c r="G124" s="5" t="s">
        <v>20</v>
      </c>
      <c r="H124" s="5">
        <v>0</v>
      </c>
      <c r="I124" s="5">
        <v>6.5845000000000002</v>
      </c>
      <c r="J124" s="5">
        <v>65.898899999999998</v>
      </c>
      <c r="K124" s="5">
        <v>230.3947</v>
      </c>
      <c r="L124" s="5">
        <v>131.2527</v>
      </c>
      <c r="M124" s="5">
        <v>53.0349</v>
      </c>
      <c r="N124" s="5">
        <v>9.2098999999999993</v>
      </c>
      <c r="O124" s="5">
        <v>2.6444000000000001</v>
      </c>
      <c r="P124" s="5">
        <v>0.372</v>
      </c>
      <c r="Q124" s="5">
        <v>0</v>
      </c>
      <c r="R124" s="5">
        <v>0</v>
      </c>
      <c r="S124" s="5">
        <v>20160126</v>
      </c>
      <c r="T124">
        <f t="shared" si="3"/>
        <v>499.39200000000005</v>
      </c>
    </row>
    <row r="125" spans="1:20" x14ac:dyDescent="0.25">
      <c r="A125" s="5" t="s">
        <v>19</v>
      </c>
      <c r="B125" s="5">
        <v>2015</v>
      </c>
      <c r="C125" s="5">
        <v>1</v>
      </c>
      <c r="D125" s="5">
        <v>26</v>
      </c>
      <c r="E125" s="5">
        <v>11</v>
      </c>
      <c r="F125" s="5">
        <v>126436</v>
      </c>
      <c r="G125" s="5" t="s">
        <v>20</v>
      </c>
      <c r="H125" s="5">
        <v>0</v>
      </c>
      <c r="I125" s="5">
        <v>3.6915</v>
      </c>
      <c r="J125" s="5">
        <v>69.141000000000005</v>
      </c>
      <c r="K125" s="5">
        <v>154.7116</v>
      </c>
      <c r="L125" s="5">
        <v>86.247100000000003</v>
      </c>
      <c r="M125" s="5">
        <v>31.922499999999999</v>
      </c>
      <c r="N125" s="5">
        <v>5.0561999999999996</v>
      </c>
      <c r="O125" s="5">
        <v>1.7359</v>
      </c>
      <c r="P125" s="5">
        <v>0.29409999999999997</v>
      </c>
      <c r="Q125" s="5">
        <v>0</v>
      </c>
      <c r="R125" s="5">
        <v>0</v>
      </c>
      <c r="S125" s="5">
        <v>20160126</v>
      </c>
      <c r="T125">
        <f t="shared" si="3"/>
        <v>352.79990000000004</v>
      </c>
    </row>
    <row r="126" spans="1:20" x14ac:dyDescent="0.25">
      <c r="A126" s="5" t="s">
        <v>19</v>
      </c>
      <c r="B126" s="5">
        <v>2015</v>
      </c>
      <c r="C126" s="5">
        <v>1</v>
      </c>
      <c r="D126" s="5">
        <v>26</v>
      </c>
      <c r="E126" s="5">
        <v>12</v>
      </c>
      <c r="F126" s="5">
        <v>126436</v>
      </c>
      <c r="G126" s="5" t="s">
        <v>20</v>
      </c>
      <c r="H126" s="5">
        <v>0</v>
      </c>
      <c r="I126" s="5">
        <v>1.0545</v>
      </c>
      <c r="J126" s="5">
        <v>59.8919</v>
      </c>
      <c r="K126" s="5">
        <v>187.09700000000001</v>
      </c>
      <c r="L126" s="5">
        <v>109.0159</v>
      </c>
      <c r="M126" s="5">
        <v>38.962899999999998</v>
      </c>
      <c r="N126" s="5">
        <v>6.3720999999999997</v>
      </c>
      <c r="O126" s="5">
        <v>1.6055999999999999</v>
      </c>
      <c r="P126" s="5">
        <v>0.1</v>
      </c>
      <c r="Q126" s="5">
        <v>0.1</v>
      </c>
      <c r="R126" s="5">
        <v>0</v>
      </c>
      <c r="S126" s="5">
        <v>20160126</v>
      </c>
      <c r="T126">
        <f t="shared" si="3"/>
        <v>404.19990000000001</v>
      </c>
    </row>
    <row r="127" spans="1:20" x14ac:dyDescent="0.25">
      <c r="A127" s="5" t="s">
        <v>19</v>
      </c>
      <c r="B127" s="5">
        <v>2015</v>
      </c>
      <c r="C127" s="5">
        <v>1</v>
      </c>
      <c r="D127" s="5">
        <v>26</v>
      </c>
      <c r="E127" s="5">
        <v>13</v>
      </c>
      <c r="F127" s="5">
        <v>126436</v>
      </c>
      <c r="G127" s="5" t="s">
        <v>20</v>
      </c>
      <c r="H127" s="5">
        <v>0</v>
      </c>
      <c r="I127" s="5">
        <v>0.71430000000000005</v>
      </c>
      <c r="J127" s="5">
        <v>22.894200000000001</v>
      </c>
      <c r="K127" s="5">
        <v>140.69829999999999</v>
      </c>
      <c r="L127" s="5">
        <v>78.5261</v>
      </c>
      <c r="M127" s="5">
        <v>33.675899999999999</v>
      </c>
      <c r="N127" s="5">
        <v>4.9329999999999998</v>
      </c>
      <c r="O127" s="5">
        <v>1.3915</v>
      </c>
      <c r="P127" s="5">
        <v>0.33329999999999999</v>
      </c>
      <c r="Q127" s="5">
        <v>0.16669999999999999</v>
      </c>
      <c r="R127" s="5">
        <v>0</v>
      </c>
      <c r="S127" s="5">
        <v>20160126</v>
      </c>
      <c r="T127">
        <f t="shared" si="3"/>
        <v>283.33330000000001</v>
      </c>
    </row>
    <row r="128" spans="1:20" x14ac:dyDescent="0.25">
      <c r="A128" s="5" t="s">
        <v>19</v>
      </c>
      <c r="B128" s="5">
        <v>2015</v>
      </c>
      <c r="C128" s="5">
        <v>1</v>
      </c>
      <c r="D128" s="5">
        <v>26</v>
      </c>
      <c r="E128" s="5">
        <v>14</v>
      </c>
      <c r="F128" s="5">
        <v>126436</v>
      </c>
      <c r="G128" s="5" t="s">
        <v>20</v>
      </c>
      <c r="H128" s="5">
        <v>0</v>
      </c>
      <c r="I128" s="5">
        <v>3.5</v>
      </c>
      <c r="J128" s="5">
        <v>29.214400000000001</v>
      </c>
      <c r="K128" s="5">
        <v>179.65520000000001</v>
      </c>
      <c r="L128" s="5">
        <v>118.23220000000001</v>
      </c>
      <c r="M128" s="5">
        <v>59.0488</v>
      </c>
      <c r="N128" s="5">
        <v>13.455299999999999</v>
      </c>
      <c r="O128" s="5">
        <v>2.8940000000000001</v>
      </c>
      <c r="P128" s="5">
        <v>0</v>
      </c>
      <c r="Q128" s="5">
        <v>0</v>
      </c>
      <c r="R128" s="5">
        <v>0</v>
      </c>
      <c r="S128" s="5">
        <v>20160126</v>
      </c>
      <c r="T128">
        <f t="shared" si="3"/>
        <v>405.99990000000008</v>
      </c>
    </row>
    <row r="129" spans="1:20" x14ac:dyDescent="0.25">
      <c r="A129" s="5" t="s">
        <v>19</v>
      </c>
      <c r="B129" s="5">
        <v>2015</v>
      </c>
      <c r="C129" s="5">
        <v>1</v>
      </c>
      <c r="D129" s="5">
        <v>26</v>
      </c>
      <c r="E129" s="5">
        <v>9</v>
      </c>
      <c r="F129" s="5">
        <v>126436</v>
      </c>
      <c r="G129" s="5" t="s">
        <v>20</v>
      </c>
      <c r="H129" s="5">
        <v>0</v>
      </c>
      <c r="I129" s="5">
        <v>7.8277999999999999</v>
      </c>
      <c r="J129" s="5">
        <v>18.6859</v>
      </c>
      <c r="K129" s="5">
        <v>48.572699999999998</v>
      </c>
      <c r="L129" s="5">
        <v>28.4635</v>
      </c>
      <c r="M129" s="5">
        <v>11.041700000000001</v>
      </c>
      <c r="N129" s="5">
        <v>1.9664999999999999</v>
      </c>
      <c r="O129" s="5">
        <v>0.65300000000000002</v>
      </c>
      <c r="P129" s="5">
        <v>0</v>
      </c>
      <c r="Q129" s="5">
        <v>0</v>
      </c>
      <c r="R129" s="5">
        <v>0</v>
      </c>
      <c r="S129" s="5">
        <v>20160126</v>
      </c>
      <c r="T129">
        <f t="shared" si="3"/>
        <v>117.2111</v>
      </c>
    </row>
    <row r="130" spans="1:20" x14ac:dyDescent="0.25">
      <c r="A130" s="5" t="s">
        <v>19</v>
      </c>
      <c r="B130" s="5">
        <v>2015</v>
      </c>
      <c r="C130" s="5">
        <v>1</v>
      </c>
      <c r="D130" s="5">
        <v>27</v>
      </c>
      <c r="E130" s="5">
        <v>11</v>
      </c>
      <c r="F130" s="5">
        <v>126436</v>
      </c>
      <c r="G130" s="5" t="s">
        <v>20</v>
      </c>
      <c r="H130" s="5">
        <v>0</v>
      </c>
      <c r="I130" s="5">
        <v>0</v>
      </c>
      <c r="J130" s="5">
        <v>0.8</v>
      </c>
      <c r="K130" s="5">
        <v>0.2</v>
      </c>
      <c r="L130" s="5">
        <v>0</v>
      </c>
      <c r="M130" s="5">
        <v>0.5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20160126</v>
      </c>
      <c r="T130">
        <f t="shared" ref="T130:T136" si="4">SUM(I130:R130)</f>
        <v>1.5</v>
      </c>
    </row>
    <row r="131" spans="1:20" x14ac:dyDescent="0.25">
      <c r="A131" s="5" t="s">
        <v>19</v>
      </c>
      <c r="B131" s="5">
        <v>2015</v>
      </c>
      <c r="C131" s="5">
        <v>1</v>
      </c>
      <c r="D131" s="5">
        <v>27</v>
      </c>
      <c r="E131" s="5">
        <v>12</v>
      </c>
      <c r="F131" s="5">
        <v>126436</v>
      </c>
      <c r="G131" s="5" t="s">
        <v>20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20160126</v>
      </c>
      <c r="T131">
        <f t="shared" si="4"/>
        <v>0</v>
      </c>
    </row>
    <row r="132" spans="1:20" x14ac:dyDescent="0.25">
      <c r="A132" s="5" t="s">
        <v>19</v>
      </c>
      <c r="B132" s="5">
        <v>2015</v>
      </c>
      <c r="C132" s="5">
        <v>1</v>
      </c>
      <c r="D132" s="5">
        <v>27</v>
      </c>
      <c r="E132" s="5">
        <v>13</v>
      </c>
      <c r="F132" s="5">
        <v>126436</v>
      </c>
      <c r="G132" s="5" t="s">
        <v>20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20160126</v>
      </c>
      <c r="T132">
        <f t="shared" si="4"/>
        <v>0</v>
      </c>
    </row>
    <row r="133" spans="1:20" x14ac:dyDescent="0.25">
      <c r="A133" s="5" t="s">
        <v>19</v>
      </c>
      <c r="B133" s="5">
        <v>2015</v>
      </c>
      <c r="C133" s="5">
        <v>1</v>
      </c>
      <c r="D133" s="5">
        <v>28</v>
      </c>
      <c r="E133" s="5">
        <v>10</v>
      </c>
      <c r="F133" s="5">
        <v>126436</v>
      </c>
      <c r="G133" s="5" t="s">
        <v>20</v>
      </c>
      <c r="H133" s="5">
        <v>0</v>
      </c>
      <c r="I133" s="5">
        <v>2</v>
      </c>
      <c r="J133" s="5">
        <v>15.977600000000001</v>
      </c>
      <c r="K133" s="5">
        <v>25.257200000000001</v>
      </c>
      <c r="L133" s="5">
        <v>9.4143000000000008</v>
      </c>
      <c r="M133" s="5">
        <v>1.7476</v>
      </c>
      <c r="N133" s="5">
        <v>0.23810000000000001</v>
      </c>
      <c r="O133" s="5">
        <v>0.22220000000000001</v>
      </c>
      <c r="P133" s="5">
        <v>0</v>
      </c>
      <c r="Q133" s="5">
        <v>0</v>
      </c>
      <c r="R133" s="5">
        <v>0</v>
      </c>
      <c r="S133" s="5">
        <v>20160126</v>
      </c>
      <c r="T133">
        <f t="shared" si="4"/>
        <v>54.857000000000006</v>
      </c>
    </row>
    <row r="134" spans="1:20" x14ac:dyDescent="0.25">
      <c r="A134" s="5" t="s">
        <v>19</v>
      </c>
      <c r="B134" s="5">
        <v>2015</v>
      </c>
      <c r="C134" s="5">
        <v>1</v>
      </c>
      <c r="D134" s="5">
        <v>28</v>
      </c>
      <c r="E134" s="5">
        <v>11</v>
      </c>
      <c r="F134" s="5">
        <v>126436</v>
      </c>
      <c r="G134" s="5" t="s">
        <v>20</v>
      </c>
      <c r="H134" s="5">
        <v>0</v>
      </c>
      <c r="I134" s="5">
        <v>0.36359999999999998</v>
      </c>
      <c r="J134" s="5">
        <v>18.884799999999998</v>
      </c>
      <c r="K134" s="5">
        <v>30.355599999999999</v>
      </c>
      <c r="L134" s="5">
        <v>14.0657</v>
      </c>
      <c r="M134" s="5">
        <v>3.7368000000000001</v>
      </c>
      <c r="N134" s="5">
        <v>0.73480000000000001</v>
      </c>
      <c r="O134" s="5">
        <v>0.40400000000000003</v>
      </c>
      <c r="P134" s="5">
        <v>0</v>
      </c>
      <c r="Q134" s="5">
        <v>0</v>
      </c>
      <c r="R134" s="5">
        <v>0</v>
      </c>
      <c r="S134" s="5">
        <v>20160126</v>
      </c>
      <c r="T134">
        <f t="shared" si="4"/>
        <v>68.545299999999997</v>
      </c>
    </row>
    <row r="135" spans="1:20" x14ac:dyDescent="0.25">
      <c r="A135" s="5" t="s">
        <v>19</v>
      </c>
      <c r="B135" s="5">
        <v>2015</v>
      </c>
      <c r="C135" s="5">
        <v>1</v>
      </c>
      <c r="D135" s="5">
        <v>28</v>
      </c>
      <c r="E135" s="5">
        <v>12</v>
      </c>
      <c r="F135" s="5">
        <v>126436</v>
      </c>
      <c r="G135" s="5" t="s">
        <v>20</v>
      </c>
      <c r="H135" s="5">
        <v>0</v>
      </c>
      <c r="I135" s="5">
        <v>0</v>
      </c>
      <c r="J135" s="5">
        <v>0.42920000000000003</v>
      </c>
      <c r="K135" s="5">
        <v>1.7442</v>
      </c>
      <c r="L135" s="5">
        <v>1.0093000000000001</v>
      </c>
      <c r="M135" s="5">
        <v>0.65059999999999996</v>
      </c>
      <c r="N135" s="5">
        <v>0.25</v>
      </c>
      <c r="O135" s="5">
        <v>0.16669999999999999</v>
      </c>
      <c r="P135" s="5">
        <v>0</v>
      </c>
      <c r="Q135" s="5">
        <v>0</v>
      </c>
      <c r="R135" s="5">
        <v>0</v>
      </c>
      <c r="S135" s="5">
        <v>20160126</v>
      </c>
      <c r="T135">
        <f t="shared" si="4"/>
        <v>4.2499999999999991</v>
      </c>
    </row>
    <row r="136" spans="1:20" x14ac:dyDescent="0.25">
      <c r="A136" s="5" t="s">
        <v>19</v>
      </c>
      <c r="B136" s="5">
        <v>2015</v>
      </c>
      <c r="C136" s="5">
        <v>1</v>
      </c>
      <c r="D136" s="5">
        <v>28</v>
      </c>
      <c r="E136" s="5">
        <v>9</v>
      </c>
      <c r="F136" s="5">
        <v>126436</v>
      </c>
      <c r="G136" s="5" t="s">
        <v>20</v>
      </c>
      <c r="H136" s="5">
        <v>0</v>
      </c>
      <c r="I136" s="5">
        <v>0</v>
      </c>
      <c r="J136" s="5">
        <v>0.1111</v>
      </c>
      <c r="K136" s="5">
        <v>1.8889</v>
      </c>
      <c r="L136" s="5">
        <v>2</v>
      </c>
      <c r="M136" s="5">
        <v>1</v>
      </c>
      <c r="N136" s="5">
        <v>0.33329999999999999</v>
      </c>
      <c r="O136" s="5">
        <v>0</v>
      </c>
      <c r="P136" s="5">
        <v>0</v>
      </c>
      <c r="Q136" s="5">
        <v>0</v>
      </c>
      <c r="R136" s="5">
        <v>0</v>
      </c>
      <c r="S136" s="5">
        <v>20160126</v>
      </c>
      <c r="T136">
        <f t="shared" si="4"/>
        <v>5.3333000000000004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3:I13"/>
  <sheetViews>
    <sheetView workbookViewId="0">
      <selection activeCell="C28" sqref="C28"/>
    </sheetView>
  </sheetViews>
  <sheetFormatPr defaultRowHeight="15" x14ac:dyDescent="0.25"/>
  <cols>
    <col min="1" max="1" width="13.28515625" customWidth="1"/>
    <col min="2" max="2" width="16.28515625" bestFit="1" customWidth="1"/>
    <col min="3" max="7" width="12" customWidth="1"/>
    <col min="8" max="8" width="12" bestFit="1" customWidth="1"/>
  </cols>
  <sheetData>
    <row r="3" spans="1:9" x14ac:dyDescent="0.25">
      <c r="A3" s="1" t="s">
        <v>31</v>
      </c>
      <c r="B3" s="1" t="s">
        <v>21</v>
      </c>
    </row>
    <row r="4" spans="1:9" x14ac:dyDescent="0.25">
      <c r="A4" s="1" t="s">
        <v>23</v>
      </c>
      <c r="B4">
        <v>2011</v>
      </c>
      <c r="C4">
        <v>2012</v>
      </c>
      <c r="D4">
        <v>2013</v>
      </c>
      <c r="E4">
        <v>2014</v>
      </c>
      <c r="F4">
        <v>2015</v>
      </c>
      <c r="I4" t="s">
        <v>32</v>
      </c>
    </row>
    <row r="5" spans="1:9" x14ac:dyDescent="0.25">
      <c r="A5" s="2">
        <v>21</v>
      </c>
      <c r="B5" s="4">
        <v>75.692451000000005</v>
      </c>
      <c r="C5" s="4">
        <v>100.250449</v>
      </c>
      <c r="D5" s="4">
        <v>274.55868100000004</v>
      </c>
      <c r="E5" s="4">
        <v>894.46036800000013</v>
      </c>
      <c r="F5" s="4">
        <v>72.453763999999993</v>
      </c>
      <c r="I5">
        <f>AVERAGE(B5:F5)</f>
        <v>283.48314260000006</v>
      </c>
    </row>
    <row r="6" spans="1:9" x14ac:dyDescent="0.25">
      <c r="A6" s="2">
        <v>22</v>
      </c>
      <c r="B6" s="4">
        <v>348.3550009999999</v>
      </c>
      <c r="C6" s="4">
        <v>63.091753999999995</v>
      </c>
      <c r="D6" s="4">
        <v>190.28484999999998</v>
      </c>
      <c r="E6" s="4">
        <v>52.451382999999993</v>
      </c>
      <c r="F6" s="4">
        <v>137.34117800000001</v>
      </c>
      <c r="I6">
        <f>AVERAGE(B6:F6)</f>
        <v>158.30483319999996</v>
      </c>
    </row>
    <row r="7" spans="1:9" x14ac:dyDescent="0.25">
      <c r="A7" s="2">
        <v>23</v>
      </c>
      <c r="B7" s="4">
        <v>2223.1602399999997</v>
      </c>
      <c r="C7" s="4">
        <v>746.41383299999995</v>
      </c>
      <c r="D7" s="4">
        <v>1142.47759</v>
      </c>
      <c r="E7" s="4">
        <v>934.25639100000001</v>
      </c>
      <c r="F7" s="4">
        <v>2303.1473489999998</v>
      </c>
      <c r="I7">
        <f t="shared" ref="I7:I12" si="0">AVERAGE(B7:F7)</f>
        <v>1469.8910805999999</v>
      </c>
    </row>
    <row r="8" spans="1:9" x14ac:dyDescent="0.25">
      <c r="A8" s="2">
        <v>24</v>
      </c>
      <c r="B8" s="4">
        <v>473.38637899999998</v>
      </c>
      <c r="C8" s="4">
        <v>466.22628700000001</v>
      </c>
      <c r="D8" s="4">
        <v>380.90929499999999</v>
      </c>
      <c r="E8" s="4">
        <v>812.49214800000004</v>
      </c>
      <c r="F8" s="4">
        <v>675.76526800000011</v>
      </c>
      <c r="I8">
        <f t="shared" si="0"/>
        <v>561.75587539999992</v>
      </c>
    </row>
    <row r="9" spans="1:9" x14ac:dyDescent="0.25">
      <c r="A9" s="2">
        <v>25</v>
      </c>
      <c r="B9" s="4">
        <v>1301.1466000000003</v>
      </c>
      <c r="C9" s="4">
        <v>1216.5454369999998</v>
      </c>
      <c r="D9" s="4">
        <v>1772.6504410000002</v>
      </c>
      <c r="E9" s="4">
        <v>1545.9905650000001</v>
      </c>
      <c r="F9" s="4">
        <v>1285.525095</v>
      </c>
      <c r="I9">
        <f t="shared" si="0"/>
        <v>1424.3716276</v>
      </c>
    </row>
    <row r="10" spans="1:9" x14ac:dyDescent="0.25">
      <c r="A10" s="2">
        <v>26</v>
      </c>
      <c r="B10" s="4">
        <v>426.99744400000003</v>
      </c>
      <c r="C10" s="4">
        <v>1200.1585660000001</v>
      </c>
      <c r="D10" s="4">
        <v>713.96665899999971</v>
      </c>
      <c r="E10" s="4">
        <v>344.22130499999997</v>
      </c>
      <c r="F10" s="4">
        <v>337.83198800000008</v>
      </c>
      <c r="I10">
        <f t="shared" si="0"/>
        <v>604.63519239999994</v>
      </c>
    </row>
    <row r="11" spans="1:9" x14ac:dyDescent="0.25">
      <c r="A11" s="2">
        <v>27</v>
      </c>
      <c r="B11" s="4">
        <v>0.64306099999999999</v>
      </c>
      <c r="C11" s="4">
        <v>3.6663069999999993</v>
      </c>
      <c r="D11" s="4">
        <v>192.48063199999999</v>
      </c>
      <c r="E11" s="4">
        <v>269.151208</v>
      </c>
      <c r="F11" s="4">
        <v>0.39423699999999995</v>
      </c>
      <c r="I11">
        <f t="shared" si="0"/>
        <v>93.267088999999984</v>
      </c>
    </row>
    <row r="12" spans="1:9" x14ac:dyDescent="0.25">
      <c r="A12" s="2">
        <v>28</v>
      </c>
      <c r="B12" s="4">
        <v>19.889419</v>
      </c>
      <c r="C12" s="4">
        <v>40.930819</v>
      </c>
      <c r="D12" s="4">
        <v>28.741173000000003</v>
      </c>
      <c r="E12" s="4">
        <v>46.017848999999998</v>
      </c>
      <c r="F12" s="4">
        <v>30.107952999999998</v>
      </c>
      <c r="I12">
        <f t="shared" si="0"/>
        <v>33.1374426</v>
      </c>
    </row>
    <row r="13" spans="1:9" x14ac:dyDescent="0.25">
      <c r="A13" s="2" t="s">
        <v>22</v>
      </c>
      <c r="B13" s="4">
        <v>4869.270594999999</v>
      </c>
      <c r="C13" s="4">
        <v>3837.2834520000001</v>
      </c>
      <c r="D13" s="4">
        <v>4696.0693209999999</v>
      </c>
      <c r="E13" s="4">
        <v>4899.041217</v>
      </c>
      <c r="F13" s="4">
        <v>4842.5668319999995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R41"/>
  <sheetViews>
    <sheetView tabSelected="1" workbookViewId="0">
      <selection activeCell="F16" sqref="F16"/>
    </sheetView>
  </sheetViews>
  <sheetFormatPr defaultRowHeight="15" x14ac:dyDescent="0.25"/>
  <sheetData>
    <row r="1" spans="1:1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t="s">
        <v>30</v>
      </c>
    </row>
    <row r="2" spans="1:18" x14ac:dyDescent="0.25">
      <c r="A2" s="5" t="s">
        <v>19</v>
      </c>
      <c r="B2" s="5">
        <v>2011</v>
      </c>
      <c r="C2" s="5">
        <v>1</v>
      </c>
      <c r="D2" s="5">
        <v>21</v>
      </c>
      <c r="E2" s="5">
        <v>126436</v>
      </c>
      <c r="F2" s="5" t="s">
        <v>20</v>
      </c>
      <c r="G2" s="5">
        <v>0</v>
      </c>
      <c r="H2" s="5">
        <v>46.248519000000002</v>
      </c>
      <c r="I2" s="5">
        <v>15.004462</v>
      </c>
      <c r="J2" s="5">
        <v>14.262676000000001</v>
      </c>
      <c r="K2" s="5">
        <v>0</v>
      </c>
      <c r="L2" s="5">
        <v>0.17679400000000001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>
        <f>SUM(H2:Q2)</f>
        <v>75.692451000000005</v>
      </c>
    </row>
    <row r="3" spans="1:18" x14ac:dyDescent="0.25">
      <c r="A3" s="5" t="s">
        <v>19</v>
      </c>
      <c r="B3" s="5">
        <v>2011</v>
      </c>
      <c r="C3" s="5">
        <v>1</v>
      </c>
      <c r="D3" s="5">
        <v>22</v>
      </c>
      <c r="E3" s="5">
        <v>126436</v>
      </c>
      <c r="F3" s="5" t="s">
        <v>20</v>
      </c>
      <c r="G3" s="5">
        <v>0</v>
      </c>
      <c r="H3" s="5">
        <v>126.052396</v>
      </c>
      <c r="I3" s="5">
        <v>67.866404000000003</v>
      </c>
      <c r="J3" s="5">
        <v>153.210846</v>
      </c>
      <c r="K3" s="5">
        <v>0.491062</v>
      </c>
      <c r="L3" s="5">
        <v>0.45558500000000002</v>
      </c>
      <c r="M3" s="5">
        <v>8.8872000000000007E-2</v>
      </c>
      <c r="N3" s="5">
        <v>0</v>
      </c>
      <c r="O3" s="5">
        <v>0.113885</v>
      </c>
      <c r="P3" s="5">
        <v>0</v>
      </c>
      <c r="Q3" s="5">
        <v>7.5951000000000005E-2</v>
      </c>
      <c r="R3">
        <f t="shared" ref="R3:R40" si="0">SUM(H3:Q3)</f>
        <v>348.3550009999999</v>
      </c>
    </row>
    <row r="4" spans="1:18" x14ac:dyDescent="0.25">
      <c r="A4" s="5" t="s">
        <v>19</v>
      </c>
      <c r="B4" s="5">
        <v>2011</v>
      </c>
      <c r="C4" s="5">
        <v>1</v>
      </c>
      <c r="D4" s="5">
        <v>23</v>
      </c>
      <c r="E4" s="5">
        <v>126436</v>
      </c>
      <c r="F4" s="5" t="s">
        <v>20</v>
      </c>
      <c r="G4" s="5">
        <v>0</v>
      </c>
      <c r="H4" s="5">
        <v>69.036013999999994</v>
      </c>
      <c r="I4" s="5">
        <v>154.77909399999999</v>
      </c>
      <c r="J4" s="5">
        <v>1988.0576189999999</v>
      </c>
      <c r="K4" s="5">
        <v>2.4022250000000001</v>
      </c>
      <c r="L4" s="5">
        <v>7.3355399999999999</v>
      </c>
      <c r="M4" s="5">
        <v>1.5497479999999999</v>
      </c>
      <c r="N4" s="5">
        <v>0</v>
      </c>
      <c r="O4" s="5">
        <v>0</v>
      </c>
      <c r="P4" s="5">
        <v>0</v>
      </c>
      <c r="Q4" s="5">
        <v>0</v>
      </c>
      <c r="R4">
        <f t="shared" si="0"/>
        <v>2223.1602399999997</v>
      </c>
    </row>
    <row r="5" spans="1:18" x14ac:dyDescent="0.25">
      <c r="A5" s="5" t="s">
        <v>19</v>
      </c>
      <c r="B5" s="5">
        <v>2011</v>
      </c>
      <c r="C5" s="5">
        <v>1</v>
      </c>
      <c r="D5" s="5">
        <v>24</v>
      </c>
      <c r="E5" s="5">
        <v>126436</v>
      </c>
      <c r="F5" s="5" t="s">
        <v>20</v>
      </c>
      <c r="G5" s="5">
        <v>0</v>
      </c>
      <c r="H5" s="5">
        <v>28.799157999999998</v>
      </c>
      <c r="I5" s="5">
        <v>298.34101600000002</v>
      </c>
      <c r="J5" s="5">
        <v>124.458573</v>
      </c>
      <c r="K5" s="5">
        <v>16.443429999999999</v>
      </c>
      <c r="L5" s="5">
        <v>3.8448020000000001</v>
      </c>
      <c r="M5" s="5">
        <v>1.2420929999999999</v>
      </c>
      <c r="N5" s="5">
        <v>0.123788</v>
      </c>
      <c r="O5" s="5">
        <v>6.8584000000000006E-2</v>
      </c>
      <c r="P5" s="5">
        <v>4.2917999999999998E-2</v>
      </c>
      <c r="Q5" s="5">
        <v>2.2016999999999998E-2</v>
      </c>
      <c r="R5">
        <f t="shared" si="0"/>
        <v>473.38637899999998</v>
      </c>
    </row>
    <row r="6" spans="1:18" x14ac:dyDescent="0.25">
      <c r="A6" s="5" t="s">
        <v>19</v>
      </c>
      <c r="B6" s="5">
        <v>2011</v>
      </c>
      <c r="C6" s="5">
        <v>1</v>
      </c>
      <c r="D6" s="5">
        <v>25</v>
      </c>
      <c r="E6" s="5">
        <v>126436</v>
      </c>
      <c r="F6" s="5" t="s">
        <v>20</v>
      </c>
      <c r="G6" s="5">
        <v>0</v>
      </c>
      <c r="H6" s="5">
        <v>17.535827999999999</v>
      </c>
      <c r="I6" s="5">
        <v>328.58613500000001</v>
      </c>
      <c r="J6" s="5">
        <v>622.01079800000002</v>
      </c>
      <c r="K6" s="5">
        <v>215.736861</v>
      </c>
      <c r="L6" s="5">
        <v>91.795578000000006</v>
      </c>
      <c r="M6" s="5">
        <v>18.221744999999999</v>
      </c>
      <c r="N6" s="5">
        <v>5.2441300000000002</v>
      </c>
      <c r="O6" s="5">
        <v>1.6949430000000001</v>
      </c>
      <c r="P6" s="5">
        <v>0.23354</v>
      </c>
      <c r="Q6" s="5">
        <v>8.7041999999999994E-2</v>
      </c>
      <c r="R6">
        <f t="shared" si="0"/>
        <v>1301.1466000000003</v>
      </c>
    </row>
    <row r="7" spans="1:18" x14ac:dyDescent="0.25">
      <c r="A7" s="5" t="s">
        <v>19</v>
      </c>
      <c r="B7" s="5">
        <v>2011</v>
      </c>
      <c r="C7" s="5">
        <v>1</v>
      </c>
      <c r="D7" s="5">
        <v>26</v>
      </c>
      <c r="E7" s="5">
        <v>126436</v>
      </c>
      <c r="F7" s="5" t="s">
        <v>20</v>
      </c>
      <c r="G7" s="5">
        <v>0</v>
      </c>
      <c r="H7" s="5">
        <v>8.4983509999999995</v>
      </c>
      <c r="I7" s="5">
        <v>77.209016000000005</v>
      </c>
      <c r="J7" s="5">
        <v>178.78090700000001</v>
      </c>
      <c r="K7" s="5">
        <v>107.62416399999999</v>
      </c>
      <c r="L7" s="5">
        <v>34.307004999999997</v>
      </c>
      <c r="M7" s="5">
        <v>13.380720999999999</v>
      </c>
      <c r="N7" s="5">
        <v>3.5043299999999999</v>
      </c>
      <c r="O7" s="5">
        <v>2.0939320000000001</v>
      </c>
      <c r="P7" s="5">
        <v>0.92789699999999997</v>
      </c>
      <c r="Q7" s="5">
        <v>0.67112099999999997</v>
      </c>
      <c r="R7">
        <f t="shared" si="0"/>
        <v>426.99744400000003</v>
      </c>
    </row>
    <row r="8" spans="1:18" x14ac:dyDescent="0.25">
      <c r="A8" s="5" t="s">
        <v>19</v>
      </c>
      <c r="B8" s="5">
        <v>2011</v>
      </c>
      <c r="C8" s="5">
        <v>1</v>
      </c>
      <c r="D8" s="5">
        <v>27</v>
      </c>
      <c r="E8" s="5">
        <v>126436</v>
      </c>
      <c r="F8" s="5" t="s">
        <v>20</v>
      </c>
      <c r="G8" s="5">
        <v>0</v>
      </c>
      <c r="H8" s="5">
        <v>0</v>
      </c>
      <c r="I8" s="5">
        <v>0.41391699999999998</v>
      </c>
      <c r="J8" s="5">
        <v>0.22914399999999999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>
        <f t="shared" si="0"/>
        <v>0.64306099999999999</v>
      </c>
    </row>
    <row r="9" spans="1:18" x14ac:dyDescent="0.25">
      <c r="A9" s="5" t="s">
        <v>19</v>
      </c>
      <c r="B9" s="5">
        <v>2011</v>
      </c>
      <c r="C9" s="5">
        <v>1</v>
      </c>
      <c r="D9" s="5">
        <v>28</v>
      </c>
      <c r="E9" s="5">
        <v>126436</v>
      </c>
      <c r="F9" s="5" t="s">
        <v>20</v>
      </c>
      <c r="G9" s="5">
        <v>0</v>
      </c>
      <c r="H9" s="5">
        <v>0.79714700000000005</v>
      </c>
      <c r="I9" s="5">
        <v>7.3973839999999997</v>
      </c>
      <c r="J9" s="5">
        <v>5.7325970000000002</v>
      </c>
      <c r="K9" s="5">
        <v>4.0620960000000004</v>
      </c>
      <c r="L9" s="5">
        <v>1.8362879999999999</v>
      </c>
      <c r="M9" s="5">
        <v>6.3907000000000005E-2</v>
      </c>
      <c r="N9" s="5">
        <v>0</v>
      </c>
      <c r="O9" s="5">
        <v>0</v>
      </c>
      <c r="P9" s="5">
        <v>0</v>
      </c>
      <c r="Q9" s="5">
        <v>0</v>
      </c>
      <c r="R9">
        <f t="shared" si="0"/>
        <v>19.889419</v>
      </c>
    </row>
    <row r="10" spans="1:18" x14ac:dyDescent="0.25">
      <c r="A10" s="5" t="s">
        <v>19</v>
      </c>
      <c r="B10" s="5">
        <v>2012</v>
      </c>
      <c r="C10" s="5">
        <v>1</v>
      </c>
      <c r="D10" s="5">
        <v>21</v>
      </c>
      <c r="E10" s="5">
        <v>126436</v>
      </c>
      <c r="F10" s="5" t="s">
        <v>20</v>
      </c>
      <c r="G10" s="5">
        <v>0</v>
      </c>
      <c r="H10" s="5">
        <v>86.615476999999998</v>
      </c>
      <c r="I10" s="5">
        <v>10.825404000000001</v>
      </c>
      <c r="J10" s="5">
        <v>1.8444590000000001</v>
      </c>
      <c r="K10" s="5">
        <v>0.96510899999999999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>
        <f t="shared" si="0"/>
        <v>100.250449</v>
      </c>
    </row>
    <row r="11" spans="1:18" x14ac:dyDescent="0.25">
      <c r="A11" s="5" t="s">
        <v>19</v>
      </c>
      <c r="B11" s="5">
        <v>2012</v>
      </c>
      <c r="C11" s="5">
        <v>1</v>
      </c>
      <c r="D11" s="5">
        <v>22</v>
      </c>
      <c r="E11" s="5">
        <v>126436</v>
      </c>
      <c r="F11" s="5" t="s">
        <v>20</v>
      </c>
      <c r="G11" s="5">
        <v>0</v>
      </c>
      <c r="H11" s="5">
        <v>8.3358740000000004</v>
      </c>
      <c r="I11" s="5">
        <v>16.556038999999998</v>
      </c>
      <c r="J11" s="5">
        <v>19.682127000000001</v>
      </c>
      <c r="K11" s="5">
        <v>18.271186</v>
      </c>
      <c r="L11" s="5">
        <v>0.123264</v>
      </c>
      <c r="M11" s="5">
        <v>0.123264</v>
      </c>
      <c r="N11" s="5">
        <v>0</v>
      </c>
      <c r="O11" s="5">
        <v>0</v>
      </c>
      <c r="P11" s="5">
        <v>0</v>
      </c>
      <c r="Q11" s="5">
        <v>0</v>
      </c>
      <c r="R11">
        <f t="shared" si="0"/>
        <v>63.091753999999995</v>
      </c>
    </row>
    <row r="12" spans="1:18" x14ac:dyDescent="0.25">
      <c r="A12" s="5" t="s">
        <v>19</v>
      </c>
      <c r="B12" s="5">
        <v>2012</v>
      </c>
      <c r="C12" s="5">
        <v>1</v>
      </c>
      <c r="D12" s="5">
        <v>23</v>
      </c>
      <c r="E12" s="5">
        <v>126436</v>
      </c>
      <c r="F12" s="5" t="s">
        <v>20</v>
      </c>
      <c r="G12" s="5">
        <v>0</v>
      </c>
      <c r="H12" s="5">
        <v>59.336261999999998</v>
      </c>
      <c r="I12" s="5">
        <v>256.05875400000002</v>
      </c>
      <c r="J12" s="5">
        <v>296.59710899999999</v>
      </c>
      <c r="K12" s="5">
        <v>134.421708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>
        <f t="shared" si="0"/>
        <v>746.41383299999995</v>
      </c>
    </row>
    <row r="13" spans="1:18" x14ac:dyDescent="0.25">
      <c r="A13" s="5" t="s">
        <v>19</v>
      </c>
      <c r="B13" s="5">
        <v>2012</v>
      </c>
      <c r="C13" s="5">
        <v>1</v>
      </c>
      <c r="D13" s="5">
        <v>24</v>
      </c>
      <c r="E13" s="5">
        <v>126436</v>
      </c>
      <c r="F13" s="5" t="s">
        <v>20</v>
      </c>
      <c r="G13" s="5">
        <v>0</v>
      </c>
      <c r="H13" s="5">
        <v>51.169426000000001</v>
      </c>
      <c r="I13" s="5">
        <v>172.37077500000001</v>
      </c>
      <c r="J13" s="5">
        <v>169.805815</v>
      </c>
      <c r="K13" s="5">
        <v>61.559522000000001</v>
      </c>
      <c r="L13" s="5">
        <v>9.7275840000000002</v>
      </c>
      <c r="M13" s="5">
        <v>1.410717</v>
      </c>
      <c r="N13" s="5">
        <v>9.4742000000000007E-2</v>
      </c>
      <c r="O13" s="5">
        <v>8.7706000000000006E-2</v>
      </c>
      <c r="P13" s="5">
        <v>0</v>
      </c>
      <c r="Q13" s="5">
        <v>0</v>
      </c>
      <c r="R13">
        <f t="shared" si="0"/>
        <v>466.22628700000001</v>
      </c>
    </row>
    <row r="14" spans="1:18" x14ac:dyDescent="0.25">
      <c r="A14" s="5" t="s">
        <v>19</v>
      </c>
      <c r="B14" s="5">
        <v>2012</v>
      </c>
      <c r="C14" s="5">
        <v>1</v>
      </c>
      <c r="D14" s="5">
        <v>25</v>
      </c>
      <c r="E14" s="5">
        <v>126436</v>
      </c>
      <c r="F14" s="5" t="s">
        <v>20</v>
      </c>
      <c r="G14" s="5">
        <v>0</v>
      </c>
      <c r="H14" s="5">
        <v>9.8281869999999998</v>
      </c>
      <c r="I14" s="5">
        <v>180.18356199999999</v>
      </c>
      <c r="J14" s="5">
        <v>550.91759000000002</v>
      </c>
      <c r="K14" s="5">
        <v>339.35777899999999</v>
      </c>
      <c r="L14" s="5">
        <v>111.853672</v>
      </c>
      <c r="M14" s="5">
        <v>21.031679</v>
      </c>
      <c r="N14" s="5">
        <v>2.767455</v>
      </c>
      <c r="O14" s="5">
        <v>0.351823</v>
      </c>
      <c r="P14" s="5">
        <v>0.23461799999999999</v>
      </c>
      <c r="Q14" s="5">
        <v>1.9071999999999999E-2</v>
      </c>
      <c r="R14">
        <f t="shared" si="0"/>
        <v>1216.5454369999998</v>
      </c>
    </row>
    <row r="15" spans="1:18" x14ac:dyDescent="0.25">
      <c r="A15" s="5" t="s">
        <v>19</v>
      </c>
      <c r="B15" s="5">
        <v>2012</v>
      </c>
      <c r="C15" s="5">
        <v>1</v>
      </c>
      <c r="D15" s="5">
        <v>26</v>
      </c>
      <c r="E15" s="5">
        <v>126436</v>
      </c>
      <c r="F15" s="5" t="s">
        <v>20</v>
      </c>
      <c r="G15" s="5">
        <v>0</v>
      </c>
      <c r="H15" s="5">
        <v>4.232227</v>
      </c>
      <c r="I15" s="5">
        <v>298.232955</v>
      </c>
      <c r="J15" s="5">
        <v>584.77607899999998</v>
      </c>
      <c r="K15" s="5">
        <v>254.48167599999999</v>
      </c>
      <c r="L15" s="5">
        <v>47.708607000000001</v>
      </c>
      <c r="M15" s="5">
        <v>7.5984040000000004</v>
      </c>
      <c r="N15" s="5">
        <v>2.8248229999999999</v>
      </c>
      <c r="O15" s="5">
        <v>0.27845399999999998</v>
      </c>
      <c r="P15" s="5">
        <v>2.5340999999999999E-2</v>
      </c>
      <c r="Q15" s="5">
        <v>0</v>
      </c>
      <c r="R15">
        <f t="shared" si="0"/>
        <v>1200.1585660000001</v>
      </c>
    </row>
    <row r="16" spans="1:18" x14ac:dyDescent="0.25">
      <c r="A16" s="5" t="s">
        <v>19</v>
      </c>
      <c r="B16" s="5">
        <v>2012</v>
      </c>
      <c r="C16" s="5">
        <v>1</v>
      </c>
      <c r="D16" s="5">
        <v>27</v>
      </c>
      <c r="E16" s="5">
        <v>126436</v>
      </c>
      <c r="F16" s="5" t="s">
        <v>20</v>
      </c>
      <c r="G16" s="5">
        <v>0</v>
      </c>
      <c r="H16" s="5">
        <v>1.527628</v>
      </c>
      <c r="I16" s="5">
        <v>1.2221029999999999</v>
      </c>
      <c r="J16" s="5">
        <v>0.81473499999999999</v>
      </c>
      <c r="K16" s="5">
        <v>0.101841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>
        <f t="shared" si="0"/>
        <v>3.6663069999999993</v>
      </c>
    </row>
    <row r="17" spans="1:18" x14ac:dyDescent="0.25">
      <c r="A17" s="5" t="s">
        <v>19</v>
      </c>
      <c r="B17" s="5">
        <v>2012</v>
      </c>
      <c r="C17" s="5">
        <v>1</v>
      </c>
      <c r="D17" s="5">
        <v>28</v>
      </c>
      <c r="E17" s="5">
        <v>126436</v>
      </c>
      <c r="F17" s="5" t="s">
        <v>20</v>
      </c>
      <c r="G17" s="5">
        <v>0</v>
      </c>
      <c r="H17" s="5">
        <v>7.641311</v>
      </c>
      <c r="I17" s="5">
        <v>14.77514</v>
      </c>
      <c r="J17" s="5">
        <v>13.064956</v>
      </c>
      <c r="K17" s="5">
        <v>4.1407809999999996</v>
      </c>
      <c r="L17" s="5">
        <v>1.105515</v>
      </c>
      <c r="M17" s="5">
        <v>0.150252</v>
      </c>
      <c r="N17" s="5">
        <v>5.2864000000000001E-2</v>
      </c>
      <c r="O17" s="5">
        <v>0</v>
      </c>
      <c r="P17" s="5">
        <v>0</v>
      </c>
      <c r="Q17" s="5">
        <v>0</v>
      </c>
      <c r="R17">
        <f t="shared" si="0"/>
        <v>40.930819</v>
      </c>
    </row>
    <row r="18" spans="1:18" x14ac:dyDescent="0.25">
      <c r="A18" s="5" t="s">
        <v>19</v>
      </c>
      <c r="B18" s="5">
        <v>2013</v>
      </c>
      <c r="C18" s="5">
        <v>1</v>
      </c>
      <c r="D18" s="5">
        <v>21</v>
      </c>
      <c r="E18" s="5">
        <v>126436</v>
      </c>
      <c r="F18" s="5" t="s">
        <v>20</v>
      </c>
      <c r="G18" s="5">
        <v>0</v>
      </c>
      <c r="H18" s="5">
        <v>212.34369000000001</v>
      </c>
      <c r="I18" s="5">
        <v>51.341883000000003</v>
      </c>
      <c r="J18" s="5">
        <v>10.257821</v>
      </c>
      <c r="K18" s="5">
        <v>0.21215300000000001</v>
      </c>
      <c r="L18" s="5">
        <v>0.40313399999999999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>
        <f t="shared" si="0"/>
        <v>274.55868100000004</v>
      </c>
    </row>
    <row r="19" spans="1:18" x14ac:dyDescent="0.25">
      <c r="A19" s="5" t="s">
        <v>19</v>
      </c>
      <c r="B19" s="5">
        <v>2013</v>
      </c>
      <c r="C19" s="5">
        <v>1</v>
      </c>
      <c r="D19" s="5">
        <v>22</v>
      </c>
      <c r="E19" s="5">
        <v>126436</v>
      </c>
      <c r="F19" s="5" t="s">
        <v>20</v>
      </c>
      <c r="G19" s="5">
        <v>0</v>
      </c>
      <c r="H19" s="5">
        <v>135.281544</v>
      </c>
      <c r="I19" s="5">
        <v>28.109036</v>
      </c>
      <c r="J19" s="5">
        <v>22.308721999999999</v>
      </c>
      <c r="K19" s="5">
        <v>2.3455409999999999</v>
      </c>
      <c r="L19" s="5">
        <v>1.9163969999999999</v>
      </c>
      <c r="M19" s="5">
        <v>0.32361000000000001</v>
      </c>
      <c r="N19" s="5">
        <v>0</v>
      </c>
      <c r="O19" s="5">
        <v>0</v>
      </c>
      <c r="P19" s="5">
        <v>0</v>
      </c>
      <c r="Q19" s="5">
        <v>0</v>
      </c>
      <c r="R19">
        <f t="shared" si="0"/>
        <v>190.28484999999998</v>
      </c>
    </row>
    <row r="20" spans="1:18" x14ac:dyDescent="0.25">
      <c r="A20" s="5" t="s">
        <v>19</v>
      </c>
      <c r="B20" s="5">
        <v>2013</v>
      </c>
      <c r="C20" s="5">
        <v>1</v>
      </c>
      <c r="D20" s="5">
        <v>23</v>
      </c>
      <c r="E20" s="5">
        <v>126436</v>
      </c>
      <c r="F20" s="5" t="s">
        <v>20</v>
      </c>
      <c r="G20" s="5">
        <v>0</v>
      </c>
      <c r="H20" s="5">
        <v>134.970055</v>
      </c>
      <c r="I20" s="5">
        <v>347.378984</v>
      </c>
      <c r="J20" s="5">
        <v>545.62719200000004</v>
      </c>
      <c r="K20" s="5">
        <v>76.136311000000006</v>
      </c>
      <c r="L20" s="5">
        <v>38.365048000000002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>
        <f t="shared" si="0"/>
        <v>1142.47759</v>
      </c>
    </row>
    <row r="21" spans="1:18" x14ac:dyDescent="0.25">
      <c r="A21" s="5" t="s">
        <v>19</v>
      </c>
      <c r="B21" s="5">
        <v>2013</v>
      </c>
      <c r="C21" s="5">
        <v>1</v>
      </c>
      <c r="D21" s="5">
        <v>24</v>
      </c>
      <c r="E21" s="5">
        <v>126436</v>
      </c>
      <c r="F21" s="5" t="s">
        <v>20</v>
      </c>
      <c r="G21" s="5">
        <v>0</v>
      </c>
      <c r="H21" s="5">
        <v>231.134727</v>
      </c>
      <c r="I21" s="5">
        <v>109.87045500000001</v>
      </c>
      <c r="J21" s="5">
        <v>24.339393999999999</v>
      </c>
      <c r="K21" s="5">
        <v>13.885695</v>
      </c>
      <c r="L21" s="5">
        <v>1.4480189999999999</v>
      </c>
      <c r="M21" s="5">
        <v>0.152166</v>
      </c>
      <c r="N21" s="5">
        <v>0</v>
      </c>
      <c r="O21" s="5">
        <v>7.8839000000000006E-2</v>
      </c>
      <c r="P21" s="5">
        <v>0</v>
      </c>
      <c r="Q21" s="5">
        <v>0</v>
      </c>
      <c r="R21">
        <f t="shared" si="0"/>
        <v>380.90929499999999</v>
      </c>
    </row>
    <row r="22" spans="1:18" x14ac:dyDescent="0.25">
      <c r="A22" s="5" t="s">
        <v>19</v>
      </c>
      <c r="B22" s="5">
        <v>2013</v>
      </c>
      <c r="C22" s="5">
        <v>1</v>
      </c>
      <c r="D22" s="5">
        <v>25</v>
      </c>
      <c r="E22" s="5">
        <v>126436</v>
      </c>
      <c r="F22" s="5" t="s">
        <v>20</v>
      </c>
      <c r="G22" s="5">
        <v>0</v>
      </c>
      <c r="H22" s="5">
        <v>20.746915999999999</v>
      </c>
      <c r="I22" s="5">
        <v>895.04405299999996</v>
      </c>
      <c r="J22" s="5">
        <v>579.48066700000004</v>
      </c>
      <c r="K22" s="5">
        <v>200.642402</v>
      </c>
      <c r="L22" s="5">
        <v>49.857346</v>
      </c>
      <c r="M22" s="5">
        <v>22.517208</v>
      </c>
      <c r="N22" s="5">
        <v>3.7591700000000001</v>
      </c>
      <c r="O22" s="5">
        <v>0.49054700000000001</v>
      </c>
      <c r="P22" s="5">
        <v>4.8543000000000003E-2</v>
      </c>
      <c r="Q22" s="5">
        <v>6.3589000000000007E-2</v>
      </c>
      <c r="R22">
        <f t="shared" si="0"/>
        <v>1772.6504410000002</v>
      </c>
    </row>
    <row r="23" spans="1:18" x14ac:dyDescent="0.25">
      <c r="A23" s="5" t="s">
        <v>19</v>
      </c>
      <c r="B23" s="5">
        <v>2013</v>
      </c>
      <c r="C23" s="5">
        <v>1</v>
      </c>
      <c r="D23" s="5">
        <v>26</v>
      </c>
      <c r="E23" s="5">
        <v>126436</v>
      </c>
      <c r="F23" s="5" t="s">
        <v>20</v>
      </c>
      <c r="G23" s="5">
        <v>0</v>
      </c>
      <c r="H23" s="5">
        <v>19.224246999999998</v>
      </c>
      <c r="I23" s="5">
        <v>285.78695699999997</v>
      </c>
      <c r="J23" s="5">
        <v>270.24374699999998</v>
      </c>
      <c r="K23" s="5">
        <v>87.621499</v>
      </c>
      <c r="L23" s="5">
        <v>34.909782999999997</v>
      </c>
      <c r="M23" s="5">
        <v>11.817031</v>
      </c>
      <c r="N23" s="5">
        <v>2.637035</v>
      </c>
      <c r="O23" s="5">
        <v>1.3694269999999999</v>
      </c>
      <c r="P23" s="5">
        <v>0.115562</v>
      </c>
      <c r="Q23" s="5">
        <v>0.241371</v>
      </c>
      <c r="R23">
        <f t="shared" si="0"/>
        <v>713.96665899999971</v>
      </c>
    </row>
    <row r="24" spans="1:18" x14ac:dyDescent="0.25">
      <c r="A24" s="5" t="s">
        <v>19</v>
      </c>
      <c r="B24" s="5">
        <v>2013</v>
      </c>
      <c r="C24" s="5">
        <v>1</v>
      </c>
      <c r="D24" s="5">
        <v>27</v>
      </c>
      <c r="E24" s="5">
        <v>126436</v>
      </c>
      <c r="F24" s="5" t="s">
        <v>20</v>
      </c>
      <c r="G24" s="5">
        <v>0</v>
      </c>
      <c r="H24" s="5">
        <v>0.91657699999999998</v>
      </c>
      <c r="I24" s="5">
        <v>159.55208400000001</v>
      </c>
      <c r="J24" s="5">
        <v>30.385719999999999</v>
      </c>
      <c r="K24" s="5">
        <v>0.95392200000000005</v>
      </c>
      <c r="L24" s="5">
        <v>0.54502700000000004</v>
      </c>
      <c r="M24" s="5">
        <v>0.127302</v>
      </c>
      <c r="N24" s="5">
        <v>0</v>
      </c>
      <c r="O24" s="5">
        <v>0</v>
      </c>
      <c r="P24" s="5">
        <v>0</v>
      </c>
      <c r="Q24" s="5">
        <v>0</v>
      </c>
      <c r="R24">
        <f t="shared" si="0"/>
        <v>192.48063199999999</v>
      </c>
    </row>
    <row r="25" spans="1:18" x14ac:dyDescent="0.25">
      <c r="A25" s="5" t="s">
        <v>19</v>
      </c>
      <c r="B25" s="5">
        <v>2013</v>
      </c>
      <c r="C25" s="5">
        <v>1</v>
      </c>
      <c r="D25" s="5">
        <v>28</v>
      </c>
      <c r="E25" s="5">
        <v>126436</v>
      </c>
      <c r="F25" s="5" t="s">
        <v>20</v>
      </c>
      <c r="G25" s="5">
        <v>0</v>
      </c>
      <c r="H25" s="5">
        <v>1.8755170000000001</v>
      </c>
      <c r="I25" s="5">
        <v>14.929432</v>
      </c>
      <c r="J25" s="5">
        <v>7.5974870000000001</v>
      </c>
      <c r="K25" s="5">
        <v>3.0741999999999998</v>
      </c>
      <c r="L25" s="5">
        <v>1.0083040000000001</v>
      </c>
      <c r="M25" s="5">
        <v>0.25623299999999999</v>
      </c>
      <c r="N25" s="5">
        <v>0</v>
      </c>
      <c r="O25" s="5">
        <v>0</v>
      </c>
      <c r="P25" s="5">
        <v>0</v>
      </c>
      <c r="Q25" s="5">
        <v>0</v>
      </c>
      <c r="R25">
        <f t="shared" si="0"/>
        <v>28.741173000000003</v>
      </c>
    </row>
    <row r="26" spans="1:18" x14ac:dyDescent="0.25">
      <c r="A26" s="5" t="s">
        <v>19</v>
      </c>
      <c r="B26" s="5">
        <v>2014</v>
      </c>
      <c r="C26" s="5">
        <v>1</v>
      </c>
      <c r="D26" s="5">
        <v>21</v>
      </c>
      <c r="E26" s="5">
        <v>126436</v>
      </c>
      <c r="F26" s="5" t="s">
        <v>20</v>
      </c>
      <c r="G26" s="5">
        <v>0</v>
      </c>
      <c r="H26" s="5">
        <v>98.780392000000006</v>
      </c>
      <c r="I26" s="5">
        <v>781.879234</v>
      </c>
      <c r="J26" s="5">
        <v>12.409109000000001</v>
      </c>
      <c r="K26" s="5">
        <v>1.050443</v>
      </c>
      <c r="L26" s="5">
        <v>0</v>
      </c>
      <c r="M26" s="5">
        <v>0.170595</v>
      </c>
      <c r="N26" s="5">
        <v>0</v>
      </c>
      <c r="O26" s="5">
        <v>0</v>
      </c>
      <c r="P26" s="5">
        <v>0</v>
      </c>
      <c r="Q26" s="5">
        <v>0.170595</v>
      </c>
      <c r="R26">
        <f t="shared" si="0"/>
        <v>894.46036800000013</v>
      </c>
    </row>
    <row r="27" spans="1:18" x14ac:dyDescent="0.25">
      <c r="A27" s="5" t="s">
        <v>19</v>
      </c>
      <c r="B27" s="5">
        <v>2014</v>
      </c>
      <c r="C27" s="5">
        <v>1</v>
      </c>
      <c r="D27" s="5">
        <v>22</v>
      </c>
      <c r="E27" s="5">
        <v>126436</v>
      </c>
      <c r="F27" s="5" t="s">
        <v>20</v>
      </c>
      <c r="G27" s="5">
        <v>0</v>
      </c>
      <c r="H27" s="5">
        <v>22.21471</v>
      </c>
      <c r="I27" s="5">
        <v>23.333029</v>
      </c>
      <c r="J27" s="5">
        <v>4.2557929999999997</v>
      </c>
      <c r="K27" s="5">
        <v>1.7224090000000001</v>
      </c>
      <c r="L27" s="5">
        <v>0.25829999999999997</v>
      </c>
      <c r="M27" s="5">
        <v>0.48658699999999999</v>
      </c>
      <c r="N27" s="5">
        <v>0</v>
      </c>
      <c r="O27" s="5">
        <v>0.18055499999999999</v>
      </c>
      <c r="P27" s="5">
        <v>0</v>
      </c>
      <c r="Q27" s="5">
        <v>0</v>
      </c>
      <c r="R27">
        <f t="shared" si="0"/>
        <v>52.451382999999993</v>
      </c>
    </row>
    <row r="28" spans="1:18" x14ac:dyDescent="0.25">
      <c r="A28" s="5" t="s">
        <v>19</v>
      </c>
      <c r="B28" s="5">
        <v>2014</v>
      </c>
      <c r="C28" s="5">
        <v>1</v>
      </c>
      <c r="D28" s="5">
        <v>23</v>
      </c>
      <c r="E28" s="5">
        <v>126436</v>
      </c>
      <c r="F28" s="5" t="s">
        <v>20</v>
      </c>
      <c r="G28" s="5">
        <v>0</v>
      </c>
      <c r="H28" s="5">
        <v>30.234311000000002</v>
      </c>
      <c r="I28" s="5">
        <v>815.46015299999999</v>
      </c>
      <c r="J28" s="5">
        <v>86.861003999999994</v>
      </c>
      <c r="K28" s="5">
        <v>1.700923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>
        <f t="shared" si="0"/>
        <v>934.25639100000001</v>
      </c>
    </row>
    <row r="29" spans="1:18" x14ac:dyDescent="0.25">
      <c r="A29" s="5" t="s">
        <v>19</v>
      </c>
      <c r="B29" s="5">
        <v>2014</v>
      </c>
      <c r="C29" s="5">
        <v>1</v>
      </c>
      <c r="D29" s="5">
        <v>24</v>
      </c>
      <c r="E29" s="5">
        <v>126436</v>
      </c>
      <c r="F29" s="5" t="s">
        <v>20</v>
      </c>
      <c r="G29" s="5">
        <v>0</v>
      </c>
      <c r="H29" s="5">
        <v>412.74733700000002</v>
      </c>
      <c r="I29" s="5">
        <v>356.42755299999999</v>
      </c>
      <c r="J29" s="5">
        <v>27.661987</v>
      </c>
      <c r="K29" s="5">
        <v>13.550439000000001</v>
      </c>
      <c r="L29" s="5">
        <v>1.5451900000000001</v>
      </c>
      <c r="M29" s="5">
        <v>0.47951199999999999</v>
      </c>
      <c r="N29" s="5">
        <v>8.0130000000000007E-2</v>
      </c>
      <c r="O29" s="5">
        <v>0</v>
      </c>
      <c r="P29" s="5">
        <v>0</v>
      </c>
      <c r="Q29" s="5">
        <v>0</v>
      </c>
      <c r="R29">
        <f t="shared" si="0"/>
        <v>812.49214800000004</v>
      </c>
    </row>
    <row r="30" spans="1:18" x14ac:dyDescent="0.25">
      <c r="A30" s="5" t="s">
        <v>19</v>
      </c>
      <c r="B30" s="5">
        <v>2014</v>
      </c>
      <c r="C30" s="5">
        <v>1</v>
      </c>
      <c r="D30" s="5">
        <v>25</v>
      </c>
      <c r="E30" s="5">
        <v>126436</v>
      </c>
      <c r="F30" s="5" t="s">
        <v>20</v>
      </c>
      <c r="G30" s="5">
        <v>0</v>
      </c>
      <c r="H30" s="5">
        <v>31.178778000000001</v>
      </c>
      <c r="I30" s="5">
        <v>394.37139000000002</v>
      </c>
      <c r="J30" s="5">
        <v>415.58927199999999</v>
      </c>
      <c r="K30" s="5">
        <v>429.76055200000002</v>
      </c>
      <c r="L30" s="5">
        <v>207.94400200000001</v>
      </c>
      <c r="M30" s="5">
        <v>51.700843999999996</v>
      </c>
      <c r="N30" s="5">
        <v>11.054693</v>
      </c>
      <c r="O30" s="5">
        <v>3.2840929999999999</v>
      </c>
      <c r="P30" s="5">
        <v>0.952098</v>
      </c>
      <c r="Q30" s="5">
        <v>0.15484300000000001</v>
      </c>
      <c r="R30">
        <f t="shared" si="0"/>
        <v>1545.9905650000001</v>
      </c>
    </row>
    <row r="31" spans="1:18" x14ac:dyDescent="0.25">
      <c r="A31" s="5" t="s">
        <v>19</v>
      </c>
      <c r="B31" s="5">
        <v>2014</v>
      </c>
      <c r="C31" s="5">
        <v>1</v>
      </c>
      <c r="D31" s="5">
        <v>26</v>
      </c>
      <c r="E31" s="5">
        <v>126436</v>
      </c>
      <c r="F31" s="5" t="s">
        <v>20</v>
      </c>
      <c r="G31" s="5">
        <v>0</v>
      </c>
      <c r="H31" s="5">
        <v>13.556735</v>
      </c>
      <c r="I31" s="5">
        <v>95.908064999999993</v>
      </c>
      <c r="J31" s="5">
        <v>143.892056</v>
      </c>
      <c r="K31" s="5">
        <v>70.368305000000007</v>
      </c>
      <c r="L31" s="5">
        <v>18.201446000000001</v>
      </c>
      <c r="M31" s="5">
        <v>2.2946979999999999</v>
      </c>
      <c r="N31" s="5">
        <v>0</v>
      </c>
      <c r="O31" s="5">
        <v>0</v>
      </c>
      <c r="P31" s="5">
        <v>0</v>
      </c>
      <c r="Q31" s="5">
        <v>0</v>
      </c>
      <c r="R31">
        <f t="shared" si="0"/>
        <v>344.22130499999997</v>
      </c>
    </row>
    <row r="32" spans="1:18" x14ac:dyDescent="0.25">
      <c r="A32" s="5" t="s">
        <v>19</v>
      </c>
      <c r="B32" s="5">
        <v>2014</v>
      </c>
      <c r="C32" s="5">
        <v>1</v>
      </c>
      <c r="D32" s="5">
        <v>27</v>
      </c>
      <c r="E32" s="5">
        <v>126436</v>
      </c>
      <c r="F32" s="5" t="s">
        <v>20</v>
      </c>
      <c r="G32" s="5">
        <v>0</v>
      </c>
      <c r="H32" s="5">
        <v>0.19218199999999999</v>
      </c>
      <c r="I32" s="5">
        <v>171.577102</v>
      </c>
      <c r="J32" s="5">
        <v>93.307660999999996</v>
      </c>
      <c r="K32" s="5">
        <v>3.4592800000000001</v>
      </c>
      <c r="L32" s="5">
        <v>0.61498299999999995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>
        <f t="shared" si="0"/>
        <v>269.151208</v>
      </c>
    </row>
    <row r="33" spans="1:18" x14ac:dyDescent="0.25">
      <c r="A33" s="5" t="s">
        <v>19</v>
      </c>
      <c r="B33" s="5">
        <v>2014</v>
      </c>
      <c r="C33" s="5">
        <v>1</v>
      </c>
      <c r="D33" s="5">
        <v>28</v>
      </c>
      <c r="E33" s="5">
        <v>126436</v>
      </c>
      <c r="F33" s="5" t="s">
        <v>20</v>
      </c>
      <c r="G33" s="5">
        <v>0</v>
      </c>
      <c r="H33" s="5">
        <v>0.7571</v>
      </c>
      <c r="I33" s="5">
        <v>24.156476000000001</v>
      </c>
      <c r="J33" s="5">
        <v>12.201542</v>
      </c>
      <c r="K33" s="5">
        <v>6.6353099999999996</v>
      </c>
      <c r="L33" s="5">
        <v>1.751463</v>
      </c>
      <c r="M33" s="5">
        <v>0.42532799999999998</v>
      </c>
      <c r="N33" s="5">
        <v>9.0630000000000002E-2</v>
      </c>
      <c r="O33" s="5">
        <v>0</v>
      </c>
      <c r="P33" s="5">
        <v>0</v>
      </c>
      <c r="Q33" s="5">
        <v>0</v>
      </c>
      <c r="R33">
        <f t="shared" si="0"/>
        <v>46.017848999999998</v>
      </c>
    </row>
    <row r="34" spans="1:18" x14ac:dyDescent="0.25">
      <c r="A34" s="5" t="s">
        <v>19</v>
      </c>
      <c r="B34" s="5">
        <v>2015</v>
      </c>
      <c r="C34" s="5">
        <v>1</v>
      </c>
      <c r="D34" s="5">
        <v>21</v>
      </c>
      <c r="E34" s="5">
        <v>126436</v>
      </c>
      <c r="F34" s="5" t="s">
        <v>20</v>
      </c>
      <c r="G34" s="5">
        <v>0</v>
      </c>
      <c r="H34" s="5">
        <v>37.347575999999997</v>
      </c>
      <c r="I34" s="5">
        <v>17.530505999999999</v>
      </c>
      <c r="J34" s="5">
        <v>15.175807000000001</v>
      </c>
      <c r="K34" s="5">
        <v>1.92414</v>
      </c>
      <c r="L34" s="5">
        <v>0.201567</v>
      </c>
      <c r="M34" s="5">
        <v>0</v>
      </c>
      <c r="N34" s="5">
        <v>0</v>
      </c>
      <c r="O34" s="5">
        <v>0</v>
      </c>
      <c r="P34" s="5">
        <v>0</v>
      </c>
      <c r="Q34" s="5">
        <v>0.27416800000000002</v>
      </c>
      <c r="R34">
        <f t="shared" si="0"/>
        <v>72.453763999999993</v>
      </c>
    </row>
    <row r="35" spans="1:18" x14ac:dyDescent="0.25">
      <c r="A35" s="5" t="s">
        <v>19</v>
      </c>
      <c r="B35" s="5">
        <v>2015</v>
      </c>
      <c r="C35" s="5">
        <v>1</v>
      </c>
      <c r="D35" s="5">
        <v>22</v>
      </c>
      <c r="E35" s="5">
        <v>126436</v>
      </c>
      <c r="F35" s="5" t="s">
        <v>20</v>
      </c>
      <c r="G35" s="5">
        <v>0</v>
      </c>
      <c r="H35" s="5">
        <v>28.318469</v>
      </c>
      <c r="I35" s="5">
        <v>74.566832000000005</v>
      </c>
      <c r="J35" s="5">
        <v>29.997644999999999</v>
      </c>
      <c r="K35" s="5">
        <v>2.7659950000000002</v>
      </c>
      <c r="L35" s="5">
        <v>1.563286</v>
      </c>
      <c r="M35" s="5">
        <v>0.12895100000000001</v>
      </c>
      <c r="N35" s="5">
        <v>0</v>
      </c>
      <c r="O35" s="5">
        <v>0</v>
      </c>
      <c r="P35" s="5">
        <v>0</v>
      </c>
      <c r="Q35" s="5">
        <v>0</v>
      </c>
      <c r="R35">
        <f t="shared" si="0"/>
        <v>137.34117800000001</v>
      </c>
    </row>
    <row r="36" spans="1:18" x14ac:dyDescent="0.25">
      <c r="A36" s="5" t="s">
        <v>19</v>
      </c>
      <c r="B36" s="5">
        <v>2015</v>
      </c>
      <c r="C36" s="5">
        <v>1</v>
      </c>
      <c r="D36" s="5">
        <v>23</v>
      </c>
      <c r="E36" s="5">
        <v>126436</v>
      </c>
      <c r="F36" s="5" t="s">
        <v>20</v>
      </c>
      <c r="G36" s="5">
        <v>0</v>
      </c>
      <c r="H36" s="5">
        <v>391.08784700000001</v>
      </c>
      <c r="I36" s="5">
        <v>1263.0838900000001</v>
      </c>
      <c r="J36" s="5">
        <v>629.85547799999995</v>
      </c>
      <c r="K36" s="5">
        <v>18.156337000000001</v>
      </c>
      <c r="L36" s="5">
        <v>0.96379700000000001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>
        <f t="shared" si="0"/>
        <v>2303.1473489999998</v>
      </c>
    </row>
    <row r="37" spans="1:18" x14ac:dyDescent="0.25">
      <c r="A37" s="5" t="s">
        <v>19</v>
      </c>
      <c r="B37" s="5">
        <v>2015</v>
      </c>
      <c r="C37" s="5">
        <v>1</v>
      </c>
      <c r="D37" s="5">
        <v>24</v>
      </c>
      <c r="E37" s="5">
        <v>126436</v>
      </c>
      <c r="F37" s="5" t="s">
        <v>20</v>
      </c>
      <c r="G37" s="5">
        <v>0</v>
      </c>
      <c r="H37" s="5">
        <v>64.801320000000004</v>
      </c>
      <c r="I37" s="5">
        <v>441.683244</v>
      </c>
      <c r="J37" s="5">
        <v>155.68709799999999</v>
      </c>
      <c r="K37" s="5">
        <v>12.634931999999999</v>
      </c>
      <c r="L37" s="5">
        <v>0.17150099999999999</v>
      </c>
      <c r="M37" s="5">
        <v>0.303927</v>
      </c>
      <c r="N37" s="5">
        <v>0.18796099999999999</v>
      </c>
      <c r="O37" s="5">
        <v>0.29528500000000002</v>
      </c>
      <c r="P37" s="5">
        <v>0</v>
      </c>
      <c r="Q37" s="5">
        <v>0</v>
      </c>
      <c r="R37">
        <f t="shared" si="0"/>
        <v>675.76526800000011</v>
      </c>
    </row>
    <row r="38" spans="1:18" x14ac:dyDescent="0.25">
      <c r="A38" s="5" t="s">
        <v>19</v>
      </c>
      <c r="B38" s="5">
        <v>2015</v>
      </c>
      <c r="C38" s="5">
        <v>1</v>
      </c>
      <c r="D38" s="5">
        <v>25</v>
      </c>
      <c r="E38" s="5">
        <v>126436</v>
      </c>
      <c r="F38" s="5" t="s">
        <v>20</v>
      </c>
      <c r="G38" s="5">
        <v>0</v>
      </c>
      <c r="H38" s="5">
        <v>3.9971939999999999</v>
      </c>
      <c r="I38" s="5">
        <v>247.14561699999999</v>
      </c>
      <c r="J38" s="5">
        <v>772.86657300000002</v>
      </c>
      <c r="K38" s="5">
        <v>231.77393499999999</v>
      </c>
      <c r="L38" s="5">
        <v>24.985970999999999</v>
      </c>
      <c r="M38" s="5">
        <v>4.3876850000000003</v>
      </c>
      <c r="N38" s="5">
        <v>0.32579399999999997</v>
      </c>
      <c r="O38" s="5">
        <v>0</v>
      </c>
      <c r="P38" s="5">
        <v>4.2326000000000003E-2</v>
      </c>
      <c r="Q38" s="5">
        <v>0</v>
      </c>
      <c r="R38">
        <f t="shared" si="0"/>
        <v>1285.525095</v>
      </c>
    </row>
    <row r="39" spans="1:18" x14ac:dyDescent="0.25">
      <c r="A39" s="5" t="s">
        <v>19</v>
      </c>
      <c r="B39" s="5">
        <v>2015</v>
      </c>
      <c r="C39" s="5">
        <v>1</v>
      </c>
      <c r="D39" s="5">
        <v>26</v>
      </c>
      <c r="E39" s="5">
        <v>126436</v>
      </c>
      <c r="F39" s="5" t="s">
        <v>20</v>
      </c>
      <c r="G39" s="5">
        <v>0</v>
      </c>
      <c r="H39" s="5">
        <v>3.689886</v>
      </c>
      <c r="I39" s="5">
        <v>47.628844000000001</v>
      </c>
      <c r="J39" s="5">
        <v>154.58889099999999</v>
      </c>
      <c r="K39" s="5">
        <v>89.191742000000005</v>
      </c>
      <c r="L39" s="5">
        <v>34.927163</v>
      </c>
      <c r="M39" s="5">
        <v>5.9185420000000004</v>
      </c>
      <c r="N39" s="5">
        <v>1.647518</v>
      </c>
      <c r="O39" s="5">
        <v>0.18668399999999999</v>
      </c>
      <c r="P39" s="5">
        <v>5.2718000000000001E-2</v>
      </c>
      <c r="Q39" s="5">
        <v>0</v>
      </c>
      <c r="R39">
        <f t="shared" si="0"/>
        <v>337.83198800000008</v>
      </c>
    </row>
    <row r="40" spans="1:18" x14ac:dyDescent="0.25">
      <c r="A40" s="5" t="s">
        <v>19</v>
      </c>
      <c r="B40" s="5">
        <v>2015</v>
      </c>
      <c r="C40" s="5">
        <v>1</v>
      </c>
      <c r="D40" s="5">
        <v>27</v>
      </c>
      <c r="E40" s="5">
        <v>126436</v>
      </c>
      <c r="F40" s="5" t="s">
        <v>20</v>
      </c>
      <c r="G40" s="5">
        <v>0</v>
      </c>
      <c r="H40" s="5">
        <v>0</v>
      </c>
      <c r="I40" s="5">
        <v>0.21026</v>
      </c>
      <c r="J40" s="5">
        <v>5.2565000000000001E-2</v>
      </c>
      <c r="K40" s="5">
        <v>0</v>
      </c>
      <c r="L40" s="5">
        <v>0.131412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>
        <f t="shared" si="0"/>
        <v>0.39423699999999995</v>
      </c>
    </row>
    <row r="41" spans="1:18" x14ac:dyDescent="0.25">
      <c r="A41" s="5" t="s">
        <v>19</v>
      </c>
      <c r="B41" s="5">
        <v>2015</v>
      </c>
      <c r="C41" s="5">
        <v>1</v>
      </c>
      <c r="D41" s="5">
        <v>28</v>
      </c>
      <c r="E41" s="5">
        <v>126436</v>
      </c>
      <c r="F41" s="5" t="s">
        <v>20</v>
      </c>
      <c r="G41" s="5">
        <v>0</v>
      </c>
      <c r="H41" s="5">
        <v>0.60511700000000002</v>
      </c>
      <c r="I41" s="5">
        <v>7.9299689999999998</v>
      </c>
      <c r="J41" s="5">
        <v>13.412625999999999</v>
      </c>
      <c r="K41" s="5">
        <v>5.9976070000000004</v>
      </c>
      <c r="L41" s="5">
        <v>1.626455</v>
      </c>
      <c r="M41" s="5">
        <v>0.36263099999999998</v>
      </c>
      <c r="N41" s="5">
        <v>0.17354800000000001</v>
      </c>
      <c r="O41" s="5">
        <v>0</v>
      </c>
      <c r="P41" s="5">
        <v>0</v>
      </c>
      <c r="Q41" s="5">
        <v>0</v>
      </c>
      <c r="R41">
        <f>SUM(H41:Q41)</f>
        <v>30.107952999999998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Mean CPUE per age per subarea</vt:lpstr>
      <vt:lpstr>DATRAS CPUE per age per subarea</vt:lpstr>
      <vt:lpstr>Mean CPUE per age per area</vt:lpstr>
      <vt:lpstr>DATRAS CPUE per age per 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dcterms:created xsi:type="dcterms:W3CDTF">2017-03-02T19:30:48Z</dcterms:created>
  <dcterms:modified xsi:type="dcterms:W3CDTF">2018-04-17T08:02:12Z</dcterms:modified>
</cp:coreProperties>
</file>