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2755" windowHeight="9750"/>
  </bookViews>
  <sheets>
    <sheet name="NHaulPlanned4q 2017" sheetId="1" r:id="rId1"/>
  </sheets>
  <calcPr calcId="0"/>
  <pivotCaches>
    <pivotCache cacheId="4" r:id="rId2"/>
  </pivotCaches>
</workbook>
</file>

<file path=xl/calcChain.xml><?xml version="1.0" encoding="utf-8"?>
<calcChain xmlns="http://schemas.openxmlformats.org/spreadsheetml/2006/main">
  <c r="AG19" i="1" l="1"/>
  <c r="AG20" i="1"/>
  <c r="AG21" i="1"/>
  <c r="AA6" i="1"/>
  <c r="AA7" i="1"/>
  <c r="AA10" i="1" s="1"/>
  <c r="AA8" i="1"/>
  <c r="AA9" i="1"/>
  <c r="AA5" i="1"/>
  <c r="AF21" i="1"/>
  <c r="AF19" i="1"/>
  <c r="AF20" i="1"/>
  <c r="Z12" i="1"/>
  <c r="V12" i="1"/>
  <c r="V10" i="1"/>
  <c r="W10" i="1"/>
  <c r="X10" i="1"/>
  <c r="Y10" i="1"/>
  <c r="Z10" i="1"/>
  <c r="U10" i="1"/>
  <c r="G32" i="1"/>
</calcChain>
</file>

<file path=xl/sharedStrings.xml><?xml version="1.0" encoding="utf-8"?>
<sst xmlns="http://schemas.openxmlformats.org/spreadsheetml/2006/main" count="91" uniqueCount="43">
  <si>
    <t>AreaSection</t>
  </si>
  <si>
    <t>SD</t>
  </si>
  <si>
    <t>Quarter</t>
  </si>
  <si>
    <t>DepthInterval</t>
  </si>
  <si>
    <t>Layer</t>
  </si>
  <si>
    <t>NHauls</t>
  </si>
  <si>
    <t xml:space="preserve"> 10 - 39</t>
  </si>
  <si>
    <t xml:space="preserve"> 40 - 59</t>
  </si>
  <si>
    <t xml:space="preserve"> 60 - 79</t>
  </si>
  <si>
    <t xml:space="preserve"> 80 - 99</t>
  </si>
  <si>
    <t>100 - 119</t>
  </si>
  <si>
    <t xml:space="preserve"> 20 - 39</t>
  </si>
  <si>
    <t>Row Labels</t>
  </si>
  <si>
    <t>Grand Total</t>
  </si>
  <si>
    <t>Sum of NHauls</t>
  </si>
  <si>
    <t>Column Labels</t>
  </si>
  <si>
    <t>COUNTRY</t>
  </si>
  <si>
    <t>VESSEL</t>
  </si>
  <si>
    <t>NUMBER OF PLANNED STATIONS IN AUTUMN 2017</t>
  </si>
  <si>
    <t>NUMBER OF PLANNED STATIONS IN SPRING 2018</t>
  </si>
  <si>
    <t>Germany</t>
  </si>
  <si>
    <t>Solea</t>
  </si>
  <si>
    <t>Denmark</t>
  </si>
  <si>
    <t>Havfisken</t>
  </si>
  <si>
    <t>Poland</t>
  </si>
  <si>
    <t>Baltica</t>
  </si>
  <si>
    <t>Total 22 + 24</t>
  </si>
  <si>
    <t>Dana</t>
  </si>
  <si>
    <t>Estonia</t>
  </si>
  <si>
    <t>commercial vessel</t>
  </si>
  <si>
    <t>0 </t>
  </si>
  <si>
    <t>Finland</t>
  </si>
  <si>
    <t> Aranda</t>
  </si>
  <si>
    <t>Latvia</t>
  </si>
  <si>
    <t>Lithuania</t>
  </si>
  <si>
    <t>Darius</t>
  </si>
  <si>
    <t>Russia</t>
  </si>
  <si>
    <t>Atlantniro/Atlantida</t>
  </si>
  <si>
    <t>Sweden</t>
  </si>
  <si>
    <t>Total 25 - 28</t>
  </si>
  <si>
    <t>Total 22, 24 - 28</t>
  </si>
  <si>
    <t>Adjusted in order to fit into the commetted 22-24/25-32 reatio.</t>
  </si>
  <si>
    <t>Should be included in the R-program.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</si>
</sst>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Palatino Linotype"/>
      <family val="1"/>
    </font>
    <font>
      <sz val="9"/>
      <color rgb="FF000000"/>
      <name val="Palatino Linotype"/>
      <family val="1"/>
    </font>
    <font>
      <b/>
      <sz val="9"/>
      <color theme="1"/>
      <name val="Palatino Linotype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12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right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right" vertical="center"/>
    </xf>
    <xf numFmtId="0" fontId="20" fillId="0" borderId="18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2859.328429050925" createdVersion="4" refreshedVersion="4" minRefreshableVersion="3" recordCount="30">
  <cacheSource type="worksheet">
    <worksheetSource ref="B1:G31" sheet="NHaulPlanned4q 2017"/>
  </cacheSource>
  <cacheFields count="6">
    <cacheField name="AreaSection" numFmtId="0">
      <sharedItems containsSemiMixedTypes="0" containsString="0" containsNumber="1" containsInteger="1" minValue="2224" maxValue="2528"/>
    </cacheField>
    <cacheField name="SD" numFmtId="0">
      <sharedItems containsSemiMixedTypes="0" containsString="0" containsNumber="1" containsInteger="1" minValue="22" maxValue="28" count="6">
        <n v="22"/>
        <n v="24"/>
        <n v="25"/>
        <n v="26"/>
        <n v="27"/>
        <n v="28"/>
      </sharedItems>
    </cacheField>
    <cacheField name="Quarter" numFmtId="0">
      <sharedItems containsSemiMixedTypes="0" containsString="0" containsNumber="1" containsInteger="1" minValue="4" maxValue="4" count="1">
        <n v="4"/>
      </sharedItems>
    </cacheField>
    <cacheField name="DepthInterval" numFmtId="0">
      <sharedItems count="6">
        <s v=" 10 - 39"/>
        <s v=" 40 - 59"/>
        <s v=" 60 - 79"/>
        <s v=" 80 - 99"/>
        <s v="100 - 119"/>
        <s v=" 20 - 39"/>
      </sharedItems>
    </cacheField>
    <cacheField name="Layer" numFmtId="0">
      <sharedItems containsSemiMixedTypes="0" containsString="0" containsNumber="1" containsInteger="1" minValue="2" maxValue="6"/>
    </cacheField>
    <cacheField name="NHauls" numFmtId="0">
      <sharedItems containsSemiMixedTypes="0" containsString="0" containsNumber="1" containsInteger="1" minValue="0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n v="2224"/>
    <x v="0"/>
    <x v="0"/>
    <x v="0"/>
    <n v="2"/>
    <n v="29"/>
  </r>
  <r>
    <n v="2224"/>
    <x v="0"/>
    <x v="0"/>
    <x v="1"/>
    <n v="3"/>
    <n v="5"/>
  </r>
  <r>
    <n v="2224"/>
    <x v="0"/>
    <x v="0"/>
    <x v="2"/>
    <n v="4"/>
    <n v="0"/>
  </r>
  <r>
    <n v="2224"/>
    <x v="0"/>
    <x v="0"/>
    <x v="3"/>
    <n v="5"/>
    <n v="0"/>
  </r>
  <r>
    <n v="2224"/>
    <x v="0"/>
    <x v="0"/>
    <x v="4"/>
    <n v="6"/>
    <n v="0"/>
  </r>
  <r>
    <n v="2224"/>
    <x v="1"/>
    <x v="0"/>
    <x v="0"/>
    <n v="2"/>
    <n v="22"/>
  </r>
  <r>
    <n v="2224"/>
    <x v="1"/>
    <x v="0"/>
    <x v="1"/>
    <n v="3"/>
    <n v="11"/>
  </r>
  <r>
    <n v="2224"/>
    <x v="1"/>
    <x v="0"/>
    <x v="2"/>
    <n v="4"/>
    <n v="16"/>
  </r>
  <r>
    <n v="2224"/>
    <x v="1"/>
    <x v="0"/>
    <x v="3"/>
    <n v="5"/>
    <n v="0"/>
  </r>
  <r>
    <n v="2224"/>
    <x v="1"/>
    <x v="0"/>
    <x v="4"/>
    <n v="6"/>
    <n v="0"/>
  </r>
  <r>
    <n v="2528"/>
    <x v="2"/>
    <x v="0"/>
    <x v="5"/>
    <n v="2"/>
    <n v="22"/>
  </r>
  <r>
    <n v="2528"/>
    <x v="2"/>
    <x v="0"/>
    <x v="1"/>
    <n v="3"/>
    <n v="28"/>
  </r>
  <r>
    <n v="2528"/>
    <x v="2"/>
    <x v="0"/>
    <x v="2"/>
    <n v="4"/>
    <n v="24"/>
  </r>
  <r>
    <n v="2528"/>
    <x v="2"/>
    <x v="0"/>
    <x v="3"/>
    <n v="5"/>
    <n v="14"/>
  </r>
  <r>
    <n v="2528"/>
    <x v="2"/>
    <x v="0"/>
    <x v="4"/>
    <n v="6"/>
    <n v="0"/>
  </r>
  <r>
    <n v="2528"/>
    <x v="3"/>
    <x v="0"/>
    <x v="5"/>
    <n v="2"/>
    <n v="8"/>
  </r>
  <r>
    <n v="2528"/>
    <x v="3"/>
    <x v="0"/>
    <x v="1"/>
    <n v="3"/>
    <n v="9"/>
  </r>
  <r>
    <n v="2528"/>
    <x v="3"/>
    <x v="0"/>
    <x v="2"/>
    <n v="4"/>
    <n v="12"/>
  </r>
  <r>
    <n v="2528"/>
    <x v="3"/>
    <x v="0"/>
    <x v="3"/>
    <n v="5"/>
    <n v="14"/>
  </r>
  <r>
    <n v="2528"/>
    <x v="3"/>
    <x v="0"/>
    <x v="4"/>
    <n v="6"/>
    <n v="8"/>
  </r>
  <r>
    <n v="2528"/>
    <x v="4"/>
    <x v="0"/>
    <x v="0"/>
    <n v="2"/>
    <n v="0"/>
  </r>
  <r>
    <n v="2528"/>
    <x v="4"/>
    <x v="0"/>
    <x v="1"/>
    <n v="3"/>
    <n v="2"/>
  </r>
  <r>
    <n v="2528"/>
    <x v="4"/>
    <x v="0"/>
    <x v="2"/>
    <n v="4"/>
    <n v="4"/>
  </r>
  <r>
    <n v="2528"/>
    <x v="4"/>
    <x v="0"/>
    <x v="3"/>
    <n v="5"/>
    <n v="4"/>
  </r>
  <r>
    <n v="2528"/>
    <x v="4"/>
    <x v="0"/>
    <x v="4"/>
    <n v="6"/>
    <n v="0"/>
  </r>
  <r>
    <n v="2528"/>
    <x v="5"/>
    <x v="0"/>
    <x v="0"/>
    <n v="2"/>
    <n v="7"/>
  </r>
  <r>
    <n v="2528"/>
    <x v="5"/>
    <x v="0"/>
    <x v="1"/>
    <n v="3"/>
    <n v="7"/>
  </r>
  <r>
    <n v="2528"/>
    <x v="5"/>
    <x v="0"/>
    <x v="2"/>
    <n v="4"/>
    <n v="9"/>
  </r>
  <r>
    <n v="2528"/>
    <x v="5"/>
    <x v="0"/>
    <x v="3"/>
    <n v="5"/>
    <n v="5"/>
  </r>
  <r>
    <n v="2528"/>
    <x v="5"/>
    <x v="0"/>
    <x v="4"/>
    <n v="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3:R11" firstHeaderRow="1" firstDataRow="2" firstDataCol="1" rowPageCount="1" colPageCount="1"/>
  <pivotFields count="6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2">
        <item x="0"/>
        <item t="default"/>
      </items>
    </pivotField>
    <pivotField axis="axisRow" showAll="0">
      <items count="7">
        <item x="0"/>
        <item x="5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item="0" hier="-1"/>
  </pageFields>
  <dataFields count="1">
    <dataField name="Sum of NHaul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topLeftCell="J1" workbookViewId="0">
      <selection activeCell="AF19" sqref="AF19:AG21"/>
    </sheetView>
  </sheetViews>
  <sheetFormatPr defaultRowHeight="15" x14ac:dyDescent="0.25"/>
  <cols>
    <col min="11" max="11" width="14" customWidth="1"/>
    <col min="12" max="12" width="16.28515625" customWidth="1"/>
    <col min="13" max="17" width="3" customWidth="1"/>
    <col min="18" max="18" width="11.28515625" bestFit="1" customWidth="1"/>
  </cols>
  <sheetData>
    <row r="1" spans="1:3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K1" s="1" t="s">
        <v>2</v>
      </c>
      <c r="L1" s="2">
        <v>4</v>
      </c>
    </row>
    <row r="2" spans="1:33" x14ac:dyDescent="0.25">
      <c r="A2">
        <v>1</v>
      </c>
      <c r="B2">
        <v>2224</v>
      </c>
      <c r="C2">
        <v>22</v>
      </c>
      <c r="D2">
        <v>4</v>
      </c>
      <c r="E2" t="s">
        <v>6</v>
      </c>
      <c r="F2">
        <v>2</v>
      </c>
      <c r="G2">
        <v>29</v>
      </c>
    </row>
    <row r="3" spans="1:33" x14ac:dyDescent="0.25">
      <c r="A3">
        <v>2</v>
      </c>
      <c r="B3">
        <v>2224</v>
      </c>
      <c r="C3">
        <v>22</v>
      </c>
      <c r="D3">
        <v>4</v>
      </c>
      <c r="E3" t="s">
        <v>7</v>
      </c>
      <c r="F3">
        <v>3</v>
      </c>
      <c r="G3">
        <v>5</v>
      </c>
      <c r="K3" s="1" t="s">
        <v>14</v>
      </c>
      <c r="L3" s="1" t="s">
        <v>15</v>
      </c>
      <c r="T3" t="s">
        <v>14</v>
      </c>
      <c r="U3" t="s">
        <v>15</v>
      </c>
    </row>
    <row r="4" spans="1:33" ht="100.5" thickBot="1" x14ac:dyDescent="0.3">
      <c r="A4">
        <v>3</v>
      </c>
      <c r="B4">
        <v>2224</v>
      </c>
      <c r="C4">
        <v>22</v>
      </c>
      <c r="D4">
        <v>4</v>
      </c>
      <c r="E4" t="s">
        <v>8</v>
      </c>
      <c r="F4">
        <v>4</v>
      </c>
      <c r="G4">
        <v>0</v>
      </c>
      <c r="K4" s="1" t="s">
        <v>12</v>
      </c>
      <c r="L4">
        <v>22</v>
      </c>
      <c r="M4">
        <v>24</v>
      </c>
      <c r="N4">
        <v>25</v>
      </c>
      <c r="O4">
        <v>26</v>
      </c>
      <c r="P4">
        <v>27</v>
      </c>
      <c r="Q4">
        <v>28</v>
      </c>
      <c r="R4" t="s">
        <v>13</v>
      </c>
      <c r="T4" t="s">
        <v>12</v>
      </c>
      <c r="U4">
        <v>22</v>
      </c>
      <c r="V4">
        <v>24</v>
      </c>
      <c r="W4">
        <v>25</v>
      </c>
      <c r="X4">
        <v>26</v>
      </c>
      <c r="Y4">
        <v>27</v>
      </c>
      <c r="Z4">
        <v>28</v>
      </c>
      <c r="AA4" t="s">
        <v>13</v>
      </c>
      <c r="AD4" s="7" t="s">
        <v>16</v>
      </c>
      <c r="AE4" s="8" t="s">
        <v>17</v>
      </c>
      <c r="AF4" s="9" t="s">
        <v>18</v>
      </c>
      <c r="AG4" s="10" t="s">
        <v>19</v>
      </c>
    </row>
    <row r="5" spans="1:33" ht="15.75" thickBot="1" x14ac:dyDescent="0.3">
      <c r="A5">
        <v>4</v>
      </c>
      <c r="B5">
        <v>2224</v>
      </c>
      <c r="C5">
        <v>22</v>
      </c>
      <c r="D5">
        <v>4</v>
      </c>
      <c r="E5" t="s">
        <v>9</v>
      </c>
      <c r="F5">
        <v>5</v>
      </c>
      <c r="G5">
        <v>0</v>
      </c>
      <c r="K5" s="2" t="s">
        <v>6</v>
      </c>
      <c r="L5" s="3">
        <v>29</v>
      </c>
      <c r="M5" s="3">
        <v>22</v>
      </c>
      <c r="N5" s="3"/>
      <c r="O5" s="3"/>
      <c r="P5" s="3">
        <v>0</v>
      </c>
      <c r="Q5" s="3">
        <v>7</v>
      </c>
      <c r="R5" s="3">
        <v>58</v>
      </c>
      <c r="T5" t="s">
        <v>6</v>
      </c>
      <c r="U5">
        <v>29</v>
      </c>
      <c r="V5">
        <v>24</v>
      </c>
      <c r="W5">
        <v>22</v>
      </c>
      <c r="X5">
        <v>8</v>
      </c>
      <c r="Y5">
        <v>0</v>
      </c>
      <c r="Z5">
        <v>7</v>
      </c>
      <c r="AA5">
        <f>SUM(U5:Z5)</f>
        <v>90</v>
      </c>
      <c r="AD5" s="11" t="s">
        <v>20</v>
      </c>
      <c r="AE5" s="4" t="s">
        <v>21</v>
      </c>
      <c r="AF5" s="5">
        <v>57</v>
      </c>
      <c r="AG5" s="12">
        <v>60</v>
      </c>
    </row>
    <row r="6" spans="1:33" ht="15.75" thickBot="1" x14ac:dyDescent="0.3">
      <c r="A6">
        <v>5</v>
      </c>
      <c r="B6">
        <v>2224</v>
      </c>
      <c r="C6">
        <v>22</v>
      </c>
      <c r="D6">
        <v>4</v>
      </c>
      <c r="E6" t="s">
        <v>10</v>
      </c>
      <c r="F6">
        <v>6</v>
      </c>
      <c r="G6">
        <v>0</v>
      </c>
      <c r="K6" s="2" t="s">
        <v>11</v>
      </c>
      <c r="L6" s="3"/>
      <c r="M6" s="3"/>
      <c r="N6" s="3">
        <v>22</v>
      </c>
      <c r="O6" s="3">
        <v>8</v>
      </c>
      <c r="P6" s="3"/>
      <c r="Q6" s="3"/>
      <c r="R6" s="3">
        <v>30</v>
      </c>
      <c r="T6" t="s">
        <v>7</v>
      </c>
      <c r="U6">
        <v>5</v>
      </c>
      <c r="V6">
        <v>13</v>
      </c>
      <c r="W6">
        <v>24</v>
      </c>
      <c r="X6">
        <v>9</v>
      </c>
      <c r="Y6">
        <v>2</v>
      </c>
      <c r="Z6">
        <v>7</v>
      </c>
      <c r="AA6">
        <f t="shared" ref="AA6:AA9" si="0">SUM(U6:Z6)</f>
        <v>60</v>
      </c>
      <c r="AD6" s="11" t="s">
        <v>22</v>
      </c>
      <c r="AE6" s="4" t="s">
        <v>23</v>
      </c>
      <c r="AF6" s="5">
        <v>27</v>
      </c>
      <c r="AG6" s="12">
        <v>27</v>
      </c>
    </row>
    <row r="7" spans="1:33" ht="15.75" thickBot="1" x14ac:dyDescent="0.3">
      <c r="A7">
        <v>6</v>
      </c>
      <c r="B7">
        <v>2224</v>
      </c>
      <c r="C7">
        <v>24</v>
      </c>
      <c r="D7">
        <v>4</v>
      </c>
      <c r="E7" t="s">
        <v>6</v>
      </c>
      <c r="F7">
        <v>2</v>
      </c>
      <c r="G7">
        <v>22</v>
      </c>
      <c r="K7" s="2" t="s">
        <v>7</v>
      </c>
      <c r="L7" s="3">
        <v>5</v>
      </c>
      <c r="M7" s="3">
        <v>11</v>
      </c>
      <c r="N7" s="3">
        <v>28</v>
      </c>
      <c r="O7" s="3">
        <v>9</v>
      </c>
      <c r="P7" s="3">
        <v>2</v>
      </c>
      <c r="Q7" s="3">
        <v>7</v>
      </c>
      <c r="R7" s="3">
        <v>62</v>
      </c>
      <c r="T7" t="s">
        <v>8</v>
      </c>
      <c r="U7">
        <v>0</v>
      </c>
      <c r="V7">
        <v>16</v>
      </c>
      <c r="W7">
        <v>24</v>
      </c>
      <c r="X7">
        <v>12</v>
      </c>
      <c r="Y7">
        <v>4</v>
      </c>
      <c r="Z7">
        <v>9</v>
      </c>
      <c r="AA7">
        <f t="shared" si="0"/>
        <v>65</v>
      </c>
      <c r="AD7" s="11" t="s">
        <v>24</v>
      </c>
      <c r="AE7" s="4" t="s">
        <v>25</v>
      </c>
      <c r="AF7" s="5">
        <v>3</v>
      </c>
      <c r="AG7" s="12">
        <v>7</v>
      </c>
    </row>
    <row r="8" spans="1:33" ht="15.75" thickBot="1" x14ac:dyDescent="0.3">
      <c r="A8">
        <v>7</v>
      </c>
      <c r="B8">
        <v>2224</v>
      </c>
      <c r="C8">
        <v>24</v>
      </c>
      <c r="D8">
        <v>4</v>
      </c>
      <c r="E8" t="s">
        <v>7</v>
      </c>
      <c r="F8">
        <v>3</v>
      </c>
      <c r="G8">
        <v>11</v>
      </c>
      <c r="K8" s="2" t="s">
        <v>8</v>
      </c>
      <c r="L8" s="3">
        <v>0</v>
      </c>
      <c r="M8" s="3">
        <v>16</v>
      </c>
      <c r="N8" s="3">
        <v>24</v>
      </c>
      <c r="O8" s="3">
        <v>12</v>
      </c>
      <c r="P8" s="3">
        <v>4</v>
      </c>
      <c r="Q8" s="3">
        <v>9</v>
      </c>
      <c r="R8" s="3">
        <v>65</v>
      </c>
      <c r="T8" t="s">
        <v>9</v>
      </c>
      <c r="U8">
        <v>0</v>
      </c>
      <c r="V8">
        <v>0</v>
      </c>
      <c r="W8">
        <v>14</v>
      </c>
      <c r="X8">
        <v>14</v>
      </c>
      <c r="Y8">
        <v>4</v>
      </c>
      <c r="Z8">
        <v>5</v>
      </c>
      <c r="AA8">
        <f t="shared" si="0"/>
        <v>37</v>
      </c>
      <c r="AD8" s="11"/>
      <c r="AE8" s="6" t="s">
        <v>26</v>
      </c>
      <c r="AF8" s="5">
        <v>87</v>
      </c>
      <c r="AG8" s="12">
        <v>94</v>
      </c>
    </row>
    <row r="9" spans="1:33" ht="15.75" thickBot="1" x14ac:dyDescent="0.3">
      <c r="A9">
        <v>8</v>
      </c>
      <c r="B9">
        <v>2224</v>
      </c>
      <c r="C9">
        <v>24</v>
      </c>
      <c r="D9">
        <v>4</v>
      </c>
      <c r="E9" t="s">
        <v>8</v>
      </c>
      <c r="F9">
        <v>4</v>
      </c>
      <c r="G9">
        <v>16</v>
      </c>
      <c r="K9" s="2" t="s">
        <v>9</v>
      </c>
      <c r="L9" s="3">
        <v>0</v>
      </c>
      <c r="M9" s="3">
        <v>0</v>
      </c>
      <c r="N9" s="3">
        <v>14</v>
      </c>
      <c r="O9" s="3">
        <v>14</v>
      </c>
      <c r="P9" s="3">
        <v>4</v>
      </c>
      <c r="Q9" s="3">
        <v>5</v>
      </c>
      <c r="R9" s="3">
        <v>37</v>
      </c>
      <c r="T9" t="s">
        <v>10</v>
      </c>
      <c r="U9">
        <v>0</v>
      </c>
      <c r="V9">
        <v>0</v>
      </c>
      <c r="W9">
        <v>0</v>
      </c>
      <c r="X9">
        <v>8</v>
      </c>
      <c r="Y9">
        <v>0</v>
      </c>
      <c r="Z9">
        <v>0</v>
      </c>
      <c r="AA9">
        <f t="shared" si="0"/>
        <v>8</v>
      </c>
      <c r="AD9" s="11" t="s">
        <v>22</v>
      </c>
      <c r="AE9" s="4" t="s">
        <v>27</v>
      </c>
      <c r="AF9" s="5">
        <v>50</v>
      </c>
      <c r="AG9" s="12">
        <v>50</v>
      </c>
    </row>
    <row r="10" spans="1:33" ht="15.75" thickBot="1" x14ac:dyDescent="0.3">
      <c r="A10">
        <v>9</v>
      </c>
      <c r="B10">
        <v>2224</v>
      </c>
      <c r="C10">
        <v>24</v>
      </c>
      <c r="D10">
        <v>4</v>
      </c>
      <c r="E10" t="s">
        <v>9</v>
      </c>
      <c r="F10">
        <v>5</v>
      </c>
      <c r="G10">
        <v>0</v>
      </c>
      <c r="K10" s="2" t="s">
        <v>10</v>
      </c>
      <c r="L10" s="3">
        <v>0</v>
      </c>
      <c r="M10" s="3">
        <v>0</v>
      </c>
      <c r="N10" s="3">
        <v>0</v>
      </c>
      <c r="O10" s="3">
        <v>8</v>
      </c>
      <c r="P10" s="3">
        <v>0</v>
      </c>
      <c r="Q10" s="3">
        <v>0</v>
      </c>
      <c r="R10" s="3">
        <v>8</v>
      </c>
      <c r="T10" t="s">
        <v>13</v>
      </c>
      <c r="U10">
        <f>SUM(U5:U9)</f>
        <v>34</v>
      </c>
      <c r="V10">
        <f t="shared" ref="V10:Z10" si="1">SUM(V5:V9)</f>
        <v>53</v>
      </c>
      <c r="W10">
        <f t="shared" si="1"/>
        <v>84</v>
      </c>
      <c r="X10">
        <f t="shared" si="1"/>
        <v>51</v>
      </c>
      <c r="Y10">
        <f t="shared" si="1"/>
        <v>10</v>
      </c>
      <c r="Z10">
        <f t="shared" si="1"/>
        <v>28</v>
      </c>
      <c r="AA10">
        <f>SUM(AA5:AA9)</f>
        <v>260</v>
      </c>
      <c r="AD10" s="11" t="s">
        <v>28</v>
      </c>
      <c r="AE10" s="4" t="s">
        <v>29</v>
      </c>
      <c r="AF10" s="5">
        <v>5</v>
      </c>
      <c r="AG10" s="12" t="s">
        <v>30</v>
      </c>
    </row>
    <row r="11" spans="1:33" ht="15.75" thickBot="1" x14ac:dyDescent="0.3">
      <c r="A11">
        <v>10</v>
      </c>
      <c r="B11">
        <v>2224</v>
      </c>
      <c r="C11">
        <v>24</v>
      </c>
      <c r="D11">
        <v>4</v>
      </c>
      <c r="E11" t="s">
        <v>10</v>
      </c>
      <c r="F11">
        <v>6</v>
      </c>
      <c r="G11">
        <v>0</v>
      </c>
      <c r="K11" s="2" t="s">
        <v>13</v>
      </c>
      <c r="L11" s="3">
        <v>34</v>
      </c>
      <c r="M11" s="3">
        <v>49</v>
      </c>
      <c r="N11" s="3">
        <v>88</v>
      </c>
      <c r="O11" s="3">
        <v>51</v>
      </c>
      <c r="P11" s="3">
        <v>10</v>
      </c>
      <c r="Q11" s="3">
        <v>28</v>
      </c>
      <c r="R11" s="3">
        <v>260</v>
      </c>
      <c r="AD11" s="11" t="s">
        <v>31</v>
      </c>
      <c r="AE11" s="4" t="s">
        <v>32</v>
      </c>
      <c r="AF11" s="5">
        <v>0</v>
      </c>
      <c r="AG11" s="12" t="s">
        <v>30</v>
      </c>
    </row>
    <row r="12" spans="1:33" ht="15.75" thickBot="1" x14ac:dyDescent="0.3">
      <c r="A12">
        <v>11</v>
      </c>
      <c r="B12">
        <v>2528</v>
      </c>
      <c r="C12">
        <v>25</v>
      </c>
      <c r="D12">
        <v>4</v>
      </c>
      <c r="E12" t="s">
        <v>11</v>
      </c>
      <c r="F12">
        <v>2</v>
      </c>
      <c r="G12">
        <v>22</v>
      </c>
      <c r="V12">
        <f>SUM(U10:V10)</f>
        <v>87</v>
      </c>
      <c r="Z12">
        <f>SUM(W10:Z10)</f>
        <v>173</v>
      </c>
      <c r="AD12" s="11" t="s">
        <v>33</v>
      </c>
      <c r="AE12" s="4" t="s">
        <v>25</v>
      </c>
      <c r="AF12" s="5">
        <v>25</v>
      </c>
      <c r="AG12" s="12">
        <v>25</v>
      </c>
    </row>
    <row r="13" spans="1:33" ht="15.75" thickBot="1" x14ac:dyDescent="0.3">
      <c r="A13">
        <v>12</v>
      </c>
      <c r="B13">
        <v>2528</v>
      </c>
      <c r="C13">
        <v>25</v>
      </c>
      <c r="D13">
        <v>4</v>
      </c>
      <c r="E13" t="s">
        <v>7</v>
      </c>
      <c r="F13">
        <v>3</v>
      </c>
      <c r="G13">
        <v>28</v>
      </c>
      <c r="AD13" s="11" t="s">
        <v>34</v>
      </c>
      <c r="AE13" s="4" t="s">
        <v>35</v>
      </c>
      <c r="AF13" s="5">
        <v>6</v>
      </c>
      <c r="AG13" s="12">
        <v>6</v>
      </c>
    </row>
    <row r="14" spans="1:33" ht="15.75" thickBot="1" x14ac:dyDescent="0.3">
      <c r="A14">
        <v>13</v>
      </c>
      <c r="B14">
        <v>2528</v>
      </c>
      <c r="C14">
        <v>25</v>
      </c>
      <c r="D14">
        <v>4</v>
      </c>
      <c r="E14" t="s">
        <v>8</v>
      </c>
      <c r="F14">
        <v>4</v>
      </c>
      <c r="G14">
        <v>24</v>
      </c>
      <c r="AD14" s="11" t="s">
        <v>24</v>
      </c>
      <c r="AE14" s="4" t="s">
        <v>25</v>
      </c>
      <c r="AF14" s="5">
        <v>57</v>
      </c>
      <c r="AG14" s="12">
        <v>74</v>
      </c>
    </row>
    <row r="15" spans="1:33" ht="15.75" thickBot="1" x14ac:dyDescent="0.3">
      <c r="A15">
        <v>14</v>
      </c>
      <c r="B15">
        <v>2528</v>
      </c>
      <c r="C15">
        <v>25</v>
      </c>
      <c r="D15">
        <v>4</v>
      </c>
      <c r="E15" t="s">
        <v>9</v>
      </c>
      <c r="F15">
        <v>5</v>
      </c>
      <c r="G15">
        <v>14</v>
      </c>
      <c r="T15" s="17" t="s">
        <v>41</v>
      </c>
      <c r="AD15" s="11" t="s">
        <v>36</v>
      </c>
      <c r="AE15" s="4" t="s">
        <v>37</v>
      </c>
      <c r="AF15" s="5">
        <v>0</v>
      </c>
      <c r="AG15" s="12">
        <v>0</v>
      </c>
    </row>
    <row r="16" spans="1:33" ht="15.75" thickBot="1" x14ac:dyDescent="0.3">
      <c r="A16">
        <v>15</v>
      </c>
      <c r="B16">
        <v>2528</v>
      </c>
      <c r="C16">
        <v>25</v>
      </c>
      <c r="D16">
        <v>4</v>
      </c>
      <c r="E16" t="s">
        <v>10</v>
      </c>
      <c r="F16">
        <v>6</v>
      </c>
      <c r="G16">
        <v>0</v>
      </c>
      <c r="T16" t="s">
        <v>42</v>
      </c>
      <c r="AD16" s="11" t="s">
        <v>38</v>
      </c>
      <c r="AE16" s="4" t="s">
        <v>27</v>
      </c>
      <c r="AF16" s="5">
        <v>30</v>
      </c>
      <c r="AG16" s="12">
        <v>50</v>
      </c>
    </row>
    <row r="17" spans="1:33" ht="15.75" thickBot="1" x14ac:dyDescent="0.3">
      <c r="A17">
        <v>16</v>
      </c>
      <c r="B17">
        <v>2528</v>
      </c>
      <c r="C17">
        <v>26</v>
      </c>
      <c r="D17">
        <v>4</v>
      </c>
      <c r="E17" t="s">
        <v>11</v>
      </c>
      <c r="F17">
        <v>2</v>
      </c>
      <c r="G17">
        <v>8</v>
      </c>
      <c r="AD17" s="11"/>
      <c r="AE17" s="6" t="s">
        <v>39</v>
      </c>
      <c r="AF17" s="5">
        <v>173</v>
      </c>
      <c r="AG17" s="12">
        <v>205</v>
      </c>
    </row>
    <row r="18" spans="1:33" ht="15.75" customHeight="1" x14ac:dyDescent="0.25">
      <c r="A18">
        <v>17</v>
      </c>
      <c r="B18">
        <v>2528</v>
      </c>
      <c r="C18">
        <v>26</v>
      </c>
      <c r="D18">
        <v>4</v>
      </c>
      <c r="E18" t="s">
        <v>7</v>
      </c>
      <c r="F18">
        <v>3</v>
      </c>
      <c r="G18">
        <v>9</v>
      </c>
      <c r="AD18" s="13"/>
      <c r="AE18" s="14" t="s">
        <v>40</v>
      </c>
      <c r="AF18" s="15">
        <v>260</v>
      </c>
      <c r="AG18" s="16">
        <v>299</v>
      </c>
    </row>
    <row r="19" spans="1:33" x14ac:dyDescent="0.25">
      <c r="A19">
        <v>18</v>
      </c>
      <c r="B19">
        <v>2528</v>
      </c>
      <c r="C19">
        <v>26</v>
      </c>
      <c r="D19">
        <v>4</v>
      </c>
      <c r="E19" t="s">
        <v>8</v>
      </c>
      <c r="F19">
        <v>4</v>
      </c>
      <c r="G19">
        <v>12</v>
      </c>
      <c r="AF19">
        <f>SUM(AF5:AF7)</f>
        <v>87</v>
      </c>
      <c r="AG19">
        <f>SUM(AG5:AG7)</f>
        <v>94</v>
      </c>
    </row>
    <row r="20" spans="1:33" x14ac:dyDescent="0.25">
      <c r="A20">
        <v>19</v>
      </c>
      <c r="B20">
        <v>2528</v>
      </c>
      <c r="C20">
        <v>26</v>
      </c>
      <c r="D20">
        <v>4</v>
      </c>
      <c r="E20" t="s">
        <v>9</v>
      </c>
      <c r="F20">
        <v>5</v>
      </c>
      <c r="G20">
        <v>14</v>
      </c>
      <c r="AF20">
        <f>SUM(AF8+AF17)</f>
        <v>260</v>
      </c>
      <c r="AG20">
        <f>SUM(AG8+AG17)</f>
        <v>299</v>
      </c>
    </row>
    <row r="21" spans="1:33" x14ac:dyDescent="0.25">
      <c r="A21">
        <v>20</v>
      </c>
      <c r="B21">
        <v>2528</v>
      </c>
      <c r="C21">
        <v>26</v>
      </c>
      <c r="D21">
        <v>4</v>
      </c>
      <c r="E21" t="s">
        <v>10</v>
      </c>
      <c r="F21">
        <v>6</v>
      </c>
      <c r="G21">
        <v>8</v>
      </c>
      <c r="AF21">
        <f>SUM(AF9:AF16)</f>
        <v>173</v>
      </c>
      <c r="AG21">
        <f>SUM(AG9:AG16)</f>
        <v>205</v>
      </c>
    </row>
    <row r="22" spans="1:33" x14ac:dyDescent="0.25">
      <c r="A22">
        <v>21</v>
      </c>
      <c r="B22">
        <v>2528</v>
      </c>
      <c r="C22">
        <v>27</v>
      </c>
      <c r="D22">
        <v>4</v>
      </c>
      <c r="E22" t="s">
        <v>6</v>
      </c>
      <c r="F22">
        <v>2</v>
      </c>
      <c r="G22">
        <v>0</v>
      </c>
    </row>
    <row r="23" spans="1:33" x14ac:dyDescent="0.25">
      <c r="A23">
        <v>22</v>
      </c>
      <c r="B23">
        <v>2528</v>
      </c>
      <c r="C23">
        <v>27</v>
      </c>
      <c r="D23">
        <v>4</v>
      </c>
      <c r="E23" t="s">
        <v>7</v>
      </c>
      <c r="F23">
        <v>3</v>
      </c>
      <c r="G23">
        <v>2</v>
      </c>
    </row>
    <row r="24" spans="1:33" x14ac:dyDescent="0.25">
      <c r="A24">
        <v>23</v>
      </c>
      <c r="B24">
        <v>2528</v>
      </c>
      <c r="C24">
        <v>27</v>
      </c>
      <c r="D24">
        <v>4</v>
      </c>
      <c r="E24" t="s">
        <v>8</v>
      </c>
      <c r="F24">
        <v>4</v>
      </c>
      <c r="G24">
        <v>4</v>
      </c>
    </row>
    <row r="25" spans="1:33" x14ac:dyDescent="0.25">
      <c r="A25">
        <v>24</v>
      </c>
      <c r="B25">
        <v>2528</v>
      </c>
      <c r="C25">
        <v>27</v>
      </c>
      <c r="D25">
        <v>4</v>
      </c>
      <c r="E25" t="s">
        <v>9</v>
      </c>
      <c r="F25">
        <v>5</v>
      </c>
      <c r="G25">
        <v>4</v>
      </c>
    </row>
    <row r="26" spans="1:33" x14ac:dyDescent="0.25">
      <c r="A26">
        <v>25</v>
      </c>
      <c r="B26">
        <v>2528</v>
      </c>
      <c r="C26">
        <v>27</v>
      </c>
      <c r="D26">
        <v>4</v>
      </c>
      <c r="E26" t="s">
        <v>10</v>
      </c>
      <c r="F26">
        <v>6</v>
      </c>
      <c r="G26">
        <v>0</v>
      </c>
    </row>
    <row r="27" spans="1:33" x14ac:dyDescent="0.25">
      <c r="A27">
        <v>26</v>
      </c>
      <c r="B27">
        <v>2528</v>
      </c>
      <c r="C27">
        <v>28</v>
      </c>
      <c r="D27">
        <v>4</v>
      </c>
      <c r="E27" t="s">
        <v>6</v>
      </c>
      <c r="F27">
        <v>2</v>
      </c>
      <c r="G27">
        <v>7</v>
      </c>
    </row>
    <row r="28" spans="1:33" x14ac:dyDescent="0.25">
      <c r="A28">
        <v>27</v>
      </c>
      <c r="B28">
        <v>2528</v>
      </c>
      <c r="C28">
        <v>28</v>
      </c>
      <c r="D28">
        <v>4</v>
      </c>
      <c r="E28" t="s">
        <v>7</v>
      </c>
      <c r="F28">
        <v>3</v>
      </c>
      <c r="G28">
        <v>7</v>
      </c>
    </row>
    <row r="29" spans="1:33" x14ac:dyDescent="0.25">
      <c r="A29">
        <v>28</v>
      </c>
      <c r="B29">
        <v>2528</v>
      </c>
      <c r="C29">
        <v>28</v>
      </c>
      <c r="D29">
        <v>4</v>
      </c>
      <c r="E29" t="s">
        <v>8</v>
      </c>
      <c r="F29">
        <v>4</v>
      </c>
      <c r="G29">
        <v>9</v>
      </c>
    </row>
    <row r="30" spans="1:33" x14ac:dyDescent="0.25">
      <c r="A30">
        <v>29</v>
      </c>
      <c r="B30">
        <v>2528</v>
      </c>
      <c r="C30">
        <v>28</v>
      </c>
      <c r="D30">
        <v>4</v>
      </c>
      <c r="E30" t="s">
        <v>9</v>
      </c>
      <c r="F30">
        <v>5</v>
      </c>
      <c r="G30">
        <v>5</v>
      </c>
    </row>
    <row r="31" spans="1:33" x14ac:dyDescent="0.25">
      <c r="A31">
        <v>30</v>
      </c>
      <c r="B31">
        <v>2528</v>
      </c>
      <c r="C31">
        <v>28</v>
      </c>
      <c r="D31">
        <v>4</v>
      </c>
      <c r="E31" t="s">
        <v>10</v>
      </c>
      <c r="F31">
        <v>6</v>
      </c>
      <c r="G31">
        <v>0</v>
      </c>
    </row>
    <row r="32" spans="1:33" x14ac:dyDescent="0.25">
      <c r="G32">
        <f>SUM(G2:G31)</f>
        <v>260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NHaulPlanned4q 2017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2017-05-04T06:15:07Z</dcterms:created>
  <dcterms:modified xsi:type="dcterms:W3CDTF">2017-05-05T06:25:55Z</dcterms:modified>
</cp:coreProperties>
</file>